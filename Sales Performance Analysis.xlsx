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pivotTables/pivotTable30.xml" ContentType="application/vnd.openxmlformats-officedocument.spreadsheetml.pivotTable+xml"/>
  <Override PartName="/xl/pivotTables/pivotTable31.xml" ContentType="application/vnd.openxmlformats-officedocument.spreadsheetml.pivotTable+xml"/>
  <Override PartName="/xl/pivotTables/pivotTable3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drawings/drawing2.xml" ContentType="application/vnd.openxmlformats-officedocument.drawing+xml"/>
  <Override PartName="/xl/slicers/slicer1.xml" ContentType="application/vnd.ms-excel.slicer+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charts/chart30.xml" ContentType="application/vnd.openxmlformats-officedocument.drawingml.chart+xml"/>
  <Override PartName="/xl/charts/style30.xml" ContentType="application/vnd.ms-office.chartstyle+xml"/>
  <Override PartName="/xl/charts/colors30.xml" ContentType="application/vnd.ms-office.chartcolorstyle+xml"/>
  <Override PartName="/xl/charts/chart31.xml" ContentType="application/vnd.openxmlformats-officedocument.drawingml.chart+xml"/>
  <Override PartName="/xl/charts/style31.xml" ContentType="application/vnd.ms-office.chartstyle+xml"/>
  <Override PartName="/xl/charts/colors31.xml" ContentType="application/vnd.ms-office.chartcolorstyle+xml"/>
  <Override PartName="/xl/charts/chart32.xml" ContentType="application/vnd.openxmlformats-officedocument.drawingml.chart+xml"/>
  <Override PartName="/xl/charts/style32.xml" ContentType="application/vnd.ms-office.chartstyle+xml"/>
  <Override PartName="/xl/charts/colors32.xml" ContentType="application/vnd.ms-office.chartcolorstyle+xml"/>
  <Override PartName="/xl/charts/chart33.xml" ContentType="application/vnd.openxmlformats-officedocument.drawingml.chart+xml"/>
  <Override PartName="/xl/charts/style33.xml" ContentType="application/vnd.ms-office.chartstyle+xml"/>
  <Override PartName="/xl/charts/colors33.xml" ContentType="application/vnd.ms-office.chartcolorstyle+xml"/>
  <Override PartName="/xl/charts/chart34.xml" ContentType="application/vnd.openxmlformats-officedocument.drawingml.chart+xml"/>
  <Override PartName="/xl/charts/style34.xml" ContentType="application/vnd.ms-office.chartstyle+xml"/>
  <Override PartName="/xl/charts/colors34.xml" ContentType="application/vnd.ms-office.chartcolorstyle+xml"/>
  <Override PartName="/xl/charts/chart35.xml" ContentType="application/vnd.openxmlformats-officedocument.drawingml.chart+xml"/>
  <Override PartName="/xl/charts/style35.xml" ContentType="application/vnd.ms-office.chartstyle+xml"/>
  <Override PartName="/xl/charts/colors35.xml" ContentType="application/vnd.ms-office.chartcolorstyle+xml"/>
  <Override PartName="/xl/charts/chart36.xml" ContentType="application/vnd.openxmlformats-officedocument.drawingml.chart+xml"/>
  <Override PartName="/xl/charts/style36.xml" ContentType="application/vnd.ms-office.chartstyle+xml"/>
  <Override PartName="/xl/charts/colors36.xml" ContentType="application/vnd.ms-office.chartcolorstyle+xml"/>
  <Override PartName="/xl/charts/chart37.xml" ContentType="application/vnd.openxmlformats-officedocument.drawingml.chart+xml"/>
  <Override PartName="/xl/charts/style37.xml" ContentType="application/vnd.ms-office.chartstyle+xml"/>
  <Override PartName="/xl/charts/colors37.xml" ContentType="application/vnd.ms-office.chartcolorstyle+xml"/>
  <Override PartName="/xl/charts/chart38.xml" ContentType="application/vnd.openxmlformats-officedocument.drawingml.chart+xml"/>
  <Override PartName="/xl/charts/style38.xml" ContentType="application/vnd.ms-office.chartstyle+xml"/>
  <Override PartName="/xl/charts/colors38.xml" ContentType="application/vnd.ms-office.chartcolorstyle+xml"/>
  <Override PartName="/xl/charts/chart39.xml" ContentType="application/vnd.openxmlformats-officedocument.drawingml.chart+xml"/>
  <Override PartName="/xl/charts/style39.xml" ContentType="application/vnd.ms-office.chartstyle+xml"/>
  <Override PartName="/xl/charts/colors39.xml" ContentType="application/vnd.ms-office.chartcolorstyle+xml"/>
  <Override PartName="/xl/charts/chart40.xml" ContentType="application/vnd.openxmlformats-officedocument.drawingml.chart+xml"/>
  <Override PartName="/xl/charts/style40.xml" ContentType="application/vnd.ms-office.chartstyle+xml"/>
  <Override PartName="/xl/charts/colors40.xml" ContentType="application/vnd.ms-office.chartcolorstyle+xml"/>
  <Override PartName="/xl/charts/chart41.xml" ContentType="application/vnd.openxmlformats-officedocument.drawingml.chart+xml"/>
  <Override PartName="/xl/charts/style41.xml" ContentType="application/vnd.ms-office.chartstyle+xml"/>
  <Override PartName="/xl/charts/colors4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64011"/>
  <mc:AlternateContent xmlns:mc="http://schemas.openxmlformats.org/markup-compatibility/2006">
    <mc:Choice Requires="x15">
      <x15ac:absPath xmlns:x15ac="http://schemas.microsoft.com/office/spreadsheetml/2010/11/ac" url="C:\Users\User\OneDrive\Documents\"/>
    </mc:Choice>
  </mc:AlternateContent>
  <bookViews>
    <workbookView xWindow="0" yWindow="0" windowWidth="19368" windowHeight="8784" activeTab="2"/>
  </bookViews>
  <sheets>
    <sheet name="Sheet1" sheetId="6" r:id="rId1"/>
    <sheet name="Pivot" sheetId="5" r:id="rId2"/>
    <sheet name="sales_data_For Excel Dashboard." sheetId="1" r:id="rId3"/>
    <sheet name="Dashboard" sheetId="2" r:id="rId4"/>
  </sheets>
  <definedNames>
    <definedName name="_xlnm._FilterDatabase" localSheetId="2" hidden="1">'sales_data_For Excel Dashboard.'!$A$1:$V$1001</definedName>
    <definedName name="Slicer_Cost_Category">#N/A</definedName>
    <definedName name="Slicer_Product_Category">#N/A</definedName>
    <definedName name="Slicer_Quarters">#N/A</definedName>
    <definedName name="Slicer_Region">#N/A</definedName>
    <definedName name="Slicer_Sale_Date">#N/A</definedName>
    <definedName name="Slicer_Sales_Rep">#N/A</definedName>
  </definedNames>
  <calcPr calcId="162913"/>
  <pivotCaches>
    <pivotCache cacheId="365" r:id="rId5"/>
    <pivotCache cacheId="364" r:id="rId6"/>
  </pivotCaches>
  <extLst>
    <ext xmlns:x14="http://schemas.microsoft.com/office/spreadsheetml/2009/9/main" uri="{BBE1A952-AA13-448e-AADC-164F8A28A991}">
      <x14:slicerCaches>
        <x14:slicerCache r:id="rId7"/>
        <x14:slicerCache r:id="rId8"/>
        <x14:slicerCache r:id="rId9"/>
        <x14:slicerCache r:id="rId10"/>
        <x14:slicerCache r:id="rId11"/>
        <x14:slicerCache r:id="rId12"/>
      </x14:slicerCaches>
    </ext>
    <ext xmlns:x14="http://schemas.microsoft.com/office/spreadsheetml/2009/9/main" uri="{79F54976-1DA5-4618-B147-4CDE4B953A38}">
      <x14:workbookPr/>
    </ext>
  </extLst>
</workbook>
</file>

<file path=xl/calcChain.xml><?xml version="1.0" encoding="utf-8"?>
<calcChain xmlns="http://schemas.openxmlformats.org/spreadsheetml/2006/main">
  <c r="K2" i="1" l="1"/>
  <c r="U1001" i="1" l="1"/>
  <c r="O1001" i="1"/>
  <c r="N1001" i="1"/>
  <c r="M1001" i="1"/>
  <c r="L1001" i="1"/>
  <c r="K1001" i="1"/>
  <c r="J1001" i="1"/>
  <c r="G1001" i="1"/>
  <c r="U1000" i="1"/>
  <c r="O1000" i="1"/>
  <c r="N1000" i="1"/>
  <c r="M1000" i="1"/>
  <c r="L1000" i="1"/>
  <c r="K1000" i="1"/>
  <c r="J1000" i="1"/>
  <c r="G1000" i="1"/>
  <c r="U999" i="1"/>
  <c r="O999" i="1"/>
  <c r="N999" i="1"/>
  <c r="M999" i="1"/>
  <c r="L999" i="1"/>
  <c r="K999" i="1"/>
  <c r="J999" i="1"/>
  <c r="G999" i="1"/>
  <c r="U998" i="1"/>
  <c r="O998" i="1"/>
  <c r="N998" i="1"/>
  <c r="M998" i="1"/>
  <c r="L998" i="1"/>
  <c r="K998" i="1"/>
  <c r="J998" i="1"/>
  <c r="G998" i="1"/>
  <c r="U997" i="1"/>
  <c r="O997" i="1"/>
  <c r="N997" i="1"/>
  <c r="M997" i="1"/>
  <c r="L997" i="1"/>
  <c r="K997" i="1"/>
  <c r="J997" i="1"/>
  <c r="G997" i="1"/>
  <c r="U996" i="1"/>
  <c r="O996" i="1"/>
  <c r="N996" i="1"/>
  <c r="M996" i="1"/>
  <c r="L996" i="1"/>
  <c r="K996" i="1"/>
  <c r="J996" i="1"/>
  <c r="G996" i="1"/>
  <c r="U995" i="1"/>
  <c r="O995" i="1"/>
  <c r="N995" i="1"/>
  <c r="M995" i="1"/>
  <c r="L995" i="1"/>
  <c r="K995" i="1"/>
  <c r="J995" i="1"/>
  <c r="G995" i="1"/>
  <c r="U994" i="1"/>
  <c r="O994" i="1"/>
  <c r="N994" i="1"/>
  <c r="M994" i="1"/>
  <c r="L994" i="1"/>
  <c r="K994" i="1"/>
  <c r="J994" i="1"/>
  <c r="G994" i="1"/>
  <c r="U993" i="1"/>
  <c r="O993" i="1"/>
  <c r="N993" i="1"/>
  <c r="M993" i="1"/>
  <c r="L993" i="1"/>
  <c r="K993" i="1"/>
  <c r="J993" i="1"/>
  <c r="G993" i="1"/>
  <c r="U992" i="1"/>
  <c r="O992" i="1"/>
  <c r="N992" i="1"/>
  <c r="M992" i="1"/>
  <c r="L992" i="1"/>
  <c r="K992" i="1"/>
  <c r="J992" i="1"/>
  <c r="G992" i="1"/>
  <c r="U991" i="1"/>
  <c r="O991" i="1"/>
  <c r="N991" i="1"/>
  <c r="M991" i="1"/>
  <c r="L991" i="1"/>
  <c r="K991" i="1"/>
  <c r="J991" i="1"/>
  <c r="G991" i="1"/>
  <c r="U990" i="1"/>
  <c r="O990" i="1"/>
  <c r="N990" i="1"/>
  <c r="M990" i="1"/>
  <c r="L990" i="1"/>
  <c r="K990" i="1"/>
  <c r="J990" i="1"/>
  <c r="G990" i="1"/>
  <c r="U989" i="1"/>
  <c r="O989" i="1"/>
  <c r="N989" i="1"/>
  <c r="M989" i="1"/>
  <c r="L989" i="1"/>
  <c r="K989" i="1"/>
  <c r="J989" i="1"/>
  <c r="G989" i="1"/>
  <c r="U988" i="1"/>
  <c r="O988" i="1"/>
  <c r="N988" i="1"/>
  <c r="M988" i="1"/>
  <c r="L988" i="1"/>
  <c r="K988" i="1"/>
  <c r="J988" i="1"/>
  <c r="G988" i="1"/>
  <c r="U987" i="1"/>
  <c r="O987" i="1"/>
  <c r="N987" i="1"/>
  <c r="M987" i="1"/>
  <c r="L987" i="1"/>
  <c r="K987" i="1"/>
  <c r="J987" i="1"/>
  <c r="G987" i="1"/>
  <c r="U986" i="1"/>
  <c r="O986" i="1"/>
  <c r="N986" i="1"/>
  <c r="M986" i="1"/>
  <c r="L986" i="1"/>
  <c r="K986" i="1"/>
  <c r="J986" i="1"/>
  <c r="G986" i="1"/>
  <c r="U985" i="1"/>
  <c r="O985" i="1"/>
  <c r="N985" i="1"/>
  <c r="M985" i="1"/>
  <c r="L985" i="1"/>
  <c r="K985" i="1"/>
  <c r="J985" i="1"/>
  <c r="G985" i="1"/>
  <c r="U984" i="1"/>
  <c r="O984" i="1"/>
  <c r="N984" i="1"/>
  <c r="M984" i="1"/>
  <c r="L984" i="1"/>
  <c r="K984" i="1"/>
  <c r="J984" i="1"/>
  <c r="G984" i="1"/>
  <c r="U983" i="1"/>
  <c r="O983" i="1"/>
  <c r="N983" i="1"/>
  <c r="M983" i="1"/>
  <c r="L983" i="1"/>
  <c r="K983" i="1"/>
  <c r="J983" i="1"/>
  <c r="G983" i="1"/>
  <c r="U982" i="1"/>
  <c r="O982" i="1"/>
  <c r="N982" i="1"/>
  <c r="M982" i="1"/>
  <c r="L982" i="1"/>
  <c r="K982" i="1"/>
  <c r="J982" i="1"/>
  <c r="G982" i="1"/>
  <c r="U981" i="1"/>
  <c r="O981" i="1"/>
  <c r="N981" i="1"/>
  <c r="M981" i="1"/>
  <c r="L981" i="1"/>
  <c r="K981" i="1"/>
  <c r="J981" i="1"/>
  <c r="G981" i="1"/>
  <c r="U980" i="1"/>
  <c r="O980" i="1"/>
  <c r="N980" i="1"/>
  <c r="M980" i="1"/>
  <c r="L980" i="1"/>
  <c r="K980" i="1"/>
  <c r="J980" i="1"/>
  <c r="G980" i="1"/>
  <c r="U979" i="1"/>
  <c r="O979" i="1"/>
  <c r="N979" i="1"/>
  <c r="M979" i="1"/>
  <c r="L979" i="1"/>
  <c r="K979" i="1"/>
  <c r="J979" i="1"/>
  <c r="G979" i="1"/>
  <c r="U978" i="1"/>
  <c r="O978" i="1"/>
  <c r="N978" i="1"/>
  <c r="M978" i="1"/>
  <c r="L978" i="1"/>
  <c r="K978" i="1"/>
  <c r="J978" i="1"/>
  <c r="G978" i="1"/>
  <c r="U977" i="1"/>
  <c r="O977" i="1"/>
  <c r="N977" i="1"/>
  <c r="M977" i="1"/>
  <c r="L977" i="1"/>
  <c r="K977" i="1"/>
  <c r="J977" i="1"/>
  <c r="G977" i="1"/>
  <c r="U976" i="1"/>
  <c r="O976" i="1"/>
  <c r="N976" i="1"/>
  <c r="M976" i="1"/>
  <c r="L976" i="1"/>
  <c r="K976" i="1"/>
  <c r="J976" i="1"/>
  <c r="G976" i="1"/>
  <c r="U975" i="1"/>
  <c r="O975" i="1"/>
  <c r="N975" i="1"/>
  <c r="M975" i="1"/>
  <c r="L975" i="1"/>
  <c r="K975" i="1"/>
  <c r="J975" i="1"/>
  <c r="G975" i="1"/>
  <c r="U974" i="1"/>
  <c r="O974" i="1"/>
  <c r="N974" i="1"/>
  <c r="M974" i="1"/>
  <c r="L974" i="1"/>
  <c r="K974" i="1"/>
  <c r="J974" i="1"/>
  <c r="G974" i="1"/>
  <c r="U973" i="1"/>
  <c r="O973" i="1"/>
  <c r="N973" i="1"/>
  <c r="M973" i="1"/>
  <c r="L973" i="1"/>
  <c r="K973" i="1"/>
  <c r="J973" i="1"/>
  <c r="G973" i="1"/>
  <c r="U972" i="1"/>
  <c r="O972" i="1"/>
  <c r="N972" i="1"/>
  <c r="M972" i="1"/>
  <c r="L972" i="1"/>
  <c r="K972" i="1"/>
  <c r="J972" i="1"/>
  <c r="G972" i="1"/>
  <c r="U971" i="1"/>
  <c r="O971" i="1"/>
  <c r="N971" i="1"/>
  <c r="M971" i="1"/>
  <c r="L971" i="1"/>
  <c r="K971" i="1"/>
  <c r="J971" i="1"/>
  <c r="G971" i="1"/>
  <c r="U970" i="1"/>
  <c r="O970" i="1"/>
  <c r="N970" i="1"/>
  <c r="M970" i="1"/>
  <c r="L970" i="1"/>
  <c r="K970" i="1"/>
  <c r="J970" i="1"/>
  <c r="G970" i="1"/>
  <c r="U969" i="1"/>
  <c r="O969" i="1"/>
  <c r="N969" i="1"/>
  <c r="M969" i="1"/>
  <c r="L969" i="1"/>
  <c r="K969" i="1"/>
  <c r="J969" i="1"/>
  <c r="G969" i="1"/>
  <c r="U968" i="1"/>
  <c r="O968" i="1"/>
  <c r="N968" i="1"/>
  <c r="M968" i="1"/>
  <c r="L968" i="1"/>
  <c r="K968" i="1"/>
  <c r="J968" i="1"/>
  <c r="G968" i="1"/>
  <c r="U967" i="1"/>
  <c r="O967" i="1"/>
  <c r="N967" i="1"/>
  <c r="M967" i="1"/>
  <c r="L967" i="1"/>
  <c r="K967" i="1"/>
  <c r="J967" i="1"/>
  <c r="G967" i="1"/>
  <c r="U966" i="1"/>
  <c r="O966" i="1"/>
  <c r="N966" i="1"/>
  <c r="M966" i="1"/>
  <c r="L966" i="1"/>
  <c r="K966" i="1"/>
  <c r="J966" i="1"/>
  <c r="G966" i="1"/>
  <c r="U965" i="1"/>
  <c r="O965" i="1"/>
  <c r="N965" i="1"/>
  <c r="M965" i="1"/>
  <c r="L965" i="1"/>
  <c r="K965" i="1"/>
  <c r="J965" i="1"/>
  <c r="G965" i="1"/>
  <c r="U964" i="1"/>
  <c r="O964" i="1"/>
  <c r="N964" i="1"/>
  <c r="M964" i="1"/>
  <c r="L964" i="1"/>
  <c r="K964" i="1"/>
  <c r="J964" i="1"/>
  <c r="G964" i="1"/>
  <c r="U963" i="1"/>
  <c r="O963" i="1"/>
  <c r="N963" i="1"/>
  <c r="M963" i="1"/>
  <c r="L963" i="1"/>
  <c r="K963" i="1"/>
  <c r="J963" i="1"/>
  <c r="G963" i="1"/>
  <c r="U962" i="1"/>
  <c r="O962" i="1"/>
  <c r="N962" i="1"/>
  <c r="M962" i="1"/>
  <c r="L962" i="1"/>
  <c r="K962" i="1"/>
  <c r="J962" i="1"/>
  <c r="G962" i="1"/>
  <c r="U961" i="1"/>
  <c r="O961" i="1"/>
  <c r="N961" i="1"/>
  <c r="M961" i="1"/>
  <c r="L961" i="1"/>
  <c r="K961" i="1"/>
  <c r="J961" i="1"/>
  <c r="G961" i="1"/>
  <c r="U960" i="1"/>
  <c r="O960" i="1"/>
  <c r="N960" i="1"/>
  <c r="M960" i="1"/>
  <c r="L960" i="1"/>
  <c r="K960" i="1"/>
  <c r="J960" i="1"/>
  <c r="G960" i="1"/>
  <c r="U959" i="1"/>
  <c r="O959" i="1"/>
  <c r="N959" i="1"/>
  <c r="M959" i="1"/>
  <c r="L959" i="1"/>
  <c r="K959" i="1"/>
  <c r="J959" i="1"/>
  <c r="G959" i="1"/>
  <c r="U958" i="1"/>
  <c r="O958" i="1"/>
  <c r="N958" i="1"/>
  <c r="M958" i="1"/>
  <c r="L958" i="1"/>
  <c r="K958" i="1"/>
  <c r="J958" i="1"/>
  <c r="G958" i="1"/>
  <c r="U957" i="1"/>
  <c r="O957" i="1"/>
  <c r="N957" i="1"/>
  <c r="M957" i="1"/>
  <c r="L957" i="1"/>
  <c r="K957" i="1"/>
  <c r="J957" i="1"/>
  <c r="G957" i="1"/>
  <c r="U956" i="1"/>
  <c r="O956" i="1"/>
  <c r="N956" i="1"/>
  <c r="M956" i="1"/>
  <c r="L956" i="1"/>
  <c r="K956" i="1"/>
  <c r="J956" i="1"/>
  <c r="G956" i="1"/>
  <c r="U955" i="1"/>
  <c r="O955" i="1"/>
  <c r="N955" i="1"/>
  <c r="M955" i="1"/>
  <c r="L955" i="1"/>
  <c r="K955" i="1"/>
  <c r="J955" i="1"/>
  <c r="G955" i="1"/>
  <c r="U954" i="1"/>
  <c r="O954" i="1"/>
  <c r="N954" i="1"/>
  <c r="M954" i="1"/>
  <c r="L954" i="1"/>
  <c r="K954" i="1"/>
  <c r="J954" i="1"/>
  <c r="G954" i="1"/>
  <c r="U953" i="1"/>
  <c r="O953" i="1"/>
  <c r="N953" i="1"/>
  <c r="M953" i="1"/>
  <c r="L953" i="1"/>
  <c r="K953" i="1"/>
  <c r="J953" i="1"/>
  <c r="G953" i="1"/>
  <c r="U952" i="1"/>
  <c r="O952" i="1"/>
  <c r="N952" i="1"/>
  <c r="M952" i="1"/>
  <c r="L952" i="1"/>
  <c r="K952" i="1"/>
  <c r="J952" i="1"/>
  <c r="G952" i="1"/>
  <c r="U951" i="1"/>
  <c r="O951" i="1"/>
  <c r="N951" i="1"/>
  <c r="M951" i="1"/>
  <c r="L951" i="1"/>
  <c r="K951" i="1"/>
  <c r="J951" i="1"/>
  <c r="G951" i="1"/>
  <c r="U950" i="1"/>
  <c r="O950" i="1"/>
  <c r="N950" i="1"/>
  <c r="M950" i="1"/>
  <c r="L950" i="1"/>
  <c r="K950" i="1"/>
  <c r="J950" i="1"/>
  <c r="G950" i="1"/>
  <c r="U949" i="1"/>
  <c r="O949" i="1"/>
  <c r="N949" i="1"/>
  <c r="M949" i="1"/>
  <c r="L949" i="1"/>
  <c r="K949" i="1"/>
  <c r="J949" i="1"/>
  <c r="G949" i="1"/>
  <c r="U948" i="1"/>
  <c r="O948" i="1"/>
  <c r="N948" i="1"/>
  <c r="M948" i="1"/>
  <c r="L948" i="1"/>
  <c r="K948" i="1"/>
  <c r="J948" i="1"/>
  <c r="G948" i="1"/>
  <c r="U947" i="1"/>
  <c r="O947" i="1"/>
  <c r="N947" i="1"/>
  <c r="M947" i="1"/>
  <c r="L947" i="1"/>
  <c r="K947" i="1"/>
  <c r="J947" i="1"/>
  <c r="G947" i="1"/>
  <c r="U946" i="1"/>
  <c r="O946" i="1"/>
  <c r="N946" i="1"/>
  <c r="M946" i="1"/>
  <c r="L946" i="1"/>
  <c r="K946" i="1"/>
  <c r="J946" i="1"/>
  <c r="G946" i="1"/>
  <c r="U945" i="1"/>
  <c r="O945" i="1"/>
  <c r="N945" i="1"/>
  <c r="M945" i="1"/>
  <c r="L945" i="1"/>
  <c r="K945" i="1"/>
  <c r="J945" i="1"/>
  <c r="G945" i="1"/>
  <c r="U944" i="1"/>
  <c r="O944" i="1"/>
  <c r="N944" i="1"/>
  <c r="M944" i="1"/>
  <c r="L944" i="1"/>
  <c r="K944" i="1"/>
  <c r="J944" i="1"/>
  <c r="G944" i="1"/>
  <c r="U943" i="1"/>
  <c r="O943" i="1"/>
  <c r="N943" i="1"/>
  <c r="M943" i="1"/>
  <c r="L943" i="1"/>
  <c r="K943" i="1"/>
  <c r="J943" i="1"/>
  <c r="G943" i="1"/>
  <c r="U942" i="1"/>
  <c r="O942" i="1"/>
  <c r="N942" i="1"/>
  <c r="M942" i="1"/>
  <c r="L942" i="1"/>
  <c r="K942" i="1"/>
  <c r="J942" i="1"/>
  <c r="G942" i="1"/>
  <c r="U941" i="1"/>
  <c r="O941" i="1"/>
  <c r="N941" i="1"/>
  <c r="M941" i="1"/>
  <c r="L941" i="1"/>
  <c r="K941" i="1"/>
  <c r="J941" i="1"/>
  <c r="G941" i="1"/>
  <c r="U940" i="1"/>
  <c r="O940" i="1"/>
  <c r="N940" i="1"/>
  <c r="M940" i="1"/>
  <c r="L940" i="1"/>
  <c r="K940" i="1"/>
  <c r="J940" i="1"/>
  <c r="G940" i="1"/>
  <c r="U939" i="1"/>
  <c r="O939" i="1"/>
  <c r="N939" i="1"/>
  <c r="M939" i="1"/>
  <c r="L939" i="1"/>
  <c r="K939" i="1"/>
  <c r="J939" i="1"/>
  <c r="G939" i="1"/>
  <c r="U938" i="1"/>
  <c r="O938" i="1"/>
  <c r="N938" i="1"/>
  <c r="M938" i="1"/>
  <c r="L938" i="1"/>
  <c r="K938" i="1"/>
  <c r="J938" i="1"/>
  <c r="G938" i="1"/>
  <c r="U937" i="1"/>
  <c r="O937" i="1"/>
  <c r="N937" i="1"/>
  <c r="M937" i="1"/>
  <c r="L937" i="1"/>
  <c r="K937" i="1"/>
  <c r="J937" i="1"/>
  <c r="G937" i="1"/>
  <c r="U936" i="1"/>
  <c r="O936" i="1"/>
  <c r="N936" i="1"/>
  <c r="M936" i="1"/>
  <c r="L936" i="1"/>
  <c r="K936" i="1"/>
  <c r="J936" i="1"/>
  <c r="G936" i="1"/>
  <c r="U935" i="1"/>
  <c r="O935" i="1"/>
  <c r="N935" i="1"/>
  <c r="M935" i="1"/>
  <c r="L935" i="1"/>
  <c r="K935" i="1"/>
  <c r="J935" i="1"/>
  <c r="G935" i="1"/>
  <c r="U934" i="1"/>
  <c r="O934" i="1"/>
  <c r="N934" i="1"/>
  <c r="M934" i="1"/>
  <c r="L934" i="1"/>
  <c r="K934" i="1"/>
  <c r="J934" i="1"/>
  <c r="G934" i="1"/>
  <c r="U933" i="1"/>
  <c r="O933" i="1"/>
  <c r="N933" i="1"/>
  <c r="M933" i="1"/>
  <c r="L933" i="1"/>
  <c r="K933" i="1"/>
  <c r="J933" i="1"/>
  <c r="G933" i="1"/>
  <c r="U932" i="1"/>
  <c r="O932" i="1"/>
  <c r="N932" i="1"/>
  <c r="M932" i="1"/>
  <c r="L932" i="1"/>
  <c r="K932" i="1"/>
  <c r="J932" i="1"/>
  <c r="G932" i="1"/>
  <c r="U931" i="1"/>
  <c r="O931" i="1"/>
  <c r="N931" i="1"/>
  <c r="M931" i="1"/>
  <c r="L931" i="1"/>
  <c r="K931" i="1"/>
  <c r="J931" i="1"/>
  <c r="G931" i="1"/>
  <c r="U930" i="1"/>
  <c r="O930" i="1"/>
  <c r="N930" i="1"/>
  <c r="M930" i="1"/>
  <c r="L930" i="1"/>
  <c r="K930" i="1"/>
  <c r="J930" i="1"/>
  <c r="G930" i="1"/>
  <c r="U929" i="1"/>
  <c r="O929" i="1"/>
  <c r="N929" i="1"/>
  <c r="M929" i="1"/>
  <c r="L929" i="1"/>
  <c r="K929" i="1"/>
  <c r="J929" i="1"/>
  <c r="G929" i="1"/>
  <c r="U928" i="1"/>
  <c r="O928" i="1"/>
  <c r="N928" i="1"/>
  <c r="M928" i="1"/>
  <c r="L928" i="1"/>
  <c r="K928" i="1"/>
  <c r="J928" i="1"/>
  <c r="G928" i="1"/>
  <c r="U927" i="1"/>
  <c r="O927" i="1"/>
  <c r="N927" i="1"/>
  <c r="M927" i="1"/>
  <c r="L927" i="1"/>
  <c r="K927" i="1"/>
  <c r="J927" i="1"/>
  <c r="G927" i="1"/>
  <c r="U926" i="1"/>
  <c r="O926" i="1"/>
  <c r="N926" i="1"/>
  <c r="M926" i="1"/>
  <c r="L926" i="1"/>
  <c r="K926" i="1"/>
  <c r="J926" i="1"/>
  <c r="G926" i="1"/>
  <c r="U925" i="1"/>
  <c r="O925" i="1"/>
  <c r="N925" i="1"/>
  <c r="M925" i="1"/>
  <c r="L925" i="1"/>
  <c r="K925" i="1"/>
  <c r="J925" i="1"/>
  <c r="G925" i="1"/>
  <c r="U924" i="1"/>
  <c r="O924" i="1"/>
  <c r="N924" i="1"/>
  <c r="M924" i="1"/>
  <c r="L924" i="1"/>
  <c r="K924" i="1"/>
  <c r="J924" i="1"/>
  <c r="G924" i="1"/>
  <c r="U923" i="1"/>
  <c r="O923" i="1"/>
  <c r="N923" i="1"/>
  <c r="M923" i="1"/>
  <c r="L923" i="1"/>
  <c r="K923" i="1"/>
  <c r="J923" i="1"/>
  <c r="G923" i="1"/>
  <c r="U922" i="1"/>
  <c r="O922" i="1"/>
  <c r="N922" i="1"/>
  <c r="M922" i="1"/>
  <c r="L922" i="1"/>
  <c r="K922" i="1"/>
  <c r="J922" i="1"/>
  <c r="G922" i="1"/>
  <c r="U921" i="1"/>
  <c r="O921" i="1"/>
  <c r="N921" i="1"/>
  <c r="M921" i="1"/>
  <c r="L921" i="1"/>
  <c r="K921" i="1"/>
  <c r="J921" i="1"/>
  <c r="G921" i="1"/>
  <c r="U920" i="1"/>
  <c r="O920" i="1"/>
  <c r="N920" i="1"/>
  <c r="M920" i="1"/>
  <c r="L920" i="1"/>
  <c r="K920" i="1"/>
  <c r="J920" i="1"/>
  <c r="G920" i="1"/>
  <c r="U919" i="1"/>
  <c r="O919" i="1"/>
  <c r="N919" i="1"/>
  <c r="M919" i="1"/>
  <c r="L919" i="1"/>
  <c r="K919" i="1"/>
  <c r="J919" i="1"/>
  <c r="G919" i="1"/>
  <c r="U918" i="1"/>
  <c r="O918" i="1"/>
  <c r="N918" i="1"/>
  <c r="M918" i="1"/>
  <c r="L918" i="1"/>
  <c r="K918" i="1"/>
  <c r="J918" i="1"/>
  <c r="G918" i="1"/>
  <c r="U917" i="1"/>
  <c r="O917" i="1"/>
  <c r="N917" i="1"/>
  <c r="M917" i="1"/>
  <c r="L917" i="1"/>
  <c r="K917" i="1"/>
  <c r="J917" i="1"/>
  <c r="G917" i="1"/>
  <c r="U916" i="1"/>
  <c r="O916" i="1"/>
  <c r="N916" i="1"/>
  <c r="M916" i="1"/>
  <c r="L916" i="1"/>
  <c r="K916" i="1"/>
  <c r="J916" i="1"/>
  <c r="G916" i="1"/>
  <c r="U915" i="1"/>
  <c r="O915" i="1"/>
  <c r="N915" i="1"/>
  <c r="M915" i="1"/>
  <c r="L915" i="1"/>
  <c r="K915" i="1"/>
  <c r="J915" i="1"/>
  <c r="G915" i="1"/>
  <c r="U914" i="1"/>
  <c r="O914" i="1"/>
  <c r="N914" i="1"/>
  <c r="M914" i="1"/>
  <c r="L914" i="1"/>
  <c r="K914" i="1"/>
  <c r="J914" i="1"/>
  <c r="G914" i="1"/>
  <c r="U913" i="1"/>
  <c r="O913" i="1"/>
  <c r="N913" i="1"/>
  <c r="M913" i="1"/>
  <c r="L913" i="1"/>
  <c r="K913" i="1"/>
  <c r="J913" i="1"/>
  <c r="G913" i="1"/>
  <c r="U912" i="1"/>
  <c r="O912" i="1"/>
  <c r="N912" i="1"/>
  <c r="M912" i="1"/>
  <c r="L912" i="1"/>
  <c r="K912" i="1"/>
  <c r="J912" i="1"/>
  <c r="G912" i="1"/>
  <c r="U911" i="1"/>
  <c r="O911" i="1"/>
  <c r="N911" i="1"/>
  <c r="M911" i="1"/>
  <c r="L911" i="1"/>
  <c r="K911" i="1"/>
  <c r="J911" i="1"/>
  <c r="G911" i="1"/>
  <c r="U910" i="1"/>
  <c r="O910" i="1"/>
  <c r="N910" i="1"/>
  <c r="M910" i="1"/>
  <c r="L910" i="1"/>
  <c r="K910" i="1"/>
  <c r="J910" i="1"/>
  <c r="G910" i="1"/>
  <c r="U909" i="1"/>
  <c r="O909" i="1"/>
  <c r="N909" i="1"/>
  <c r="M909" i="1"/>
  <c r="L909" i="1"/>
  <c r="K909" i="1"/>
  <c r="J909" i="1"/>
  <c r="G909" i="1"/>
  <c r="U908" i="1"/>
  <c r="O908" i="1"/>
  <c r="N908" i="1"/>
  <c r="M908" i="1"/>
  <c r="L908" i="1"/>
  <c r="K908" i="1"/>
  <c r="J908" i="1"/>
  <c r="G908" i="1"/>
  <c r="U907" i="1"/>
  <c r="O907" i="1"/>
  <c r="N907" i="1"/>
  <c r="M907" i="1"/>
  <c r="L907" i="1"/>
  <c r="K907" i="1"/>
  <c r="J907" i="1"/>
  <c r="G907" i="1"/>
  <c r="U906" i="1"/>
  <c r="O906" i="1"/>
  <c r="N906" i="1"/>
  <c r="M906" i="1"/>
  <c r="L906" i="1"/>
  <c r="K906" i="1"/>
  <c r="J906" i="1"/>
  <c r="G906" i="1"/>
  <c r="U905" i="1"/>
  <c r="O905" i="1"/>
  <c r="N905" i="1"/>
  <c r="M905" i="1"/>
  <c r="L905" i="1"/>
  <c r="K905" i="1"/>
  <c r="J905" i="1"/>
  <c r="G905" i="1"/>
  <c r="U904" i="1"/>
  <c r="O904" i="1"/>
  <c r="N904" i="1"/>
  <c r="M904" i="1"/>
  <c r="L904" i="1"/>
  <c r="K904" i="1"/>
  <c r="J904" i="1"/>
  <c r="G904" i="1"/>
  <c r="U903" i="1"/>
  <c r="O903" i="1"/>
  <c r="N903" i="1"/>
  <c r="M903" i="1"/>
  <c r="L903" i="1"/>
  <c r="K903" i="1"/>
  <c r="J903" i="1"/>
  <c r="G903" i="1"/>
  <c r="U902" i="1"/>
  <c r="O902" i="1"/>
  <c r="N902" i="1"/>
  <c r="M902" i="1"/>
  <c r="L902" i="1"/>
  <c r="K902" i="1"/>
  <c r="J902" i="1"/>
  <c r="G902" i="1"/>
  <c r="U901" i="1"/>
  <c r="O901" i="1"/>
  <c r="N901" i="1"/>
  <c r="M901" i="1"/>
  <c r="L901" i="1"/>
  <c r="K901" i="1"/>
  <c r="J901" i="1"/>
  <c r="G901" i="1"/>
  <c r="U900" i="1"/>
  <c r="O900" i="1"/>
  <c r="N900" i="1"/>
  <c r="M900" i="1"/>
  <c r="L900" i="1"/>
  <c r="K900" i="1"/>
  <c r="J900" i="1"/>
  <c r="G900" i="1"/>
  <c r="U899" i="1"/>
  <c r="O899" i="1"/>
  <c r="N899" i="1"/>
  <c r="M899" i="1"/>
  <c r="L899" i="1"/>
  <c r="K899" i="1"/>
  <c r="J899" i="1"/>
  <c r="G899" i="1"/>
  <c r="U898" i="1"/>
  <c r="O898" i="1"/>
  <c r="N898" i="1"/>
  <c r="M898" i="1"/>
  <c r="L898" i="1"/>
  <c r="K898" i="1"/>
  <c r="J898" i="1"/>
  <c r="G898" i="1"/>
  <c r="U897" i="1"/>
  <c r="O897" i="1"/>
  <c r="N897" i="1"/>
  <c r="M897" i="1"/>
  <c r="L897" i="1"/>
  <c r="K897" i="1"/>
  <c r="J897" i="1"/>
  <c r="G897" i="1"/>
  <c r="U896" i="1"/>
  <c r="O896" i="1"/>
  <c r="N896" i="1"/>
  <c r="M896" i="1"/>
  <c r="L896" i="1"/>
  <c r="K896" i="1"/>
  <c r="J896" i="1"/>
  <c r="G896" i="1"/>
  <c r="U895" i="1"/>
  <c r="O895" i="1"/>
  <c r="N895" i="1"/>
  <c r="M895" i="1"/>
  <c r="L895" i="1"/>
  <c r="K895" i="1"/>
  <c r="J895" i="1"/>
  <c r="G895" i="1"/>
  <c r="U894" i="1"/>
  <c r="O894" i="1"/>
  <c r="N894" i="1"/>
  <c r="M894" i="1"/>
  <c r="L894" i="1"/>
  <c r="K894" i="1"/>
  <c r="J894" i="1"/>
  <c r="G894" i="1"/>
  <c r="U893" i="1"/>
  <c r="O893" i="1"/>
  <c r="N893" i="1"/>
  <c r="M893" i="1"/>
  <c r="L893" i="1"/>
  <c r="K893" i="1"/>
  <c r="J893" i="1"/>
  <c r="G893" i="1"/>
  <c r="U892" i="1"/>
  <c r="O892" i="1"/>
  <c r="N892" i="1"/>
  <c r="M892" i="1"/>
  <c r="L892" i="1"/>
  <c r="K892" i="1"/>
  <c r="J892" i="1"/>
  <c r="G892" i="1"/>
  <c r="U891" i="1"/>
  <c r="O891" i="1"/>
  <c r="N891" i="1"/>
  <c r="M891" i="1"/>
  <c r="L891" i="1"/>
  <c r="K891" i="1"/>
  <c r="J891" i="1"/>
  <c r="G891" i="1"/>
  <c r="U890" i="1"/>
  <c r="O890" i="1"/>
  <c r="N890" i="1"/>
  <c r="M890" i="1"/>
  <c r="L890" i="1"/>
  <c r="K890" i="1"/>
  <c r="J890" i="1"/>
  <c r="G890" i="1"/>
  <c r="U889" i="1"/>
  <c r="O889" i="1"/>
  <c r="N889" i="1"/>
  <c r="M889" i="1"/>
  <c r="L889" i="1"/>
  <c r="K889" i="1"/>
  <c r="J889" i="1"/>
  <c r="G889" i="1"/>
  <c r="U888" i="1"/>
  <c r="O888" i="1"/>
  <c r="N888" i="1"/>
  <c r="M888" i="1"/>
  <c r="L888" i="1"/>
  <c r="K888" i="1"/>
  <c r="J888" i="1"/>
  <c r="G888" i="1"/>
  <c r="U887" i="1"/>
  <c r="O887" i="1"/>
  <c r="N887" i="1"/>
  <c r="M887" i="1"/>
  <c r="L887" i="1"/>
  <c r="K887" i="1"/>
  <c r="J887" i="1"/>
  <c r="G887" i="1"/>
  <c r="U886" i="1"/>
  <c r="O886" i="1"/>
  <c r="N886" i="1"/>
  <c r="M886" i="1"/>
  <c r="L886" i="1"/>
  <c r="K886" i="1"/>
  <c r="J886" i="1"/>
  <c r="G886" i="1"/>
  <c r="U885" i="1"/>
  <c r="O885" i="1"/>
  <c r="N885" i="1"/>
  <c r="M885" i="1"/>
  <c r="L885" i="1"/>
  <c r="K885" i="1"/>
  <c r="J885" i="1"/>
  <c r="G885" i="1"/>
  <c r="U884" i="1"/>
  <c r="O884" i="1"/>
  <c r="N884" i="1"/>
  <c r="M884" i="1"/>
  <c r="L884" i="1"/>
  <c r="K884" i="1"/>
  <c r="J884" i="1"/>
  <c r="G884" i="1"/>
  <c r="U883" i="1"/>
  <c r="O883" i="1"/>
  <c r="N883" i="1"/>
  <c r="M883" i="1"/>
  <c r="L883" i="1"/>
  <c r="K883" i="1"/>
  <c r="J883" i="1"/>
  <c r="G883" i="1"/>
  <c r="U882" i="1"/>
  <c r="O882" i="1"/>
  <c r="N882" i="1"/>
  <c r="M882" i="1"/>
  <c r="L882" i="1"/>
  <c r="K882" i="1"/>
  <c r="J882" i="1"/>
  <c r="G882" i="1"/>
  <c r="U881" i="1"/>
  <c r="O881" i="1"/>
  <c r="N881" i="1"/>
  <c r="M881" i="1"/>
  <c r="L881" i="1"/>
  <c r="K881" i="1"/>
  <c r="J881" i="1"/>
  <c r="G881" i="1"/>
  <c r="U880" i="1"/>
  <c r="O880" i="1"/>
  <c r="N880" i="1"/>
  <c r="M880" i="1"/>
  <c r="L880" i="1"/>
  <c r="K880" i="1"/>
  <c r="J880" i="1"/>
  <c r="G880" i="1"/>
  <c r="U879" i="1"/>
  <c r="O879" i="1"/>
  <c r="N879" i="1"/>
  <c r="M879" i="1"/>
  <c r="L879" i="1"/>
  <c r="K879" i="1"/>
  <c r="J879" i="1"/>
  <c r="G879" i="1"/>
  <c r="U878" i="1"/>
  <c r="O878" i="1"/>
  <c r="N878" i="1"/>
  <c r="M878" i="1"/>
  <c r="L878" i="1"/>
  <c r="K878" i="1"/>
  <c r="J878" i="1"/>
  <c r="G878" i="1"/>
  <c r="U877" i="1"/>
  <c r="O877" i="1"/>
  <c r="N877" i="1"/>
  <c r="M877" i="1"/>
  <c r="L877" i="1"/>
  <c r="K877" i="1"/>
  <c r="J877" i="1"/>
  <c r="G877" i="1"/>
  <c r="U876" i="1"/>
  <c r="O876" i="1"/>
  <c r="N876" i="1"/>
  <c r="M876" i="1"/>
  <c r="L876" i="1"/>
  <c r="K876" i="1"/>
  <c r="J876" i="1"/>
  <c r="G876" i="1"/>
  <c r="U875" i="1"/>
  <c r="O875" i="1"/>
  <c r="N875" i="1"/>
  <c r="M875" i="1"/>
  <c r="L875" i="1"/>
  <c r="K875" i="1"/>
  <c r="J875" i="1"/>
  <c r="G875" i="1"/>
  <c r="U874" i="1"/>
  <c r="O874" i="1"/>
  <c r="N874" i="1"/>
  <c r="M874" i="1"/>
  <c r="L874" i="1"/>
  <c r="K874" i="1"/>
  <c r="J874" i="1"/>
  <c r="G874" i="1"/>
  <c r="U873" i="1"/>
  <c r="O873" i="1"/>
  <c r="N873" i="1"/>
  <c r="M873" i="1"/>
  <c r="L873" i="1"/>
  <c r="K873" i="1"/>
  <c r="J873" i="1"/>
  <c r="G873" i="1"/>
  <c r="U872" i="1"/>
  <c r="O872" i="1"/>
  <c r="N872" i="1"/>
  <c r="M872" i="1"/>
  <c r="L872" i="1"/>
  <c r="K872" i="1"/>
  <c r="J872" i="1"/>
  <c r="G872" i="1"/>
  <c r="U871" i="1"/>
  <c r="O871" i="1"/>
  <c r="N871" i="1"/>
  <c r="M871" i="1"/>
  <c r="L871" i="1"/>
  <c r="K871" i="1"/>
  <c r="J871" i="1"/>
  <c r="G871" i="1"/>
  <c r="U870" i="1"/>
  <c r="O870" i="1"/>
  <c r="N870" i="1"/>
  <c r="M870" i="1"/>
  <c r="L870" i="1"/>
  <c r="K870" i="1"/>
  <c r="J870" i="1"/>
  <c r="G870" i="1"/>
  <c r="U869" i="1"/>
  <c r="O869" i="1"/>
  <c r="N869" i="1"/>
  <c r="M869" i="1"/>
  <c r="L869" i="1"/>
  <c r="K869" i="1"/>
  <c r="J869" i="1"/>
  <c r="G869" i="1"/>
  <c r="U868" i="1"/>
  <c r="O868" i="1"/>
  <c r="N868" i="1"/>
  <c r="M868" i="1"/>
  <c r="L868" i="1"/>
  <c r="K868" i="1"/>
  <c r="J868" i="1"/>
  <c r="G868" i="1"/>
  <c r="U867" i="1"/>
  <c r="O867" i="1"/>
  <c r="N867" i="1"/>
  <c r="M867" i="1"/>
  <c r="L867" i="1"/>
  <c r="K867" i="1"/>
  <c r="J867" i="1"/>
  <c r="G867" i="1"/>
  <c r="U866" i="1"/>
  <c r="O866" i="1"/>
  <c r="N866" i="1"/>
  <c r="M866" i="1"/>
  <c r="L866" i="1"/>
  <c r="K866" i="1"/>
  <c r="J866" i="1"/>
  <c r="G866" i="1"/>
  <c r="U865" i="1"/>
  <c r="O865" i="1"/>
  <c r="N865" i="1"/>
  <c r="M865" i="1"/>
  <c r="L865" i="1"/>
  <c r="K865" i="1"/>
  <c r="J865" i="1"/>
  <c r="G865" i="1"/>
  <c r="U864" i="1"/>
  <c r="O864" i="1"/>
  <c r="N864" i="1"/>
  <c r="M864" i="1"/>
  <c r="L864" i="1"/>
  <c r="K864" i="1"/>
  <c r="J864" i="1"/>
  <c r="G864" i="1"/>
  <c r="U863" i="1"/>
  <c r="O863" i="1"/>
  <c r="N863" i="1"/>
  <c r="M863" i="1"/>
  <c r="L863" i="1"/>
  <c r="K863" i="1"/>
  <c r="J863" i="1"/>
  <c r="G863" i="1"/>
  <c r="U862" i="1"/>
  <c r="O862" i="1"/>
  <c r="N862" i="1"/>
  <c r="M862" i="1"/>
  <c r="L862" i="1"/>
  <c r="K862" i="1"/>
  <c r="J862" i="1"/>
  <c r="G862" i="1"/>
  <c r="U861" i="1"/>
  <c r="O861" i="1"/>
  <c r="N861" i="1"/>
  <c r="M861" i="1"/>
  <c r="L861" i="1"/>
  <c r="K861" i="1"/>
  <c r="J861" i="1"/>
  <c r="G861" i="1"/>
  <c r="U860" i="1"/>
  <c r="O860" i="1"/>
  <c r="N860" i="1"/>
  <c r="M860" i="1"/>
  <c r="L860" i="1"/>
  <c r="K860" i="1"/>
  <c r="J860" i="1"/>
  <c r="G860" i="1"/>
  <c r="U859" i="1"/>
  <c r="O859" i="1"/>
  <c r="N859" i="1"/>
  <c r="M859" i="1"/>
  <c r="L859" i="1"/>
  <c r="K859" i="1"/>
  <c r="J859" i="1"/>
  <c r="G859" i="1"/>
  <c r="U858" i="1"/>
  <c r="O858" i="1"/>
  <c r="N858" i="1"/>
  <c r="M858" i="1"/>
  <c r="L858" i="1"/>
  <c r="K858" i="1"/>
  <c r="J858" i="1"/>
  <c r="G858" i="1"/>
  <c r="U857" i="1"/>
  <c r="O857" i="1"/>
  <c r="N857" i="1"/>
  <c r="M857" i="1"/>
  <c r="L857" i="1"/>
  <c r="K857" i="1"/>
  <c r="J857" i="1"/>
  <c r="G857" i="1"/>
  <c r="U856" i="1"/>
  <c r="O856" i="1"/>
  <c r="N856" i="1"/>
  <c r="M856" i="1"/>
  <c r="L856" i="1"/>
  <c r="K856" i="1"/>
  <c r="J856" i="1"/>
  <c r="G856" i="1"/>
  <c r="U855" i="1"/>
  <c r="O855" i="1"/>
  <c r="N855" i="1"/>
  <c r="M855" i="1"/>
  <c r="L855" i="1"/>
  <c r="K855" i="1"/>
  <c r="J855" i="1"/>
  <c r="G855" i="1"/>
  <c r="U854" i="1"/>
  <c r="O854" i="1"/>
  <c r="N854" i="1"/>
  <c r="M854" i="1"/>
  <c r="L854" i="1"/>
  <c r="K854" i="1"/>
  <c r="J854" i="1"/>
  <c r="G854" i="1"/>
  <c r="U853" i="1"/>
  <c r="O853" i="1"/>
  <c r="N853" i="1"/>
  <c r="M853" i="1"/>
  <c r="L853" i="1"/>
  <c r="K853" i="1"/>
  <c r="J853" i="1"/>
  <c r="G853" i="1"/>
  <c r="U852" i="1"/>
  <c r="O852" i="1"/>
  <c r="N852" i="1"/>
  <c r="M852" i="1"/>
  <c r="L852" i="1"/>
  <c r="K852" i="1"/>
  <c r="J852" i="1"/>
  <c r="G852" i="1"/>
  <c r="U851" i="1"/>
  <c r="O851" i="1"/>
  <c r="N851" i="1"/>
  <c r="M851" i="1"/>
  <c r="L851" i="1"/>
  <c r="K851" i="1"/>
  <c r="J851" i="1"/>
  <c r="G851" i="1"/>
  <c r="U850" i="1"/>
  <c r="O850" i="1"/>
  <c r="N850" i="1"/>
  <c r="M850" i="1"/>
  <c r="L850" i="1"/>
  <c r="K850" i="1"/>
  <c r="J850" i="1"/>
  <c r="G850" i="1"/>
  <c r="U849" i="1"/>
  <c r="O849" i="1"/>
  <c r="N849" i="1"/>
  <c r="M849" i="1"/>
  <c r="L849" i="1"/>
  <c r="K849" i="1"/>
  <c r="J849" i="1"/>
  <c r="G849" i="1"/>
  <c r="U848" i="1"/>
  <c r="O848" i="1"/>
  <c r="N848" i="1"/>
  <c r="M848" i="1"/>
  <c r="L848" i="1"/>
  <c r="K848" i="1"/>
  <c r="J848" i="1"/>
  <c r="G848" i="1"/>
  <c r="U847" i="1"/>
  <c r="O847" i="1"/>
  <c r="N847" i="1"/>
  <c r="M847" i="1"/>
  <c r="L847" i="1"/>
  <c r="K847" i="1"/>
  <c r="J847" i="1"/>
  <c r="G847" i="1"/>
  <c r="U846" i="1"/>
  <c r="O846" i="1"/>
  <c r="N846" i="1"/>
  <c r="M846" i="1"/>
  <c r="L846" i="1"/>
  <c r="K846" i="1"/>
  <c r="J846" i="1"/>
  <c r="G846" i="1"/>
  <c r="U845" i="1"/>
  <c r="O845" i="1"/>
  <c r="N845" i="1"/>
  <c r="M845" i="1"/>
  <c r="L845" i="1"/>
  <c r="K845" i="1"/>
  <c r="J845" i="1"/>
  <c r="G845" i="1"/>
  <c r="U844" i="1"/>
  <c r="O844" i="1"/>
  <c r="N844" i="1"/>
  <c r="M844" i="1"/>
  <c r="L844" i="1"/>
  <c r="K844" i="1"/>
  <c r="J844" i="1"/>
  <c r="G844" i="1"/>
  <c r="U843" i="1"/>
  <c r="O843" i="1"/>
  <c r="N843" i="1"/>
  <c r="M843" i="1"/>
  <c r="L843" i="1"/>
  <c r="K843" i="1"/>
  <c r="J843" i="1"/>
  <c r="G843" i="1"/>
  <c r="U842" i="1"/>
  <c r="O842" i="1"/>
  <c r="N842" i="1"/>
  <c r="M842" i="1"/>
  <c r="L842" i="1"/>
  <c r="K842" i="1"/>
  <c r="J842" i="1"/>
  <c r="G842" i="1"/>
  <c r="U841" i="1"/>
  <c r="O841" i="1"/>
  <c r="N841" i="1"/>
  <c r="M841" i="1"/>
  <c r="L841" i="1"/>
  <c r="K841" i="1"/>
  <c r="J841" i="1"/>
  <c r="G841" i="1"/>
  <c r="U840" i="1"/>
  <c r="O840" i="1"/>
  <c r="N840" i="1"/>
  <c r="M840" i="1"/>
  <c r="L840" i="1"/>
  <c r="K840" i="1"/>
  <c r="J840" i="1"/>
  <c r="G840" i="1"/>
  <c r="U839" i="1"/>
  <c r="O839" i="1"/>
  <c r="N839" i="1"/>
  <c r="M839" i="1"/>
  <c r="L839" i="1"/>
  <c r="K839" i="1"/>
  <c r="J839" i="1"/>
  <c r="G839" i="1"/>
  <c r="U838" i="1"/>
  <c r="O838" i="1"/>
  <c r="N838" i="1"/>
  <c r="M838" i="1"/>
  <c r="L838" i="1"/>
  <c r="K838" i="1"/>
  <c r="J838" i="1"/>
  <c r="G838" i="1"/>
  <c r="U837" i="1"/>
  <c r="O837" i="1"/>
  <c r="N837" i="1"/>
  <c r="M837" i="1"/>
  <c r="L837" i="1"/>
  <c r="K837" i="1"/>
  <c r="J837" i="1"/>
  <c r="G837" i="1"/>
  <c r="U836" i="1"/>
  <c r="O836" i="1"/>
  <c r="N836" i="1"/>
  <c r="M836" i="1"/>
  <c r="L836" i="1"/>
  <c r="K836" i="1"/>
  <c r="J836" i="1"/>
  <c r="G836" i="1"/>
  <c r="U835" i="1"/>
  <c r="O835" i="1"/>
  <c r="N835" i="1"/>
  <c r="M835" i="1"/>
  <c r="L835" i="1"/>
  <c r="K835" i="1"/>
  <c r="J835" i="1"/>
  <c r="G835" i="1"/>
  <c r="U834" i="1"/>
  <c r="O834" i="1"/>
  <c r="N834" i="1"/>
  <c r="M834" i="1"/>
  <c r="L834" i="1"/>
  <c r="K834" i="1"/>
  <c r="J834" i="1"/>
  <c r="G834" i="1"/>
  <c r="U833" i="1"/>
  <c r="O833" i="1"/>
  <c r="N833" i="1"/>
  <c r="M833" i="1"/>
  <c r="L833" i="1"/>
  <c r="K833" i="1"/>
  <c r="J833" i="1"/>
  <c r="G833" i="1"/>
  <c r="U832" i="1"/>
  <c r="O832" i="1"/>
  <c r="N832" i="1"/>
  <c r="M832" i="1"/>
  <c r="L832" i="1"/>
  <c r="K832" i="1"/>
  <c r="J832" i="1"/>
  <c r="G832" i="1"/>
  <c r="U831" i="1"/>
  <c r="O831" i="1"/>
  <c r="N831" i="1"/>
  <c r="M831" i="1"/>
  <c r="L831" i="1"/>
  <c r="K831" i="1"/>
  <c r="J831" i="1"/>
  <c r="G831" i="1"/>
  <c r="U830" i="1"/>
  <c r="O830" i="1"/>
  <c r="N830" i="1"/>
  <c r="M830" i="1"/>
  <c r="L830" i="1"/>
  <c r="K830" i="1"/>
  <c r="J830" i="1"/>
  <c r="G830" i="1"/>
  <c r="U829" i="1"/>
  <c r="O829" i="1"/>
  <c r="N829" i="1"/>
  <c r="M829" i="1"/>
  <c r="L829" i="1"/>
  <c r="K829" i="1"/>
  <c r="J829" i="1"/>
  <c r="G829" i="1"/>
  <c r="U828" i="1"/>
  <c r="O828" i="1"/>
  <c r="N828" i="1"/>
  <c r="M828" i="1"/>
  <c r="L828" i="1"/>
  <c r="K828" i="1"/>
  <c r="J828" i="1"/>
  <c r="G828" i="1"/>
  <c r="U827" i="1"/>
  <c r="O827" i="1"/>
  <c r="N827" i="1"/>
  <c r="M827" i="1"/>
  <c r="L827" i="1"/>
  <c r="K827" i="1"/>
  <c r="J827" i="1"/>
  <c r="G827" i="1"/>
  <c r="U826" i="1"/>
  <c r="O826" i="1"/>
  <c r="N826" i="1"/>
  <c r="M826" i="1"/>
  <c r="L826" i="1"/>
  <c r="K826" i="1"/>
  <c r="J826" i="1"/>
  <c r="G826" i="1"/>
  <c r="U825" i="1"/>
  <c r="O825" i="1"/>
  <c r="N825" i="1"/>
  <c r="M825" i="1"/>
  <c r="L825" i="1"/>
  <c r="K825" i="1"/>
  <c r="J825" i="1"/>
  <c r="G825" i="1"/>
  <c r="U824" i="1"/>
  <c r="O824" i="1"/>
  <c r="N824" i="1"/>
  <c r="M824" i="1"/>
  <c r="L824" i="1"/>
  <c r="K824" i="1"/>
  <c r="J824" i="1"/>
  <c r="G824" i="1"/>
  <c r="U823" i="1"/>
  <c r="O823" i="1"/>
  <c r="N823" i="1"/>
  <c r="M823" i="1"/>
  <c r="L823" i="1"/>
  <c r="K823" i="1"/>
  <c r="J823" i="1"/>
  <c r="G823" i="1"/>
  <c r="U822" i="1"/>
  <c r="O822" i="1"/>
  <c r="N822" i="1"/>
  <c r="M822" i="1"/>
  <c r="L822" i="1"/>
  <c r="K822" i="1"/>
  <c r="J822" i="1"/>
  <c r="G822" i="1"/>
  <c r="U821" i="1"/>
  <c r="O821" i="1"/>
  <c r="N821" i="1"/>
  <c r="M821" i="1"/>
  <c r="L821" i="1"/>
  <c r="K821" i="1"/>
  <c r="J821" i="1"/>
  <c r="G821" i="1"/>
  <c r="U820" i="1"/>
  <c r="O820" i="1"/>
  <c r="N820" i="1"/>
  <c r="M820" i="1"/>
  <c r="L820" i="1"/>
  <c r="K820" i="1"/>
  <c r="J820" i="1"/>
  <c r="G820" i="1"/>
  <c r="U819" i="1"/>
  <c r="O819" i="1"/>
  <c r="N819" i="1"/>
  <c r="M819" i="1"/>
  <c r="L819" i="1"/>
  <c r="K819" i="1"/>
  <c r="J819" i="1"/>
  <c r="G819" i="1"/>
  <c r="U818" i="1"/>
  <c r="O818" i="1"/>
  <c r="N818" i="1"/>
  <c r="M818" i="1"/>
  <c r="L818" i="1"/>
  <c r="K818" i="1"/>
  <c r="J818" i="1"/>
  <c r="G818" i="1"/>
  <c r="U817" i="1"/>
  <c r="O817" i="1"/>
  <c r="N817" i="1"/>
  <c r="M817" i="1"/>
  <c r="L817" i="1"/>
  <c r="K817" i="1"/>
  <c r="J817" i="1"/>
  <c r="G817" i="1"/>
  <c r="U816" i="1"/>
  <c r="O816" i="1"/>
  <c r="N816" i="1"/>
  <c r="M816" i="1"/>
  <c r="L816" i="1"/>
  <c r="K816" i="1"/>
  <c r="J816" i="1"/>
  <c r="G816" i="1"/>
  <c r="U815" i="1"/>
  <c r="O815" i="1"/>
  <c r="N815" i="1"/>
  <c r="M815" i="1"/>
  <c r="L815" i="1"/>
  <c r="K815" i="1"/>
  <c r="J815" i="1"/>
  <c r="G815" i="1"/>
  <c r="U814" i="1"/>
  <c r="O814" i="1"/>
  <c r="N814" i="1"/>
  <c r="M814" i="1"/>
  <c r="L814" i="1"/>
  <c r="K814" i="1"/>
  <c r="J814" i="1"/>
  <c r="G814" i="1"/>
  <c r="U813" i="1"/>
  <c r="O813" i="1"/>
  <c r="N813" i="1"/>
  <c r="M813" i="1"/>
  <c r="L813" i="1"/>
  <c r="K813" i="1"/>
  <c r="J813" i="1"/>
  <c r="G813" i="1"/>
  <c r="U812" i="1"/>
  <c r="O812" i="1"/>
  <c r="N812" i="1"/>
  <c r="M812" i="1"/>
  <c r="L812" i="1"/>
  <c r="K812" i="1"/>
  <c r="J812" i="1"/>
  <c r="G812" i="1"/>
  <c r="U811" i="1"/>
  <c r="O811" i="1"/>
  <c r="N811" i="1"/>
  <c r="M811" i="1"/>
  <c r="L811" i="1"/>
  <c r="K811" i="1"/>
  <c r="J811" i="1"/>
  <c r="G811" i="1"/>
  <c r="U810" i="1"/>
  <c r="O810" i="1"/>
  <c r="N810" i="1"/>
  <c r="M810" i="1"/>
  <c r="L810" i="1"/>
  <c r="K810" i="1"/>
  <c r="J810" i="1"/>
  <c r="G810" i="1"/>
  <c r="U809" i="1"/>
  <c r="O809" i="1"/>
  <c r="N809" i="1"/>
  <c r="M809" i="1"/>
  <c r="L809" i="1"/>
  <c r="K809" i="1"/>
  <c r="J809" i="1"/>
  <c r="G809" i="1"/>
  <c r="U808" i="1"/>
  <c r="O808" i="1"/>
  <c r="N808" i="1"/>
  <c r="M808" i="1"/>
  <c r="L808" i="1"/>
  <c r="K808" i="1"/>
  <c r="J808" i="1"/>
  <c r="G808" i="1"/>
  <c r="U807" i="1"/>
  <c r="O807" i="1"/>
  <c r="N807" i="1"/>
  <c r="M807" i="1"/>
  <c r="L807" i="1"/>
  <c r="K807" i="1"/>
  <c r="J807" i="1"/>
  <c r="G807" i="1"/>
  <c r="U806" i="1"/>
  <c r="O806" i="1"/>
  <c r="N806" i="1"/>
  <c r="M806" i="1"/>
  <c r="L806" i="1"/>
  <c r="K806" i="1"/>
  <c r="J806" i="1"/>
  <c r="G806" i="1"/>
  <c r="U805" i="1"/>
  <c r="O805" i="1"/>
  <c r="N805" i="1"/>
  <c r="M805" i="1"/>
  <c r="L805" i="1"/>
  <c r="K805" i="1"/>
  <c r="J805" i="1"/>
  <c r="G805" i="1"/>
  <c r="U804" i="1"/>
  <c r="O804" i="1"/>
  <c r="N804" i="1"/>
  <c r="M804" i="1"/>
  <c r="L804" i="1"/>
  <c r="K804" i="1"/>
  <c r="J804" i="1"/>
  <c r="G804" i="1"/>
  <c r="U803" i="1"/>
  <c r="O803" i="1"/>
  <c r="N803" i="1"/>
  <c r="M803" i="1"/>
  <c r="L803" i="1"/>
  <c r="K803" i="1"/>
  <c r="J803" i="1"/>
  <c r="G803" i="1"/>
  <c r="U802" i="1"/>
  <c r="O802" i="1"/>
  <c r="N802" i="1"/>
  <c r="M802" i="1"/>
  <c r="L802" i="1"/>
  <c r="K802" i="1"/>
  <c r="J802" i="1"/>
  <c r="G802" i="1"/>
  <c r="U801" i="1"/>
  <c r="O801" i="1"/>
  <c r="N801" i="1"/>
  <c r="M801" i="1"/>
  <c r="L801" i="1"/>
  <c r="K801" i="1"/>
  <c r="J801" i="1"/>
  <c r="G801" i="1"/>
  <c r="U800" i="1"/>
  <c r="O800" i="1"/>
  <c r="N800" i="1"/>
  <c r="M800" i="1"/>
  <c r="L800" i="1"/>
  <c r="K800" i="1"/>
  <c r="J800" i="1"/>
  <c r="G800" i="1"/>
  <c r="U799" i="1"/>
  <c r="O799" i="1"/>
  <c r="N799" i="1"/>
  <c r="M799" i="1"/>
  <c r="L799" i="1"/>
  <c r="K799" i="1"/>
  <c r="J799" i="1"/>
  <c r="G799" i="1"/>
  <c r="U798" i="1"/>
  <c r="O798" i="1"/>
  <c r="N798" i="1"/>
  <c r="M798" i="1"/>
  <c r="L798" i="1"/>
  <c r="K798" i="1"/>
  <c r="J798" i="1"/>
  <c r="G798" i="1"/>
  <c r="U797" i="1"/>
  <c r="O797" i="1"/>
  <c r="N797" i="1"/>
  <c r="M797" i="1"/>
  <c r="L797" i="1"/>
  <c r="K797" i="1"/>
  <c r="J797" i="1"/>
  <c r="G797" i="1"/>
  <c r="U796" i="1"/>
  <c r="O796" i="1"/>
  <c r="N796" i="1"/>
  <c r="M796" i="1"/>
  <c r="L796" i="1"/>
  <c r="K796" i="1"/>
  <c r="J796" i="1"/>
  <c r="G796" i="1"/>
  <c r="U795" i="1"/>
  <c r="O795" i="1"/>
  <c r="N795" i="1"/>
  <c r="M795" i="1"/>
  <c r="L795" i="1"/>
  <c r="K795" i="1"/>
  <c r="J795" i="1"/>
  <c r="G795" i="1"/>
  <c r="U794" i="1"/>
  <c r="O794" i="1"/>
  <c r="N794" i="1"/>
  <c r="M794" i="1"/>
  <c r="L794" i="1"/>
  <c r="K794" i="1"/>
  <c r="J794" i="1"/>
  <c r="G794" i="1"/>
  <c r="U793" i="1"/>
  <c r="O793" i="1"/>
  <c r="N793" i="1"/>
  <c r="M793" i="1"/>
  <c r="L793" i="1"/>
  <c r="K793" i="1"/>
  <c r="J793" i="1"/>
  <c r="G793" i="1"/>
  <c r="U792" i="1"/>
  <c r="O792" i="1"/>
  <c r="N792" i="1"/>
  <c r="M792" i="1"/>
  <c r="L792" i="1"/>
  <c r="K792" i="1"/>
  <c r="J792" i="1"/>
  <c r="G792" i="1"/>
  <c r="U791" i="1"/>
  <c r="O791" i="1"/>
  <c r="N791" i="1"/>
  <c r="M791" i="1"/>
  <c r="L791" i="1"/>
  <c r="K791" i="1"/>
  <c r="J791" i="1"/>
  <c r="G791" i="1"/>
  <c r="U790" i="1"/>
  <c r="O790" i="1"/>
  <c r="N790" i="1"/>
  <c r="M790" i="1"/>
  <c r="L790" i="1"/>
  <c r="K790" i="1"/>
  <c r="J790" i="1"/>
  <c r="G790" i="1"/>
  <c r="U789" i="1"/>
  <c r="O789" i="1"/>
  <c r="N789" i="1"/>
  <c r="M789" i="1"/>
  <c r="L789" i="1"/>
  <c r="K789" i="1"/>
  <c r="J789" i="1"/>
  <c r="G789" i="1"/>
  <c r="U788" i="1"/>
  <c r="O788" i="1"/>
  <c r="N788" i="1"/>
  <c r="M788" i="1"/>
  <c r="L788" i="1"/>
  <c r="K788" i="1"/>
  <c r="J788" i="1"/>
  <c r="G788" i="1"/>
  <c r="U787" i="1"/>
  <c r="O787" i="1"/>
  <c r="N787" i="1"/>
  <c r="M787" i="1"/>
  <c r="L787" i="1"/>
  <c r="K787" i="1"/>
  <c r="J787" i="1"/>
  <c r="G787" i="1"/>
  <c r="U786" i="1"/>
  <c r="O786" i="1"/>
  <c r="N786" i="1"/>
  <c r="M786" i="1"/>
  <c r="L786" i="1"/>
  <c r="K786" i="1"/>
  <c r="J786" i="1"/>
  <c r="G786" i="1"/>
  <c r="U785" i="1"/>
  <c r="O785" i="1"/>
  <c r="N785" i="1"/>
  <c r="M785" i="1"/>
  <c r="L785" i="1"/>
  <c r="K785" i="1"/>
  <c r="J785" i="1"/>
  <c r="G785" i="1"/>
  <c r="U784" i="1"/>
  <c r="O784" i="1"/>
  <c r="N784" i="1"/>
  <c r="M784" i="1"/>
  <c r="L784" i="1"/>
  <c r="K784" i="1"/>
  <c r="J784" i="1"/>
  <c r="G784" i="1"/>
  <c r="U783" i="1"/>
  <c r="O783" i="1"/>
  <c r="N783" i="1"/>
  <c r="M783" i="1"/>
  <c r="L783" i="1"/>
  <c r="K783" i="1"/>
  <c r="J783" i="1"/>
  <c r="G783" i="1"/>
  <c r="U782" i="1"/>
  <c r="O782" i="1"/>
  <c r="N782" i="1"/>
  <c r="M782" i="1"/>
  <c r="L782" i="1"/>
  <c r="K782" i="1"/>
  <c r="J782" i="1"/>
  <c r="G782" i="1"/>
  <c r="U781" i="1"/>
  <c r="O781" i="1"/>
  <c r="N781" i="1"/>
  <c r="M781" i="1"/>
  <c r="L781" i="1"/>
  <c r="K781" i="1"/>
  <c r="J781" i="1"/>
  <c r="G781" i="1"/>
  <c r="U780" i="1"/>
  <c r="O780" i="1"/>
  <c r="N780" i="1"/>
  <c r="M780" i="1"/>
  <c r="L780" i="1"/>
  <c r="K780" i="1"/>
  <c r="J780" i="1"/>
  <c r="G780" i="1"/>
  <c r="U779" i="1"/>
  <c r="O779" i="1"/>
  <c r="N779" i="1"/>
  <c r="M779" i="1"/>
  <c r="L779" i="1"/>
  <c r="K779" i="1"/>
  <c r="J779" i="1"/>
  <c r="G779" i="1"/>
  <c r="U778" i="1"/>
  <c r="O778" i="1"/>
  <c r="N778" i="1"/>
  <c r="M778" i="1"/>
  <c r="L778" i="1"/>
  <c r="K778" i="1"/>
  <c r="J778" i="1"/>
  <c r="G778" i="1"/>
  <c r="U777" i="1"/>
  <c r="O777" i="1"/>
  <c r="N777" i="1"/>
  <c r="M777" i="1"/>
  <c r="L777" i="1"/>
  <c r="K777" i="1"/>
  <c r="J777" i="1"/>
  <c r="G777" i="1"/>
  <c r="U776" i="1"/>
  <c r="O776" i="1"/>
  <c r="N776" i="1"/>
  <c r="M776" i="1"/>
  <c r="L776" i="1"/>
  <c r="K776" i="1"/>
  <c r="J776" i="1"/>
  <c r="G776" i="1"/>
  <c r="U775" i="1"/>
  <c r="O775" i="1"/>
  <c r="N775" i="1"/>
  <c r="M775" i="1"/>
  <c r="L775" i="1"/>
  <c r="K775" i="1"/>
  <c r="J775" i="1"/>
  <c r="G775" i="1"/>
  <c r="U774" i="1"/>
  <c r="O774" i="1"/>
  <c r="N774" i="1"/>
  <c r="M774" i="1"/>
  <c r="L774" i="1"/>
  <c r="K774" i="1"/>
  <c r="J774" i="1"/>
  <c r="G774" i="1"/>
  <c r="U773" i="1"/>
  <c r="O773" i="1"/>
  <c r="N773" i="1"/>
  <c r="M773" i="1"/>
  <c r="L773" i="1"/>
  <c r="K773" i="1"/>
  <c r="J773" i="1"/>
  <c r="G773" i="1"/>
  <c r="U772" i="1"/>
  <c r="O772" i="1"/>
  <c r="N772" i="1"/>
  <c r="M772" i="1"/>
  <c r="L772" i="1"/>
  <c r="K772" i="1"/>
  <c r="J772" i="1"/>
  <c r="G772" i="1"/>
  <c r="U771" i="1"/>
  <c r="O771" i="1"/>
  <c r="N771" i="1"/>
  <c r="M771" i="1"/>
  <c r="L771" i="1"/>
  <c r="K771" i="1"/>
  <c r="J771" i="1"/>
  <c r="G771" i="1"/>
  <c r="U770" i="1"/>
  <c r="O770" i="1"/>
  <c r="N770" i="1"/>
  <c r="M770" i="1"/>
  <c r="L770" i="1"/>
  <c r="K770" i="1"/>
  <c r="J770" i="1"/>
  <c r="G770" i="1"/>
  <c r="U769" i="1"/>
  <c r="O769" i="1"/>
  <c r="N769" i="1"/>
  <c r="M769" i="1"/>
  <c r="L769" i="1"/>
  <c r="K769" i="1"/>
  <c r="J769" i="1"/>
  <c r="G769" i="1"/>
  <c r="U768" i="1"/>
  <c r="O768" i="1"/>
  <c r="N768" i="1"/>
  <c r="M768" i="1"/>
  <c r="L768" i="1"/>
  <c r="K768" i="1"/>
  <c r="J768" i="1"/>
  <c r="G768" i="1"/>
  <c r="U767" i="1"/>
  <c r="O767" i="1"/>
  <c r="N767" i="1"/>
  <c r="M767" i="1"/>
  <c r="L767" i="1"/>
  <c r="K767" i="1"/>
  <c r="J767" i="1"/>
  <c r="G767" i="1"/>
  <c r="U766" i="1"/>
  <c r="O766" i="1"/>
  <c r="N766" i="1"/>
  <c r="M766" i="1"/>
  <c r="L766" i="1"/>
  <c r="K766" i="1"/>
  <c r="J766" i="1"/>
  <c r="G766" i="1"/>
  <c r="U765" i="1"/>
  <c r="O765" i="1"/>
  <c r="N765" i="1"/>
  <c r="M765" i="1"/>
  <c r="L765" i="1"/>
  <c r="K765" i="1"/>
  <c r="J765" i="1"/>
  <c r="G765" i="1"/>
  <c r="U764" i="1"/>
  <c r="O764" i="1"/>
  <c r="N764" i="1"/>
  <c r="M764" i="1"/>
  <c r="L764" i="1"/>
  <c r="K764" i="1"/>
  <c r="J764" i="1"/>
  <c r="G764" i="1"/>
  <c r="U763" i="1"/>
  <c r="O763" i="1"/>
  <c r="N763" i="1"/>
  <c r="M763" i="1"/>
  <c r="L763" i="1"/>
  <c r="K763" i="1"/>
  <c r="J763" i="1"/>
  <c r="G763" i="1"/>
  <c r="U762" i="1"/>
  <c r="O762" i="1"/>
  <c r="N762" i="1"/>
  <c r="M762" i="1"/>
  <c r="L762" i="1"/>
  <c r="K762" i="1"/>
  <c r="J762" i="1"/>
  <c r="G762" i="1"/>
  <c r="U761" i="1"/>
  <c r="O761" i="1"/>
  <c r="N761" i="1"/>
  <c r="M761" i="1"/>
  <c r="L761" i="1"/>
  <c r="K761" i="1"/>
  <c r="J761" i="1"/>
  <c r="G761" i="1"/>
  <c r="U760" i="1"/>
  <c r="O760" i="1"/>
  <c r="N760" i="1"/>
  <c r="M760" i="1"/>
  <c r="L760" i="1"/>
  <c r="K760" i="1"/>
  <c r="J760" i="1"/>
  <c r="G760" i="1"/>
  <c r="U759" i="1"/>
  <c r="O759" i="1"/>
  <c r="N759" i="1"/>
  <c r="M759" i="1"/>
  <c r="L759" i="1"/>
  <c r="K759" i="1"/>
  <c r="J759" i="1"/>
  <c r="G759" i="1"/>
  <c r="U758" i="1"/>
  <c r="O758" i="1"/>
  <c r="N758" i="1"/>
  <c r="M758" i="1"/>
  <c r="L758" i="1"/>
  <c r="K758" i="1"/>
  <c r="J758" i="1"/>
  <c r="G758" i="1"/>
  <c r="U757" i="1"/>
  <c r="O757" i="1"/>
  <c r="N757" i="1"/>
  <c r="M757" i="1"/>
  <c r="L757" i="1"/>
  <c r="K757" i="1"/>
  <c r="J757" i="1"/>
  <c r="G757" i="1"/>
  <c r="U756" i="1"/>
  <c r="O756" i="1"/>
  <c r="N756" i="1"/>
  <c r="M756" i="1"/>
  <c r="L756" i="1"/>
  <c r="K756" i="1"/>
  <c r="J756" i="1"/>
  <c r="G756" i="1"/>
  <c r="U755" i="1"/>
  <c r="O755" i="1"/>
  <c r="N755" i="1"/>
  <c r="M755" i="1"/>
  <c r="L755" i="1"/>
  <c r="K755" i="1"/>
  <c r="J755" i="1"/>
  <c r="G755" i="1"/>
  <c r="U754" i="1"/>
  <c r="O754" i="1"/>
  <c r="N754" i="1"/>
  <c r="M754" i="1"/>
  <c r="L754" i="1"/>
  <c r="K754" i="1"/>
  <c r="J754" i="1"/>
  <c r="G754" i="1"/>
  <c r="U753" i="1"/>
  <c r="O753" i="1"/>
  <c r="N753" i="1"/>
  <c r="M753" i="1"/>
  <c r="L753" i="1"/>
  <c r="K753" i="1"/>
  <c r="J753" i="1"/>
  <c r="G753" i="1"/>
  <c r="U752" i="1"/>
  <c r="O752" i="1"/>
  <c r="N752" i="1"/>
  <c r="M752" i="1"/>
  <c r="L752" i="1"/>
  <c r="K752" i="1"/>
  <c r="J752" i="1"/>
  <c r="G752" i="1"/>
  <c r="U751" i="1"/>
  <c r="O751" i="1"/>
  <c r="N751" i="1"/>
  <c r="M751" i="1"/>
  <c r="L751" i="1"/>
  <c r="K751" i="1"/>
  <c r="J751" i="1"/>
  <c r="G751" i="1"/>
  <c r="U750" i="1"/>
  <c r="O750" i="1"/>
  <c r="N750" i="1"/>
  <c r="M750" i="1"/>
  <c r="L750" i="1"/>
  <c r="K750" i="1"/>
  <c r="J750" i="1"/>
  <c r="G750" i="1"/>
  <c r="U749" i="1"/>
  <c r="O749" i="1"/>
  <c r="N749" i="1"/>
  <c r="M749" i="1"/>
  <c r="L749" i="1"/>
  <c r="K749" i="1"/>
  <c r="J749" i="1"/>
  <c r="G749" i="1"/>
  <c r="U748" i="1"/>
  <c r="O748" i="1"/>
  <c r="N748" i="1"/>
  <c r="M748" i="1"/>
  <c r="L748" i="1"/>
  <c r="K748" i="1"/>
  <c r="J748" i="1"/>
  <c r="G748" i="1"/>
  <c r="U747" i="1"/>
  <c r="O747" i="1"/>
  <c r="N747" i="1"/>
  <c r="M747" i="1"/>
  <c r="L747" i="1"/>
  <c r="K747" i="1"/>
  <c r="J747" i="1"/>
  <c r="G747" i="1"/>
  <c r="U746" i="1"/>
  <c r="O746" i="1"/>
  <c r="N746" i="1"/>
  <c r="M746" i="1"/>
  <c r="L746" i="1"/>
  <c r="K746" i="1"/>
  <c r="J746" i="1"/>
  <c r="G746" i="1"/>
  <c r="U745" i="1"/>
  <c r="O745" i="1"/>
  <c r="N745" i="1"/>
  <c r="M745" i="1"/>
  <c r="L745" i="1"/>
  <c r="K745" i="1"/>
  <c r="J745" i="1"/>
  <c r="G745" i="1"/>
  <c r="U744" i="1"/>
  <c r="O744" i="1"/>
  <c r="N744" i="1"/>
  <c r="M744" i="1"/>
  <c r="L744" i="1"/>
  <c r="K744" i="1"/>
  <c r="J744" i="1"/>
  <c r="G744" i="1"/>
  <c r="U743" i="1"/>
  <c r="O743" i="1"/>
  <c r="N743" i="1"/>
  <c r="M743" i="1"/>
  <c r="L743" i="1"/>
  <c r="K743" i="1"/>
  <c r="J743" i="1"/>
  <c r="G743" i="1"/>
  <c r="U742" i="1"/>
  <c r="O742" i="1"/>
  <c r="N742" i="1"/>
  <c r="M742" i="1"/>
  <c r="L742" i="1"/>
  <c r="K742" i="1"/>
  <c r="J742" i="1"/>
  <c r="G742" i="1"/>
  <c r="U741" i="1"/>
  <c r="O741" i="1"/>
  <c r="N741" i="1"/>
  <c r="M741" i="1"/>
  <c r="L741" i="1"/>
  <c r="K741" i="1"/>
  <c r="J741" i="1"/>
  <c r="G741" i="1"/>
  <c r="U740" i="1"/>
  <c r="O740" i="1"/>
  <c r="N740" i="1"/>
  <c r="M740" i="1"/>
  <c r="L740" i="1"/>
  <c r="K740" i="1"/>
  <c r="J740" i="1"/>
  <c r="G740" i="1"/>
  <c r="U739" i="1"/>
  <c r="O739" i="1"/>
  <c r="N739" i="1"/>
  <c r="M739" i="1"/>
  <c r="L739" i="1"/>
  <c r="K739" i="1"/>
  <c r="J739" i="1"/>
  <c r="G739" i="1"/>
  <c r="U738" i="1"/>
  <c r="O738" i="1"/>
  <c r="N738" i="1"/>
  <c r="M738" i="1"/>
  <c r="L738" i="1"/>
  <c r="K738" i="1"/>
  <c r="J738" i="1"/>
  <c r="G738" i="1"/>
  <c r="U737" i="1"/>
  <c r="O737" i="1"/>
  <c r="N737" i="1"/>
  <c r="M737" i="1"/>
  <c r="L737" i="1"/>
  <c r="K737" i="1"/>
  <c r="J737" i="1"/>
  <c r="G737" i="1"/>
  <c r="U736" i="1"/>
  <c r="O736" i="1"/>
  <c r="N736" i="1"/>
  <c r="M736" i="1"/>
  <c r="L736" i="1"/>
  <c r="K736" i="1"/>
  <c r="J736" i="1"/>
  <c r="G736" i="1"/>
  <c r="U735" i="1"/>
  <c r="O735" i="1"/>
  <c r="N735" i="1"/>
  <c r="M735" i="1"/>
  <c r="L735" i="1"/>
  <c r="K735" i="1"/>
  <c r="J735" i="1"/>
  <c r="G735" i="1"/>
  <c r="U734" i="1"/>
  <c r="O734" i="1"/>
  <c r="N734" i="1"/>
  <c r="M734" i="1"/>
  <c r="L734" i="1"/>
  <c r="K734" i="1"/>
  <c r="J734" i="1"/>
  <c r="G734" i="1"/>
  <c r="U733" i="1"/>
  <c r="O733" i="1"/>
  <c r="N733" i="1"/>
  <c r="M733" i="1"/>
  <c r="L733" i="1"/>
  <c r="K733" i="1"/>
  <c r="J733" i="1"/>
  <c r="G733" i="1"/>
  <c r="U732" i="1"/>
  <c r="O732" i="1"/>
  <c r="N732" i="1"/>
  <c r="M732" i="1"/>
  <c r="L732" i="1"/>
  <c r="K732" i="1"/>
  <c r="J732" i="1"/>
  <c r="G732" i="1"/>
  <c r="U731" i="1"/>
  <c r="O731" i="1"/>
  <c r="N731" i="1"/>
  <c r="M731" i="1"/>
  <c r="L731" i="1"/>
  <c r="K731" i="1"/>
  <c r="J731" i="1"/>
  <c r="G731" i="1"/>
  <c r="U730" i="1"/>
  <c r="O730" i="1"/>
  <c r="N730" i="1"/>
  <c r="M730" i="1"/>
  <c r="L730" i="1"/>
  <c r="K730" i="1"/>
  <c r="J730" i="1"/>
  <c r="G730" i="1"/>
  <c r="U729" i="1"/>
  <c r="O729" i="1"/>
  <c r="N729" i="1"/>
  <c r="M729" i="1"/>
  <c r="L729" i="1"/>
  <c r="K729" i="1"/>
  <c r="J729" i="1"/>
  <c r="G729" i="1"/>
  <c r="U728" i="1"/>
  <c r="O728" i="1"/>
  <c r="N728" i="1"/>
  <c r="M728" i="1"/>
  <c r="L728" i="1"/>
  <c r="K728" i="1"/>
  <c r="J728" i="1"/>
  <c r="G728" i="1"/>
  <c r="U727" i="1"/>
  <c r="O727" i="1"/>
  <c r="N727" i="1"/>
  <c r="M727" i="1"/>
  <c r="L727" i="1"/>
  <c r="K727" i="1"/>
  <c r="J727" i="1"/>
  <c r="G727" i="1"/>
  <c r="U726" i="1"/>
  <c r="O726" i="1"/>
  <c r="N726" i="1"/>
  <c r="M726" i="1"/>
  <c r="L726" i="1"/>
  <c r="K726" i="1"/>
  <c r="J726" i="1"/>
  <c r="G726" i="1"/>
  <c r="U725" i="1"/>
  <c r="O725" i="1"/>
  <c r="N725" i="1"/>
  <c r="M725" i="1"/>
  <c r="L725" i="1"/>
  <c r="K725" i="1"/>
  <c r="J725" i="1"/>
  <c r="G725" i="1"/>
  <c r="U724" i="1"/>
  <c r="O724" i="1"/>
  <c r="N724" i="1"/>
  <c r="M724" i="1"/>
  <c r="L724" i="1"/>
  <c r="K724" i="1"/>
  <c r="J724" i="1"/>
  <c r="G724" i="1"/>
  <c r="U723" i="1"/>
  <c r="O723" i="1"/>
  <c r="N723" i="1"/>
  <c r="M723" i="1"/>
  <c r="L723" i="1"/>
  <c r="K723" i="1"/>
  <c r="J723" i="1"/>
  <c r="G723" i="1"/>
  <c r="U722" i="1"/>
  <c r="O722" i="1"/>
  <c r="N722" i="1"/>
  <c r="M722" i="1"/>
  <c r="L722" i="1"/>
  <c r="K722" i="1"/>
  <c r="J722" i="1"/>
  <c r="G722" i="1"/>
  <c r="U721" i="1"/>
  <c r="O721" i="1"/>
  <c r="N721" i="1"/>
  <c r="M721" i="1"/>
  <c r="L721" i="1"/>
  <c r="K721" i="1"/>
  <c r="J721" i="1"/>
  <c r="G721" i="1"/>
  <c r="U720" i="1"/>
  <c r="O720" i="1"/>
  <c r="N720" i="1"/>
  <c r="M720" i="1"/>
  <c r="L720" i="1"/>
  <c r="K720" i="1"/>
  <c r="J720" i="1"/>
  <c r="G720" i="1"/>
  <c r="U719" i="1"/>
  <c r="O719" i="1"/>
  <c r="N719" i="1"/>
  <c r="M719" i="1"/>
  <c r="L719" i="1"/>
  <c r="K719" i="1"/>
  <c r="J719" i="1"/>
  <c r="G719" i="1"/>
  <c r="U718" i="1"/>
  <c r="O718" i="1"/>
  <c r="N718" i="1"/>
  <c r="M718" i="1"/>
  <c r="L718" i="1"/>
  <c r="K718" i="1"/>
  <c r="J718" i="1"/>
  <c r="G718" i="1"/>
  <c r="U717" i="1"/>
  <c r="O717" i="1"/>
  <c r="N717" i="1"/>
  <c r="M717" i="1"/>
  <c r="L717" i="1"/>
  <c r="K717" i="1"/>
  <c r="J717" i="1"/>
  <c r="G717" i="1"/>
  <c r="U716" i="1"/>
  <c r="O716" i="1"/>
  <c r="N716" i="1"/>
  <c r="M716" i="1"/>
  <c r="L716" i="1"/>
  <c r="K716" i="1"/>
  <c r="J716" i="1"/>
  <c r="G716" i="1"/>
  <c r="U715" i="1"/>
  <c r="O715" i="1"/>
  <c r="N715" i="1"/>
  <c r="M715" i="1"/>
  <c r="L715" i="1"/>
  <c r="K715" i="1"/>
  <c r="J715" i="1"/>
  <c r="G715" i="1"/>
  <c r="U714" i="1"/>
  <c r="O714" i="1"/>
  <c r="N714" i="1"/>
  <c r="M714" i="1"/>
  <c r="L714" i="1"/>
  <c r="K714" i="1"/>
  <c r="J714" i="1"/>
  <c r="G714" i="1"/>
  <c r="U713" i="1"/>
  <c r="O713" i="1"/>
  <c r="N713" i="1"/>
  <c r="M713" i="1"/>
  <c r="L713" i="1"/>
  <c r="K713" i="1"/>
  <c r="J713" i="1"/>
  <c r="G713" i="1"/>
  <c r="U712" i="1"/>
  <c r="O712" i="1"/>
  <c r="N712" i="1"/>
  <c r="M712" i="1"/>
  <c r="L712" i="1"/>
  <c r="K712" i="1"/>
  <c r="J712" i="1"/>
  <c r="G712" i="1"/>
  <c r="U711" i="1"/>
  <c r="O711" i="1"/>
  <c r="N711" i="1"/>
  <c r="M711" i="1"/>
  <c r="L711" i="1"/>
  <c r="K711" i="1"/>
  <c r="J711" i="1"/>
  <c r="G711" i="1"/>
  <c r="U710" i="1"/>
  <c r="O710" i="1"/>
  <c r="N710" i="1"/>
  <c r="M710" i="1"/>
  <c r="L710" i="1"/>
  <c r="K710" i="1"/>
  <c r="J710" i="1"/>
  <c r="G710" i="1"/>
  <c r="U709" i="1"/>
  <c r="O709" i="1"/>
  <c r="N709" i="1"/>
  <c r="M709" i="1"/>
  <c r="L709" i="1"/>
  <c r="K709" i="1"/>
  <c r="J709" i="1"/>
  <c r="G709" i="1"/>
  <c r="U708" i="1"/>
  <c r="O708" i="1"/>
  <c r="N708" i="1"/>
  <c r="M708" i="1"/>
  <c r="L708" i="1"/>
  <c r="K708" i="1"/>
  <c r="J708" i="1"/>
  <c r="G708" i="1"/>
  <c r="U707" i="1"/>
  <c r="O707" i="1"/>
  <c r="N707" i="1"/>
  <c r="M707" i="1"/>
  <c r="L707" i="1"/>
  <c r="K707" i="1"/>
  <c r="J707" i="1"/>
  <c r="G707" i="1"/>
  <c r="U706" i="1"/>
  <c r="O706" i="1"/>
  <c r="N706" i="1"/>
  <c r="M706" i="1"/>
  <c r="L706" i="1"/>
  <c r="K706" i="1"/>
  <c r="J706" i="1"/>
  <c r="G706" i="1"/>
  <c r="U705" i="1"/>
  <c r="O705" i="1"/>
  <c r="N705" i="1"/>
  <c r="M705" i="1"/>
  <c r="L705" i="1"/>
  <c r="K705" i="1"/>
  <c r="J705" i="1"/>
  <c r="G705" i="1"/>
  <c r="U704" i="1"/>
  <c r="O704" i="1"/>
  <c r="N704" i="1"/>
  <c r="M704" i="1"/>
  <c r="L704" i="1"/>
  <c r="K704" i="1"/>
  <c r="J704" i="1"/>
  <c r="G704" i="1"/>
  <c r="U703" i="1"/>
  <c r="O703" i="1"/>
  <c r="N703" i="1"/>
  <c r="M703" i="1"/>
  <c r="L703" i="1"/>
  <c r="K703" i="1"/>
  <c r="J703" i="1"/>
  <c r="G703" i="1"/>
  <c r="U702" i="1"/>
  <c r="O702" i="1"/>
  <c r="N702" i="1"/>
  <c r="M702" i="1"/>
  <c r="L702" i="1"/>
  <c r="K702" i="1"/>
  <c r="J702" i="1"/>
  <c r="G702" i="1"/>
  <c r="U701" i="1"/>
  <c r="O701" i="1"/>
  <c r="N701" i="1"/>
  <c r="M701" i="1"/>
  <c r="L701" i="1"/>
  <c r="K701" i="1"/>
  <c r="J701" i="1"/>
  <c r="G701" i="1"/>
  <c r="U700" i="1"/>
  <c r="O700" i="1"/>
  <c r="N700" i="1"/>
  <c r="M700" i="1"/>
  <c r="L700" i="1"/>
  <c r="K700" i="1"/>
  <c r="J700" i="1"/>
  <c r="G700" i="1"/>
  <c r="U699" i="1"/>
  <c r="O699" i="1"/>
  <c r="N699" i="1"/>
  <c r="M699" i="1"/>
  <c r="L699" i="1"/>
  <c r="K699" i="1"/>
  <c r="J699" i="1"/>
  <c r="G699" i="1"/>
  <c r="U698" i="1"/>
  <c r="O698" i="1"/>
  <c r="N698" i="1"/>
  <c r="M698" i="1"/>
  <c r="L698" i="1"/>
  <c r="K698" i="1"/>
  <c r="J698" i="1"/>
  <c r="G698" i="1"/>
  <c r="U697" i="1"/>
  <c r="O697" i="1"/>
  <c r="N697" i="1"/>
  <c r="M697" i="1"/>
  <c r="L697" i="1"/>
  <c r="K697" i="1"/>
  <c r="J697" i="1"/>
  <c r="G697" i="1"/>
  <c r="U696" i="1"/>
  <c r="O696" i="1"/>
  <c r="N696" i="1"/>
  <c r="M696" i="1"/>
  <c r="L696" i="1"/>
  <c r="K696" i="1"/>
  <c r="J696" i="1"/>
  <c r="G696" i="1"/>
  <c r="U695" i="1"/>
  <c r="O695" i="1"/>
  <c r="N695" i="1"/>
  <c r="M695" i="1"/>
  <c r="L695" i="1"/>
  <c r="K695" i="1"/>
  <c r="J695" i="1"/>
  <c r="G695" i="1"/>
  <c r="U694" i="1"/>
  <c r="O694" i="1"/>
  <c r="N694" i="1"/>
  <c r="M694" i="1"/>
  <c r="L694" i="1"/>
  <c r="K694" i="1"/>
  <c r="J694" i="1"/>
  <c r="G694" i="1"/>
  <c r="U693" i="1"/>
  <c r="O693" i="1"/>
  <c r="N693" i="1"/>
  <c r="M693" i="1"/>
  <c r="L693" i="1"/>
  <c r="K693" i="1"/>
  <c r="J693" i="1"/>
  <c r="G693" i="1"/>
  <c r="U692" i="1"/>
  <c r="O692" i="1"/>
  <c r="N692" i="1"/>
  <c r="M692" i="1"/>
  <c r="L692" i="1"/>
  <c r="K692" i="1"/>
  <c r="J692" i="1"/>
  <c r="G692" i="1"/>
  <c r="U691" i="1"/>
  <c r="O691" i="1"/>
  <c r="N691" i="1"/>
  <c r="M691" i="1"/>
  <c r="L691" i="1"/>
  <c r="K691" i="1"/>
  <c r="J691" i="1"/>
  <c r="G691" i="1"/>
  <c r="U690" i="1"/>
  <c r="O690" i="1"/>
  <c r="N690" i="1"/>
  <c r="M690" i="1"/>
  <c r="L690" i="1"/>
  <c r="K690" i="1"/>
  <c r="J690" i="1"/>
  <c r="G690" i="1"/>
  <c r="U689" i="1"/>
  <c r="O689" i="1"/>
  <c r="N689" i="1"/>
  <c r="M689" i="1"/>
  <c r="L689" i="1"/>
  <c r="K689" i="1"/>
  <c r="J689" i="1"/>
  <c r="G689" i="1"/>
  <c r="U688" i="1"/>
  <c r="O688" i="1"/>
  <c r="N688" i="1"/>
  <c r="M688" i="1"/>
  <c r="L688" i="1"/>
  <c r="K688" i="1"/>
  <c r="J688" i="1"/>
  <c r="G688" i="1"/>
  <c r="U687" i="1"/>
  <c r="O687" i="1"/>
  <c r="N687" i="1"/>
  <c r="M687" i="1"/>
  <c r="L687" i="1"/>
  <c r="K687" i="1"/>
  <c r="J687" i="1"/>
  <c r="G687" i="1"/>
  <c r="U686" i="1"/>
  <c r="O686" i="1"/>
  <c r="N686" i="1"/>
  <c r="M686" i="1"/>
  <c r="L686" i="1"/>
  <c r="K686" i="1"/>
  <c r="J686" i="1"/>
  <c r="G686" i="1"/>
  <c r="U685" i="1"/>
  <c r="O685" i="1"/>
  <c r="N685" i="1"/>
  <c r="M685" i="1"/>
  <c r="L685" i="1"/>
  <c r="K685" i="1"/>
  <c r="J685" i="1"/>
  <c r="G685" i="1"/>
  <c r="U684" i="1"/>
  <c r="O684" i="1"/>
  <c r="N684" i="1"/>
  <c r="M684" i="1"/>
  <c r="L684" i="1"/>
  <c r="K684" i="1"/>
  <c r="J684" i="1"/>
  <c r="G684" i="1"/>
  <c r="U683" i="1"/>
  <c r="O683" i="1"/>
  <c r="N683" i="1"/>
  <c r="M683" i="1"/>
  <c r="L683" i="1"/>
  <c r="K683" i="1"/>
  <c r="J683" i="1"/>
  <c r="G683" i="1"/>
  <c r="U682" i="1"/>
  <c r="O682" i="1"/>
  <c r="N682" i="1"/>
  <c r="M682" i="1"/>
  <c r="L682" i="1"/>
  <c r="K682" i="1"/>
  <c r="J682" i="1"/>
  <c r="G682" i="1"/>
  <c r="U681" i="1"/>
  <c r="O681" i="1"/>
  <c r="N681" i="1"/>
  <c r="M681" i="1"/>
  <c r="L681" i="1"/>
  <c r="K681" i="1"/>
  <c r="J681" i="1"/>
  <c r="G681" i="1"/>
  <c r="U680" i="1"/>
  <c r="O680" i="1"/>
  <c r="N680" i="1"/>
  <c r="M680" i="1"/>
  <c r="L680" i="1"/>
  <c r="K680" i="1"/>
  <c r="J680" i="1"/>
  <c r="G680" i="1"/>
  <c r="U679" i="1"/>
  <c r="O679" i="1"/>
  <c r="N679" i="1"/>
  <c r="M679" i="1"/>
  <c r="L679" i="1"/>
  <c r="K679" i="1"/>
  <c r="J679" i="1"/>
  <c r="G679" i="1"/>
  <c r="U678" i="1"/>
  <c r="O678" i="1"/>
  <c r="N678" i="1"/>
  <c r="M678" i="1"/>
  <c r="L678" i="1"/>
  <c r="K678" i="1"/>
  <c r="J678" i="1"/>
  <c r="G678" i="1"/>
  <c r="U677" i="1"/>
  <c r="O677" i="1"/>
  <c r="N677" i="1"/>
  <c r="M677" i="1"/>
  <c r="L677" i="1"/>
  <c r="K677" i="1"/>
  <c r="J677" i="1"/>
  <c r="G677" i="1"/>
  <c r="U676" i="1"/>
  <c r="O676" i="1"/>
  <c r="N676" i="1"/>
  <c r="M676" i="1"/>
  <c r="L676" i="1"/>
  <c r="K676" i="1"/>
  <c r="J676" i="1"/>
  <c r="G676" i="1"/>
  <c r="U675" i="1"/>
  <c r="O675" i="1"/>
  <c r="N675" i="1"/>
  <c r="M675" i="1"/>
  <c r="L675" i="1"/>
  <c r="K675" i="1"/>
  <c r="J675" i="1"/>
  <c r="G675" i="1"/>
  <c r="U674" i="1"/>
  <c r="O674" i="1"/>
  <c r="N674" i="1"/>
  <c r="M674" i="1"/>
  <c r="L674" i="1"/>
  <c r="K674" i="1"/>
  <c r="J674" i="1"/>
  <c r="G674" i="1"/>
  <c r="U673" i="1"/>
  <c r="O673" i="1"/>
  <c r="N673" i="1"/>
  <c r="M673" i="1"/>
  <c r="L673" i="1"/>
  <c r="K673" i="1"/>
  <c r="J673" i="1"/>
  <c r="G673" i="1"/>
  <c r="U672" i="1"/>
  <c r="O672" i="1"/>
  <c r="N672" i="1"/>
  <c r="M672" i="1"/>
  <c r="L672" i="1"/>
  <c r="K672" i="1"/>
  <c r="J672" i="1"/>
  <c r="G672" i="1"/>
  <c r="U671" i="1"/>
  <c r="O671" i="1"/>
  <c r="N671" i="1"/>
  <c r="M671" i="1"/>
  <c r="L671" i="1"/>
  <c r="K671" i="1"/>
  <c r="J671" i="1"/>
  <c r="G671" i="1"/>
  <c r="U670" i="1"/>
  <c r="O670" i="1"/>
  <c r="N670" i="1"/>
  <c r="M670" i="1"/>
  <c r="L670" i="1"/>
  <c r="K670" i="1"/>
  <c r="J670" i="1"/>
  <c r="G670" i="1"/>
  <c r="U669" i="1"/>
  <c r="O669" i="1"/>
  <c r="N669" i="1"/>
  <c r="M669" i="1"/>
  <c r="L669" i="1"/>
  <c r="K669" i="1"/>
  <c r="J669" i="1"/>
  <c r="G669" i="1"/>
  <c r="U668" i="1"/>
  <c r="O668" i="1"/>
  <c r="N668" i="1"/>
  <c r="M668" i="1"/>
  <c r="L668" i="1"/>
  <c r="K668" i="1"/>
  <c r="J668" i="1"/>
  <c r="G668" i="1"/>
  <c r="U667" i="1"/>
  <c r="O667" i="1"/>
  <c r="N667" i="1"/>
  <c r="M667" i="1"/>
  <c r="L667" i="1"/>
  <c r="K667" i="1"/>
  <c r="J667" i="1"/>
  <c r="G667" i="1"/>
  <c r="U666" i="1"/>
  <c r="O666" i="1"/>
  <c r="N666" i="1"/>
  <c r="M666" i="1"/>
  <c r="L666" i="1"/>
  <c r="K666" i="1"/>
  <c r="J666" i="1"/>
  <c r="G666" i="1"/>
  <c r="U665" i="1"/>
  <c r="O665" i="1"/>
  <c r="N665" i="1"/>
  <c r="M665" i="1"/>
  <c r="L665" i="1"/>
  <c r="K665" i="1"/>
  <c r="J665" i="1"/>
  <c r="G665" i="1"/>
  <c r="U664" i="1"/>
  <c r="O664" i="1"/>
  <c r="N664" i="1"/>
  <c r="M664" i="1"/>
  <c r="L664" i="1"/>
  <c r="K664" i="1"/>
  <c r="J664" i="1"/>
  <c r="G664" i="1"/>
  <c r="U663" i="1"/>
  <c r="O663" i="1"/>
  <c r="N663" i="1"/>
  <c r="M663" i="1"/>
  <c r="L663" i="1"/>
  <c r="K663" i="1"/>
  <c r="J663" i="1"/>
  <c r="G663" i="1"/>
  <c r="U662" i="1"/>
  <c r="O662" i="1"/>
  <c r="N662" i="1"/>
  <c r="M662" i="1"/>
  <c r="L662" i="1"/>
  <c r="K662" i="1"/>
  <c r="J662" i="1"/>
  <c r="G662" i="1"/>
  <c r="U661" i="1"/>
  <c r="O661" i="1"/>
  <c r="N661" i="1"/>
  <c r="M661" i="1"/>
  <c r="L661" i="1"/>
  <c r="K661" i="1"/>
  <c r="J661" i="1"/>
  <c r="G661" i="1"/>
  <c r="U660" i="1"/>
  <c r="O660" i="1"/>
  <c r="N660" i="1"/>
  <c r="M660" i="1"/>
  <c r="L660" i="1"/>
  <c r="K660" i="1"/>
  <c r="J660" i="1"/>
  <c r="G660" i="1"/>
  <c r="U659" i="1"/>
  <c r="O659" i="1"/>
  <c r="N659" i="1"/>
  <c r="M659" i="1"/>
  <c r="L659" i="1"/>
  <c r="K659" i="1"/>
  <c r="J659" i="1"/>
  <c r="G659" i="1"/>
  <c r="U658" i="1"/>
  <c r="O658" i="1"/>
  <c r="N658" i="1"/>
  <c r="M658" i="1"/>
  <c r="L658" i="1"/>
  <c r="K658" i="1"/>
  <c r="J658" i="1"/>
  <c r="G658" i="1"/>
  <c r="U657" i="1"/>
  <c r="O657" i="1"/>
  <c r="N657" i="1"/>
  <c r="M657" i="1"/>
  <c r="L657" i="1"/>
  <c r="K657" i="1"/>
  <c r="J657" i="1"/>
  <c r="G657" i="1"/>
  <c r="U656" i="1"/>
  <c r="O656" i="1"/>
  <c r="N656" i="1"/>
  <c r="M656" i="1"/>
  <c r="L656" i="1"/>
  <c r="K656" i="1"/>
  <c r="J656" i="1"/>
  <c r="G656" i="1"/>
  <c r="U655" i="1"/>
  <c r="O655" i="1"/>
  <c r="N655" i="1"/>
  <c r="M655" i="1"/>
  <c r="L655" i="1"/>
  <c r="K655" i="1"/>
  <c r="J655" i="1"/>
  <c r="G655" i="1"/>
  <c r="U654" i="1"/>
  <c r="O654" i="1"/>
  <c r="N654" i="1"/>
  <c r="M654" i="1"/>
  <c r="L654" i="1"/>
  <c r="K654" i="1"/>
  <c r="J654" i="1"/>
  <c r="G654" i="1"/>
  <c r="U653" i="1"/>
  <c r="O653" i="1"/>
  <c r="N653" i="1"/>
  <c r="M653" i="1"/>
  <c r="L653" i="1"/>
  <c r="K653" i="1"/>
  <c r="J653" i="1"/>
  <c r="G653" i="1"/>
  <c r="U652" i="1"/>
  <c r="O652" i="1"/>
  <c r="N652" i="1"/>
  <c r="M652" i="1"/>
  <c r="L652" i="1"/>
  <c r="K652" i="1"/>
  <c r="J652" i="1"/>
  <c r="G652" i="1"/>
  <c r="U651" i="1"/>
  <c r="O651" i="1"/>
  <c r="N651" i="1"/>
  <c r="M651" i="1"/>
  <c r="L651" i="1"/>
  <c r="K651" i="1"/>
  <c r="J651" i="1"/>
  <c r="G651" i="1"/>
  <c r="U650" i="1"/>
  <c r="O650" i="1"/>
  <c r="N650" i="1"/>
  <c r="M650" i="1"/>
  <c r="L650" i="1"/>
  <c r="K650" i="1"/>
  <c r="J650" i="1"/>
  <c r="G650" i="1"/>
  <c r="U649" i="1"/>
  <c r="O649" i="1"/>
  <c r="N649" i="1"/>
  <c r="M649" i="1"/>
  <c r="L649" i="1"/>
  <c r="K649" i="1"/>
  <c r="J649" i="1"/>
  <c r="G649" i="1"/>
  <c r="U648" i="1"/>
  <c r="O648" i="1"/>
  <c r="N648" i="1"/>
  <c r="M648" i="1"/>
  <c r="L648" i="1"/>
  <c r="K648" i="1"/>
  <c r="J648" i="1"/>
  <c r="G648" i="1"/>
  <c r="U647" i="1"/>
  <c r="O647" i="1"/>
  <c r="N647" i="1"/>
  <c r="M647" i="1"/>
  <c r="L647" i="1"/>
  <c r="K647" i="1"/>
  <c r="J647" i="1"/>
  <c r="G647" i="1"/>
  <c r="U646" i="1"/>
  <c r="O646" i="1"/>
  <c r="N646" i="1"/>
  <c r="M646" i="1"/>
  <c r="L646" i="1"/>
  <c r="K646" i="1"/>
  <c r="J646" i="1"/>
  <c r="G646" i="1"/>
  <c r="U645" i="1"/>
  <c r="O645" i="1"/>
  <c r="N645" i="1"/>
  <c r="M645" i="1"/>
  <c r="L645" i="1"/>
  <c r="K645" i="1"/>
  <c r="J645" i="1"/>
  <c r="G645" i="1"/>
  <c r="U644" i="1"/>
  <c r="O644" i="1"/>
  <c r="N644" i="1"/>
  <c r="M644" i="1"/>
  <c r="L644" i="1"/>
  <c r="K644" i="1"/>
  <c r="J644" i="1"/>
  <c r="G644" i="1"/>
  <c r="U643" i="1"/>
  <c r="O643" i="1"/>
  <c r="N643" i="1"/>
  <c r="M643" i="1"/>
  <c r="L643" i="1"/>
  <c r="K643" i="1"/>
  <c r="J643" i="1"/>
  <c r="G643" i="1"/>
  <c r="U642" i="1"/>
  <c r="O642" i="1"/>
  <c r="N642" i="1"/>
  <c r="M642" i="1"/>
  <c r="L642" i="1"/>
  <c r="K642" i="1"/>
  <c r="J642" i="1"/>
  <c r="G642" i="1"/>
  <c r="U641" i="1"/>
  <c r="O641" i="1"/>
  <c r="N641" i="1"/>
  <c r="M641" i="1"/>
  <c r="L641" i="1"/>
  <c r="K641" i="1"/>
  <c r="J641" i="1"/>
  <c r="G641" i="1"/>
  <c r="U640" i="1"/>
  <c r="O640" i="1"/>
  <c r="N640" i="1"/>
  <c r="M640" i="1"/>
  <c r="L640" i="1"/>
  <c r="K640" i="1"/>
  <c r="J640" i="1"/>
  <c r="G640" i="1"/>
  <c r="U639" i="1"/>
  <c r="O639" i="1"/>
  <c r="N639" i="1"/>
  <c r="M639" i="1"/>
  <c r="L639" i="1"/>
  <c r="K639" i="1"/>
  <c r="J639" i="1"/>
  <c r="G639" i="1"/>
  <c r="U638" i="1"/>
  <c r="O638" i="1"/>
  <c r="N638" i="1"/>
  <c r="M638" i="1"/>
  <c r="L638" i="1"/>
  <c r="K638" i="1"/>
  <c r="J638" i="1"/>
  <c r="G638" i="1"/>
  <c r="U637" i="1"/>
  <c r="O637" i="1"/>
  <c r="N637" i="1"/>
  <c r="M637" i="1"/>
  <c r="L637" i="1"/>
  <c r="K637" i="1"/>
  <c r="J637" i="1"/>
  <c r="G637" i="1"/>
  <c r="U636" i="1"/>
  <c r="O636" i="1"/>
  <c r="N636" i="1"/>
  <c r="M636" i="1"/>
  <c r="L636" i="1"/>
  <c r="K636" i="1"/>
  <c r="J636" i="1"/>
  <c r="G636" i="1"/>
  <c r="U635" i="1"/>
  <c r="O635" i="1"/>
  <c r="N635" i="1"/>
  <c r="M635" i="1"/>
  <c r="L635" i="1"/>
  <c r="K635" i="1"/>
  <c r="J635" i="1"/>
  <c r="G635" i="1"/>
  <c r="U634" i="1"/>
  <c r="O634" i="1"/>
  <c r="N634" i="1"/>
  <c r="M634" i="1"/>
  <c r="L634" i="1"/>
  <c r="K634" i="1"/>
  <c r="J634" i="1"/>
  <c r="G634" i="1"/>
  <c r="U633" i="1"/>
  <c r="O633" i="1"/>
  <c r="N633" i="1"/>
  <c r="M633" i="1"/>
  <c r="L633" i="1"/>
  <c r="K633" i="1"/>
  <c r="J633" i="1"/>
  <c r="G633" i="1"/>
  <c r="U632" i="1"/>
  <c r="O632" i="1"/>
  <c r="N632" i="1"/>
  <c r="M632" i="1"/>
  <c r="L632" i="1"/>
  <c r="K632" i="1"/>
  <c r="J632" i="1"/>
  <c r="G632" i="1"/>
  <c r="U631" i="1"/>
  <c r="O631" i="1"/>
  <c r="N631" i="1"/>
  <c r="M631" i="1"/>
  <c r="L631" i="1"/>
  <c r="K631" i="1"/>
  <c r="J631" i="1"/>
  <c r="G631" i="1"/>
  <c r="U630" i="1"/>
  <c r="O630" i="1"/>
  <c r="N630" i="1"/>
  <c r="M630" i="1"/>
  <c r="L630" i="1"/>
  <c r="K630" i="1"/>
  <c r="J630" i="1"/>
  <c r="G630" i="1"/>
  <c r="U629" i="1"/>
  <c r="O629" i="1"/>
  <c r="N629" i="1"/>
  <c r="M629" i="1"/>
  <c r="L629" i="1"/>
  <c r="K629" i="1"/>
  <c r="J629" i="1"/>
  <c r="G629" i="1"/>
  <c r="U628" i="1"/>
  <c r="O628" i="1"/>
  <c r="N628" i="1"/>
  <c r="M628" i="1"/>
  <c r="L628" i="1"/>
  <c r="K628" i="1"/>
  <c r="J628" i="1"/>
  <c r="G628" i="1"/>
  <c r="U627" i="1"/>
  <c r="O627" i="1"/>
  <c r="N627" i="1"/>
  <c r="M627" i="1"/>
  <c r="L627" i="1"/>
  <c r="K627" i="1"/>
  <c r="J627" i="1"/>
  <c r="G627" i="1"/>
  <c r="U626" i="1"/>
  <c r="O626" i="1"/>
  <c r="N626" i="1"/>
  <c r="M626" i="1"/>
  <c r="L626" i="1"/>
  <c r="K626" i="1"/>
  <c r="J626" i="1"/>
  <c r="G626" i="1"/>
  <c r="U625" i="1"/>
  <c r="O625" i="1"/>
  <c r="N625" i="1"/>
  <c r="M625" i="1"/>
  <c r="L625" i="1"/>
  <c r="K625" i="1"/>
  <c r="J625" i="1"/>
  <c r="G625" i="1"/>
  <c r="U624" i="1"/>
  <c r="O624" i="1"/>
  <c r="N624" i="1"/>
  <c r="M624" i="1"/>
  <c r="L624" i="1"/>
  <c r="K624" i="1"/>
  <c r="J624" i="1"/>
  <c r="G624" i="1"/>
  <c r="U623" i="1"/>
  <c r="O623" i="1"/>
  <c r="N623" i="1"/>
  <c r="M623" i="1"/>
  <c r="L623" i="1"/>
  <c r="K623" i="1"/>
  <c r="J623" i="1"/>
  <c r="G623" i="1"/>
  <c r="U622" i="1"/>
  <c r="O622" i="1"/>
  <c r="N622" i="1"/>
  <c r="M622" i="1"/>
  <c r="L622" i="1"/>
  <c r="K622" i="1"/>
  <c r="J622" i="1"/>
  <c r="G622" i="1"/>
  <c r="U621" i="1"/>
  <c r="O621" i="1"/>
  <c r="N621" i="1"/>
  <c r="M621" i="1"/>
  <c r="L621" i="1"/>
  <c r="K621" i="1"/>
  <c r="J621" i="1"/>
  <c r="G621" i="1"/>
  <c r="U620" i="1"/>
  <c r="O620" i="1"/>
  <c r="N620" i="1"/>
  <c r="M620" i="1"/>
  <c r="L620" i="1"/>
  <c r="K620" i="1"/>
  <c r="J620" i="1"/>
  <c r="G620" i="1"/>
  <c r="U619" i="1"/>
  <c r="O619" i="1"/>
  <c r="N619" i="1"/>
  <c r="M619" i="1"/>
  <c r="L619" i="1"/>
  <c r="K619" i="1"/>
  <c r="J619" i="1"/>
  <c r="G619" i="1"/>
  <c r="U618" i="1"/>
  <c r="O618" i="1"/>
  <c r="N618" i="1"/>
  <c r="M618" i="1"/>
  <c r="L618" i="1"/>
  <c r="K618" i="1"/>
  <c r="J618" i="1"/>
  <c r="G618" i="1"/>
  <c r="U617" i="1"/>
  <c r="O617" i="1"/>
  <c r="N617" i="1"/>
  <c r="M617" i="1"/>
  <c r="L617" i="1"/>
  <c r="K617" i="1"/>
  <c r="J617" i="1"/>
  <c r="G617" i="1"/>
  <c r="U616" i="1"/>
  <c r="O616" i="1"/>
  <c r="N616" i="1"/>
  <c r="M616" i="1"/>
  <c r="L616" i="1"/>
  <c r="K616" i="1"/>
  <c r="J616" i="1"/>
  <c r="G616" i="1"/>
  <c r="U615" i="1"/>
  <c r="O615" i="1"/>
  <c r="N615" i="1"/>
  <c r="M615" i="1"/>
  <c r="L615" i="1"/>
  <c r="K615" i="1"/>
  <c r="J615" i="1"/>
  <c r="G615" i="1"/>
  <c r="U614" i="1"/>
  <c r="O614" i="1"/>
  <c r="N614" i="1"/>
  <c r="M614" i="1"/>
  <c r="L614" i="1"/>
  <c r="K614" i="1"/>
  <c r="J614" i="1"/>
  <c r="G614" i="1"/>
  <c r="U613" i="1"/>
  <c r="O613" i="1"/>
  <c r="N613" i="1"/>
  <c r="M613" i="1"/>
  <c r="L613" i="1"/>
  <c r="K613" i="1"/>
  <c r="J613" i="1"/>
  <c r="G613" i="1"/>
  <c r="U612" i="1"/>
  <c r="O612" i="1"/>
  <c r="N612" i="1"/>
  <c r="M612" i="1"/>
  <c r="L612" i="1"/>
  <c r="K612" i="1"/>
  <c r="J612" i="1"/>
  <c r="G612" i="1"/>
  <c r="U611" i="1"/>
  <c r="O611" i="1"/>
  <c r="N611" i="1"/>
  <c r="M611" i="1"/>
  <c r="L611" i="1"/>
  <c r="K611" i="1"/>
  <c r="J611" i="1"/>
  <c r="G611" i="1"/>
  <c r="U610" i="1"/>
  <c r="O610" i="1"/>
  <c r="N610" i="1"/>
  <c r="M610" i="1"/>
  <c r="L610" i="1"/>
  <c r="K610" i="1"/>
  <c r="J610" i="1"/>
  <c r="G610" i="1"/>
  <c r="U609" i="1"/>
  <c r="O609" i="1"/>
  <c r="N609" i="1"/>
  <c r="M609" i="1"/>
  <c r="L609" i="1"/>
  <c r="K609" i="1"/>
  <c r="J609" i="1"/>
  <c r="G609" i="1"/>
  <c r="U608" i="1"/>
  <c r="O608" i="1"/>
  <c r="N608" i="1"/>
  <c r="M608" i="1"/>
  <c r="L608" i="1"/>
  <c r="K608" i="1"/>
  <c r="J608" i="1"/>
  <c r="G608" i="1"/>
  <c r="U607" i="1"/>
  <c r="O607" i="1"/>
  <c r="N607" i="1"/>
  <c r="M607" i="1"/>
  <c r="L607" i="1"/>
  <c r="K607" i="1"/>
  <c r="J607" i="1"/>
  <c r="G607" i="1"/>
  <c r="U606" i="1"/>
  <c r="O606" i="1"/>
  <c r="N606" i="1"/>
  <c r="M606" i="1"/>
  <c r="L606" i="1"/>
  <c r="K606" i="1"/>
  <c r="J606" i="1"/>
  <c r="G606" i="1"/>
  <c r="U605" i="1"/>
  <c r="O605" i="1"/>
  <c r="N605" i="1"/>
  <c r="M605" i="1"/>
  <c r="L605" i="1"/>
  <c r="K605" i="1"/>
  <c r="J605" i="1"/>
  <c r="G605" i="1"/>
  <c r="U604" i="1"/>
  <c r="O604" i="1"/>
  <c r="N604" i="1"/>
  <c r="M604" i="1"/>
  <c r="L604" i="1"/>
  <c r="K604" i="1"/>
  <c r="J604" i="1"/>
  <c r="G604" i="1"/>
  <c r="U603" i="1"/>
  <c r="O603" i="1"/>
  <c r="N603" i="1"/>
  <c r="M603" i="1"/>
  <c r="L603" i="1"/>
  <c r="K603" i="1"/>
  <c r="J603" i="1"/>
  <c r="G603" i="1"/>
  <c r="U602" i="1"/>
  <c r="O602" i="1"/>
  <c r="N602" i="1"/>
  <c r="M602" i="1"/>
  <c r="L602" i="1"/>
  <c r="K602" i="1"/>
  <c r="J602" i="1"/>
  <c r="G602" i="1"/>
  <c r="U601" i="1"/>
  <c r="O601" i="1"/>
  <c r="N601" i="1"/>
  <c r="M601" i="1"/>
  <c r="L601" i="1"/>
  <c r="K601" i="1"/>
  <c r="J601" i="1"/>
  <c r="G601" i="1"/>
  <c r="U600" i="1"/>
  <c r="O600" i="1"/>
  <c r="N600" i="1"/>
  <c r="M600" i="1"/>
  <c r="L600" i="1"/>
  <c r="K600" i="1"/>
  <c r="J600" i="1"/>
  <c r="G600" i="1"/>
  <c r="U599" i="1"/>
  <c r="O599" i="1"/>
  <c r="N599" i="1"/>
  <c r="M599" i="1"/>
  <c r="L599" i="1"/>
  <c r="K599" i="1"/>
  <c r="J599" i="1"/>
  <c r="G599" i="1"/>
  <c r="U598" i="1"/>
  <c r="O598" i="1"/>
  <c r="N598" i="1"/>
  <c r="M598" i="1"/>
  <c r="L598" i="1"/>
  <c r="K598" i="1"/>
  <c r="J598" i="1"/>
  <c r="G598" i="1"/>
  <c r="U597" i="1"/>
  <c r="O597" i="1"/>
  <c r="N597" i="1"/>
  <c r="M597" i="1"/>
  <c r="L597" i="1"/>
  <c r="K597" i="1"/>
  <c r="J597" i="1"/>
  <c r="G597" i="1"/>
  <c r="U596" i="1"/>
  <c r="O596" i="1"/>
  <c r="N596" i="1"/>
  <c r="M596" i="1"/>
  <c r="L596" i="1"/>
  <c r="K596" i="1"/>
  <c r="J596" i="1"/>
  <c r="G596" i="1"/>
  <c r="U595" i="1"/>
  <c r="O595" i="1"/>
  <c r="N595" i="1"/>
  <c r="M595" i="1"/>
  <c r="L595" i="1"/>
  <c r="K595" i="1"/>
  <c r="J595" i="1"/>
  <c r="G595" i="1"/>
  <c r="U594" i="1"/>
  <c r="O594" i="1"/>
  <c r="N594" i="1"/>
  <c r="M594" i="1"/>
  <c r="L594" i="1"/>
  <c r="K594" i="1"/>
  <c r="J594" i="1"/>
  <c r="G594" i="1"/>
  <c r="U593" i="1"/>
  <c r="O593" i="1"/>
  <c r="N593" i="1"/>
  <c r="M593" i="1"/>
  <c r="L593" i="1"/>
  <c r="K593" i="1"/>
  <c r="J593" i="1"/>
  <c r="G593" i="1"/>
  <c r="U592" i="1"/>
  <c r="O592" i="1"/>
  <c r="N592" i="1"/>
  <c r="M592" i="1"/>
  <c r="L592" i="1"/>
  <c r="K592" i="1"/>
  <c r="J592" i="1"/>
  <c r="G592" i="1"/>
  <c r="U591" i="1"/>
  <c r="O591" i="1"/>
  <c r="N591" i="1"/>
  <c r="M591" i="1"/>
  <c r="L591" i="1"/>
  <c r="K591" i="1"/>
  <c r="J591" i="1"/>
  <c r="G591" i="1"/>
  <c r="U590" i="1"/>
  <c r="O590" i="1"/>
  <c r="N590" i="1"/>
  <c r="M590" i="1"/>
  <c r="L590" i="1"/>
  <c r="K590" i="1"/>
  <c r="J590" i="1"/>
  <c r="G590" i="1"/>
  <c r="U589" i="1"/>
  <c r="O589" i="1"/>
  <c r="N589" i="1"/>
  <c r="M589" i="1"/>
  <c r="L589" i="1"/>
  <c r="K589" i="1"/>
  <c r="J589" i="1"/>
  <c r="G589" i="1"/>
  <c r="U588" i="1"/>
  <c r="O588" i="1"/>
  <c r="N588" i="1"/>
  <c r="M588" i="1"/>
  <c r="L588" i="1"/>
  <c r="K588" i="1"/>
  <c r="J588" i="1"/>
  <c r="G588" i="1"/>
  <c r="U587" i="1"/>
  <c r="O587" i="1"/>
  <c r="N587" i="1"/>
  <c r="M587" i="1"/>
  <c r="L587" i="1"/>
  <c r="K587" i="1"/>
  <c r="J587" i="1"/>
  <c r="G587" i="1"/>
  <c r="U586" i="1"/>
  <c r="O586" i="1"/>
  <c r="N586" i="1"/>
  <c r="M586" i="1"/>
  <c r="L586" i="1"/>
  <c r="K586" i="1"/>
  <c r="J586" i="1"/>
  <c r="G586" i="1"/>
  <c r="U585" i="1"/>
  <c r="O585" i="1"/>
  <c r="N585" i="1"/>
  <c r="M585" i="1"/>
  <c r="L585" i="1"/>
  <c r="K585" i="1"/>
  <c r="J585" i="1"/>
  <c r="G585" i="1"/>
  <c r="U584" i="1"/>
  <c r="O584" i="1"/>
  <c r="N584" i="1"/>
  <c r="M584" i="1"/>
  <c r="L584" i="1"/>
  <c r="K584" i="1"/>
  <c r="J584" i="1"/>
  <c r="G584" i="1"/>
  <c r="U583" i="1"/>
  <c r="O583" i="1"/>
  <c r="N583" i="1"/>
  <c r="M583" i="1"/>
  <c r="L583" i="1"/>
  <c r="K583" i="1"/>
  <c r="J583" i="1"/>
  <c r="G583" i="1"/>
  <c r="U582" i="1"/>
  <c r="O582" i="1"/>
  <c r="N582" i="1"/>
  <c r="M582" i="1"/>
  <c r="L582" i="1"/>
  <c r="K582" i="1"/>
  <c r="J582" i="1"/>
  <c r="G582" i="1"/>
  <c r="U581" i="1"/>
  <c r="O581" i="1"/>
  <c r="N581" i="1"/>
  <c r="M581" i="1"/>
  <c r="L581" i="1"/>
  <c r="K581" i="1"/>
  <c r="J581" i="1"/>
  <c r="G581" i="1"/>
  <c r="U580" i="1"/>
  <c r="O580" i="1"/>
  <c r="N580" i="1"/>
  <c r="M580" i="1"/>
  <c r="L580" i="1"/>
  <c r="K580" i="1"/>
  <c r="J580" i="1"/>
  <c r="G580" i="1"/>
  <c r="U579" i="1"/>
  <c r="O579" i="1"/>
  <c r="N579" i="1"/>
  <c r="M579" i="1"/>
  <c r="L579" i="1"/>
  <c r="K579" i="1"/>
  <c r="J579" i="1"/>
  <c r="G579" i="1"/>
  <c r="U578" i="1"/>
  <c r="O578" i="1"/>
  <c r="N578" i="1"/>
  <c r="M578" i="1"/>
  <c r="L578" i="1"/>
  <c r="K578" i="1"/>
  <c r="J578" i="1"/>
  <c r="G578" i="1"/>
  <c r="U577" i="1"/>
  <c r="O577" i="1"/>
  <c r="N577" i="1"/>
  <c r="M577" i="1"/>
  <c r="L577" i="1"/>
  <c r="K577" i="1"/>
  <c r="J577" i="1"/>
  <c r="G577" i="1"/>
  <c r="U576" i="1"/>
  <c r="O576" i="1"/>
  <c r="N576" i="1"/>
  <c r="M576" i="1"/>
  <c r="L576" i="1"/>
  <c r="K576" i="1"/>
  <c r="J576" i="1"/>
  <c r="G576" i="1"/>
  <c r="U575" i="1"/>
  <c r="O575" i="1"/>
  <c r="N575" i="1"/>
  <c r="M575" i="1"/>
  <c r="L575" i="1"/>
  <c r="K575" i="1"/>
  <c r="J575" i="1"/>
  <c r="G575" i="1"/>
  <c r="U574" i="1"/>
  <c r="O574" i="1"/>
  <c r="N574" i="1"/>
  <c r="M574" i="1"/>
  <c r="L574" i="1"/>
  <c r="K574" i="1"/>
  <c r="J574" i="1"/>
  <c r="G574" i="1"/>
  <c r="U573" i="1"/>
  <c r="O573" i="1"/>
  <c r="N573" i="1"/>
  <c r="M573" i="1"/>
  <c r="L573" i="1"/>
  <c r="K573" i="1"/>
  <c r="J573" i="1"/>
  <c r="G573" i="1"/>
  <c r="U572" i="1"/>
  <c r="O572" i="1"/>
  <c r="N572" i="1"/>
  <c r="M572" i="1"/>
  <c r="L572" i="1"/>
  <c r="K572" i="1"/>
  <c r="J572" i="1"/>
  <c r="G572" i="1"/>
  <c r="U571" i="1"/>
  <c r="O571" i="1"/>
  <c r="N571" i="1"/>
  <c r="M571" i="1"/>
  <c r="L571" i="1"/>
  <c r="K571" i="1"/>
  <c r="J571" i="1"/>
  <c r="G571" i="1"/>
  <c r="U570" i="1"/>
  <c r="O570" i="1"/>
  <c r="N570" i="1"/>
  <c r="M570" i="1"/>
  <c r="L570" i="1"/>
  <c r="K570" i="1"/>
  <c r="J570" i="1"/>
  <c r="G570" i="1"/>
  <c r="U569" i="1"/>
  <c r="O569" i="1"/>
  <c r="N569" i="1"/>
  <c r="M569" i="1"/>
  <c r="L569" i="1"/>
  <c r="K569" i="1"/>
  <c r="J569" i="1"/>
  <c r="G569" i="1"/>
  <c r="U568" i="1"/>
  <c r="O568" i="1"/>
  <c r="N568" i="1"/>
  <c r="M568" i="1"/>
  <c r="L568" i="1"/>
  <c r="K568" i="1"/>
  <c r="J568" i="1"/>
  <c r="G568" i="1"/>
  <c r="U567" i="1"/>
  <c r="O567" i="1"/>
  <c r="N567" i="1"/>
  <c r="M567" i="1"/>
  <c r="L567" i="1"/>
  <c r="K567" i="1"/>
  <c r="J567" i="1"/>
  <c r="G567" i="1"/>
  <c r="U566" i="1"/>
  <c r="O566" i="1"/>
  <c r="N566" i="1"/>
  <c r="M566" i="1"/>
  <c r="L566" i="1"/>
  <c r="K566" i="1"/>
  <c r="J566" i="1"/>
  <c r="G566" i="1"/>
  <c r="U565" i="1"/>
  <c r="O565" i="1"/>
  <c r="N565" i="1"/>
  <c r="M565" i="1"/>
  <c r="L565" i="1"/>
  <c r="K565" i="1"/>
  <c r="J565" i="1"/>
  <c r="G565" i="1"/>
  <c r="U564" i="1"/>
  <c r="O564" i="1"/>
  <c r="N564" i="1"/>
  <c r="M564" i="1"/>
  <c r="L564" i="1"/>
  <c r="K564" i="1"/>
  <c r="J564" i="1"/>
  <c r="G564" i="1"/>
  <c r="U563" i="1"/>
  <c r="O563" i="1"/>
  <c r="N563" i="1"/>
  <c r="M563" i="1"/>
  <c r="L563" i="1"/>
  <c r="K563" i="1"/>
  <c r="J563" i="1"/>
  <c r="G563" i="1"/>
  <c r="U562" i="1"/>
  <c r="O562" i="1"/>
  <c r="N562" i="1"/>
  <c r="M562" i="1"/>
  <c r="L562" i="1"/>
  <c r="K562" i="1"/>
  <c r="J562" i="1"/>
  <c r="G562" i="1"/>
  <c r="U561" i="1"/>
  <c r="O561" i="1"/>
  <c r="N561" i="1"/>
  <c r="M561" i="1"/>
  <c r="L561" i="1"/>
  <c r="K561" i="1"/>
  <c r="J561" i="1"/>
  <c r="G561" i="1"/>
  <c r="U560" i="1"/>
  <c r="O560" i="1"/>
  <c r="N560" i="1"/>
  <c r="M560" i="1"/>
  <c r="L560" i="1"/>
  <c r="K560" i="1"/>
  <c r="J560" i="1"/>
  <c r="G560" i="1"/>
  <c r="U559" i="1"/>
  <c r="O559" i="1"/>
  <c r="N559" i="1"/>
  <c r="M559" i="1"/>
  <c r="L559" i="1"/>
  <c r="K559" i="1"/>
  <c r="J559" i="1"/>
  <c r="G559" i="1"/>
  <c r="U558" i="1"/>
  <c r="O558" i="1"/>
  <c r="N558" i="1"/>
  <c r="M558" i="1"/>
  <c r="L558" i="1"/>
  <c r="K558" i="1"/>
  <c r="J558" i="1"/>
  <c r="G558" i="1"/>
  <c r="U557" i="1"/>
  <c r="O557" i="1"/>
  <c r="N557" i="1"/>
  <c r="M557" i="1"/>
  <c r="L557" i="1"/>
  <c r="K557" i="1"/>
  <c r="J557" i="1"/>
  <c r="G557" i="1"/>
  <c r="U556" i="1"/>
  <c r="O556" i="1"/>
  <c r="N556" i="1"/>
  <c r="M556" i="1"/>
  <c r="L556" i="1"/>
  <c r="K556" i="1"/>
  <c r="J556" i="1"/>
  <c r="G556" i="1"/>
  <c r="U555" i="1"/>
  <c r="O555" i="1"/>
  <c r="N555" i="1"/>
  <c r="M555" i="1"/>
  <c r="L555" i="1"/>
  <c r="K555" i="1"/>
  <c r="J555" i="1"/>
  <c r="G555" i="1"/>
  <c r="U554" i="1"/>
  <c r="O554" i="1"/>
  <c r="N554" i="1"/>
  <c r="M554" i="1"/>
  <c r="L554" i="1"/>
  <c r="K554" i="1"/>
  <c r="J554" i="1"/>
  <c r="G554" i="1"/>
  <c r="U553" i="1"/>
  <c r="O553" i="1"/>
  <c r="N553" i="1"/>
  <c r="M553" i="1"/>
  <c r="L553" i="1"/>
  <c r="K553" i="1"/>
  <c r="J553" i="1"/>
  <c r="G553" i="1"/>
  <c r="U552" i="1"/>
  <c r="O552" i="1"/>
  <c r="N552" i="1"/>
  <c r="M552" i="1"/>
  <c r="L552" i="1"/>
  <c r="K552" i="1"/>
  <c r="J552" i="1"/>
  <c r="G552" i="1"/>
  <c r="U551" i="1"/>
  <c r="O551" i="1"/>
  <c r="N551" i="1"/>
  <c r="M551" i="1"/>
  <c r="L551" i="1"/>
  <c r="K551" i="1"/>
  <c r="J551" i="1"/>
  <c r="G551" i="1"/>
  <c r="U550" i="1"/>
  <c r="O550" i="1"/>
  <c r="N550" i="1"/>
  <c r="M550" i="1"/>
  <c r="L550" i="1"/>
  <c r="K550" i="1"/>
  <c r="J550" i="1"/>
  <c r="G550" i="1"/>
  <c r="U549" i="1"/>
  <c r="O549" i="1"/>
  <c r="N549" i="1"/>
  <c r="M549" i="1"/>
  <c r="L549" i="1"/>
  <c r="K549" i="1"/>
  <c r="J549" i="1"/>
  <c r="G549" i="1"/>
  <c r="U548" i="1"/>
  <c r="O548" i="1"/>
  <c r="N548" i="1"/>
  <c r="M548" i="1"/>
  <c r="L548" i="1"/>
  <c r="K548" i="1"/>
  <c r="J548" i="1"/>
  <c r="G548" i="1"/>
  <c r="U547" i="1"/>
  <c r="O547" i="1"/>
  <c r="N547" i="1"/>
  <c r="M547" i="1"/>
  <c r="L547" i="1"/>
  <c r="K547" i="1"/>
  <c r="J547" i="1"/>
  <c r="G547" i="1"/>
  <c r="U546" i="1"/>
  <c r="O546" i="1"/>
  <c r="N546" i="1"/>
  <c r="M546" i="1"/>
  <c r="L546" i="1"/>
  <c r="K546" i="1"/>
  <c r="J546" i="1"/>
  <c r="G546" i="1"/>
  <c r="U545" i="1"/>
  <c r="O545" i="1"/>
  <c r="N545" i="1"/>
  <c r="M545" i="1"/>
  <c r="L545" i="1"/>
  <c r="K545" i="1"/>
  <c r="J545" i="1"/>
  <c r="G545" i="1"/>
  <c r="U544" i="1"/>
  <c r="O544" i="1"/>
  <c r="N544" i="1"/>
  <c r="M544" i="1"/>
  <c r="L544" i="1"/>
  <c r="K544" i="1"/>
  <c r="J544" i="1"/>
  <c r="G544" i="1"/>
  <c r="U543" i="1"/>
  <c r="O543" i="1"/>
  <c r="N543" i="1"/>
  <c r="M543" i="1"/>
  <c r="L543" i="1"/>
  <c r="K543" i="1"/>
  <c r="J543" i="1"/>
  <c r="G543" i="1"/>
  <c r="U542" i="1"/>
  <c r="O542" i="1"/>
  <c r="N542" i="1"/>
  <c r="M542" i="1"/>
  <c r="L542" i="1"/>
  <c r="K542" i="1"/>
  <c r="J542" i="1"/>
  <c r="G542" i="1"/>
  <c r="U541" i="1"/>
  <c r="O541" i="1"/>
  <c r="N541" i="1"/>
  <c r="M541" i="1"/>
  <c r="L541" i="1"/>
  <c r="K541" i="1"/>
  <c r="J541" i="1"/>
  <c r="G541" i="1"/>
  <c r="U540" i="1"/>
  <c r="O540" i="1"/>
  <c r="N540" i="1"/>
  <c r="M540" i="1"/>
  <c r="L540" i="1"/>
  <c r="K540" i="1"/>
  <c r="J540" i="1"/>
  <c r="G540" i="1"/>
  <c r="U539" i="1"/>
  <c r="O539" i="1"/>
  <c r="N539" i="1"/>
  <c r="M539" i="1"/>
  <c r="L539" i="1"/>
  <c r="K539" i="1"/>
  <c r="J539" i="1"/>
  <c r="G539" i="1"/>
  <c r="U538" i="1"/>
  <c r="O538" i="1"/>
  <c r="N538" i="1"/>
  <c r="M538" i="1"/>
  <c r="L538" i="1"/>
  <c r="K538" i="1"/>
  <c r="J538" i="1"/>
  <c r="G538" i="1"/>
  <c r="U537" i="1"/>
  <c r="O537" i="1"/>
  <c r="N537" i="1"/>
  <c r="M537" i="1"/>
  <c r="L537" i="1"/>
  <c r="K537" i="1"/>
  <c r="J537" i="1"/>
  <c r="G537" i="1"/>
  <c r="U536" i="1"/>
  <c r="O536" i="1"/>
  <c r="N536" i="1"/>
  <c r="M536" i="1"/>
  <c r="L536" i="1"/>
  <c r="K536" i="1"/>
  <c r="J536" i="1"/>
  <c r="G536" i="1"/>
  <c r="U535" i="1"/>
  <c r="O535" i="1"/>
  <c r="N535" i="1"/>
  <c r="M535" i="1"/>
  <c r="L535" i="1"/>
  <c r="K535" i="1"/>
  <c r="J535" i="1"/>
  <c r="G535" i="1"/>
  <c r="U534" i="1"/>
  <c r="O534" i="1"/>
  <c r="N534" i="1"/>
  <c r="M534" i="1"/>
  <c r="L534" i="1"/>
  <c r="K534" i="1"/>
  <c r="J534" i="1"/>
  <c r="G534" i="1"/>
  <c r="U533" i="1"/>
  <c r="O533" i="1"/>
  <c r="N533" i="1"/>
  <c r="M533" i="1"/>
  <c r="L533" i="1"/>
  <c r="K533" i="1"/>
  <c r="J533" i="1"/>
  <c r="G533" i="1"/>
  <c r="U532" i="1"/>
  <c r="O532" i="1"/>
  <c r="N532" i="1"/>
  <c r="M532" i="1"/>
  <c r="L532" i="1"/>
  <c r="K532" i="1"/>
  <c r="J532" i="1"/>
  <c r="G532" i="1"/>
  <c r="U531" i="1"/>
  <c r="O531" i="1"/>
  <c r="N531" i="1"/>
  <c r="M531" i="1"/>
  <c r="L531" i="1"/>
  <c r="K531" i="1"/>
  <c r="J531" i="1"/>
  <c r="G531" i="1"/>
  <c r="U530" i="1"/>
  <c r="O530" i="1"/>
  <c r="N530" i="1"/>
  <c r="M530" i="1"/>
  <c r="L530" i="1"/>
  <c r="K530" i="1"/>
  <c r="J530" i="1"/>
  <c r="G530" i="1"/>
  <c r="U529" i="1"/>
  <c r="O529" i="1"/>
  <c r="N529" i="1"/>
  <c r="M529" i="1"/>
  <c r="L529" i="1"/>
  <c r="K529" i="1"/>
  <c r="J529" i="1"/>
  <c r="G529" i="1"/>
  <c r="U528" i="1"/>
  <c r="O528" i="1"/>
  <c r="N528" i="1"/>
  <c r="M528" i="1"/>
  <c r="L528" i="1"/>
  <c r="K528" i="1"/>
  <c r="J528" i="1"/>
  <c r="G528" i="1"/>
  <c r="U527" i="1"/>
  <c r="O527" i="1"/>
  <c r="N527" i="1"/>
  <c r="M527" i="1"/>
  <c r="L527" i="1"/>
  <c r="K527" i="1"/>
  <c r="J527" i="1"/>
  <c r="G527" i="1"/>
  <c r="U526" i="1"/>
  <c r="O526" i="1"/>
  <c r="N526" i="1"/>
  <c r="M526" i="1"/>
  <c r="L526" i="1"/>
  <c r="K526" i="1"/>
  <c r="J526" i="1"/>
  <c r="G526" i="1"/>
  <c r="U525" i="1"/>
  <c r="O525" i="1"/>
  <c r="N525" i="1"/>
  <c r="M525" i="1"/>
  <c r="L525" i="1"/>
  <c r="K525" i="1"/>
  <c r="J525" i="1"/>
  <c r="G525" i="1"/>
  <c r="U524" i="1"/>
  <c r="O524" i="1"/>
  <c r="N524" i="1"/>
  <c r="M524" i="1"/>
  <c r="L524" i="1"/>
  <c r="K524" i="1"/>
  <c r="J524" i="1"/>
  <c r="G524" i="1"/>
  <c r="U523" i="1"/>
  <c r="O523" i="1"/>
  <c r="N523" i="1"/>
  <c r="M523" i="1"/>
  <c r="L523" i="1"/>
  <c r="K523" i="1"/>
  <c r="J523" i="1"/>
  <c r="G523" i="1"/>
  <c r="U522" i="1"/>
  <c r="O522" i="1"/>
  <c r="N522" i="1"/>
  <c r="M522" i="1"/>
  <c r="L522" i="1"/>
  <c r="K522" i="1"/>
  <c r="J522" i="1"/>
  <c r="G522" i="1"/>
  <c r="U521" i="1"/>
  <c r="O521" i="1"/>
  <c r="N521" i="1"/>
  <c r="M521" i="1"/>
  <c r="L521" i="1"/>
  <c r="K521" i="1"/>
  <c r="J521" i="1"/>
  <c r="G521" i="1"/>
  <c r="U520" i="1"/>
  <c r="O520" i="1"/>
  <c r="N520" i="1"/>
  <c r="M520" i="1"/>
  <c r="L520" i="1"/>
  <c r="K520" i="1"/>
  <c r="J520" i="1"/>
  <c r="G520" i="1"/>
  <c r="U519" i="1"/>
  <c r="O519" i="1"/>
  <c r="N519" i="1"/>
  <c r="M519" i="1"/>
  <c r="L519" i="1"/>
  <c r="K519" i="1"/>
  <c r="J519" i="1"/>
  <c r="G519" i="1"/>
  <c r="U518" i="1"/>
  <c r="O518" i="1"/>
  <c r="N518" i="1"/>
  <c r="M518" i="1"/>
  <c r="L518" i="1"/>
  <c r="K518" i="1"/>
  <c r="J518" i="1"/>
  <c r="G518" i="1"/>
  <c r="U517" i="1"/>
  <c r="O517" i="1"/>
  <c r="N517" i="1"/>
  <c r="M517" i="1"/>
  <c r="L517" i="1"/>
  <c r="K517" i="1"/>
  <c r="J517" i="1"/>
  <c r="G517" i="1"/>
  <c r="U516" i="1"/>
  <c r="O516" i="1"/>
  <c r="N516" i="1"/>
  <c r="M516" i="1"/>
  <c r="L516" i="1"/>
  <c r="K516" i="1"/>
  <c r="J516" i="1"/>
  <c r="G516" i="1"/>
  <c r="U515" i="1"/>
  <c r="O515" i="1"/>
  <c r="N515" i="1"/>
  <c r="M515" i="1"/>
  <c r="L515" i="1"/>
  <c r="K515" i="1"/>
  <c r="J515" i="1"/>
  <c r="G515" i="1"/>
  <c r="U514" i="1"/>
  <c r="O514" i="1"/>
  <c r="N514" i="1"/>
  <c r="M514" i="1"/>
  <c r="L514" i="1"/>
  <c r="K514" i="1"/>
  <c r="J514" i="1"/>
  <c r="G514" i="1"/>
  <c r="U513" i="1"/>
  <c r="O513" i="1"/>
  <c r="N513" i="1"/>
  <c r="M513" i="1"/>
  <c r="L513" i="1"/>
  <c r="K513" i="1"/>
  <c r="J513" i="1"/>
  <c r="G513" i="1"/>
  <c r="U512" i="1"/>
  <c r="O512" i="1"/>
  <c r="N512" i="1"/>
  <c r="M512" i="1"/>
  <c r="L512" i="1"/>
  <c r="K512" i="1"/>
  <c r="J512" i="1"/>
  <c r="G512" i="1"/>
  <c r="U511" i="1"/>
  <c r="O511" i="1"/>
  <c r="N511" i="1"/>
  <c r="M511" i="1"/>
  <c r="L511" i="1"/>
  <c r="K511" i="1"/>
  <c r="J511" i="1"/>
  <c r="G511" i="1"/>
  <c r="U510" i="1"/>
  <c r="O510" i="1"/>
  <c r="N510" i="1"/>
  <c r="M510" i="1"/>
  <c r="L510" i="1"/>
  <c r="K510" i="1"/>
  <c r="J510" i="1"/>
  <c r="G510" i="1"/>
  <c r="U509" i="1"/>
  <c r="O509" i="1"/>
  <c r="N509" i="1"/>
  <c r="M509" i="1"/>
  <c r="L509" i="1"/>
  <c r="K509" i="1"/>
  <c r="J509" i="1"/>
  <c r="G509" i="1"/>
  <c r="U508" i="1"/>
  <c r="O508" i="1"/>
  <c r="N508" i="1"/>
  <c r="M508" i="1"/>
  <c r="L508" i="1"/>
  <c r="K508" i="1"/>
  <c r="J508" i="1"/>
  <c r="G508" i="1"/>
  <c r="U507" i="1"/>
  <c r="O507" i="1"/>
  <c r="N507" i="1"/>
  <c r="M507" i="1"/>
  <c r="L507" i="1"/>
  <c r="K507" i="1"/>
  <c r="J507" i="1"/>
  <c r="G507" i="1"/>
  <c r="U506" i="1"/>
  <c r="O506" i="1"/>
  <c r="N506" i="1"/>
  <c r="M506" i="1"/>
  <c r="L506" i="1"/>
  <c r="K506" i="1"/>
  <c r="J506" i="1"/>
  <c r="G506" i="1"/>
  <c r="U505" i="1"/>
  <c r="O505" i="1"/>
  <c r="N505" i="1"/>
  <c r="M505" i="1"/>
  <c r="L505" i="1"/>
  <c r="K505" i="1"/>
  <c r="J505" i="1"/>
  <c r="G505" i="1"/>
  <c r="U504" i="1"/>
  <c r="O504" i="1"/>
  <c r="N504" i="1"/>
  <c r="M504" i="1"/>
  <c r="L504" i="1"/>
  <c r="K504" i="1"/>
  <c r="J504" i="1"/>
  <c r="G504" i="1"/>
  <c r="U503" i="1"/>
  <c r="O503" i="1"/>
  <c r="N503" i="1"/>
  <c r="M503" i="1"/>
  <c r="L503" i="1"/>
  <c r="K503" i="1"/>
  <c r="J503" i="1"/>
  <c r="G503" i="1"/>
  <c r="U502" i="1"/>
  <c r="O502" i="1"/>
  <c r="N502" i="1"/>
  <c r="M502" i="1"/>
  <c r="L502" i="1"/>
  <c r="K502" i="1"/>
  <c r="J502" i="1"/>
  <c r="G502" i="1"/>
  <c r="U501" i="1"/>
  <c r="O501" i="1"/>
  <c r="N501" i="1"/>
  <c r="M501" i="1"/>
  <c r="L501" i="1"/>
  <c r="K501" i="1"/>
  <c r="J501" i="1"/>
  <c r="G501" i="1"/>
  <c r="U500" i="1"/>
  <c r="O500" i="1"/>
  <c r="N500" i="1"/>
  <c r="M500" i="1"/>
  <c r="L500" i="1"/>
  <c r="K500" i="1"/>
  <c r="J500" i="1"/>
  <c r="G500" i="1"/>
  <c r="U499" i="1"/>
  <c r="O499" i="1"/>
  <c r="N499" i="1"/>
  <c r="M499" i="1"/>
  <c r="L499" i="1"/>
  <c r="K499" i="1"/>
  <c r="J499" i="1"/>
  <c r="G499" i="1"/>
  <c r="U498" i="1"/>
  <c r="O498" i="1"/>
  <c r="N498" i="1"/>
  <c r="M498" i="1"/>
  <c r="L498" i="1"/>
  <c r="K498" i="1"/>
  <c r="J498" i="1"/>
  <c r="G498" i="1"/>
  <c r="U497" i="1"/>
  <c r="O497" i="1"/>
  <c r="N497" i="1"/>
  <c r="M497" i="1"/>
  <c r="L497" i="1"/>
  <c r="K497" i="1"/>
  <c r="J497" i="1"/>
  <c r="G497" i="1"/>
  <c r="U496" i="1"/>
  <c r="O496" i="1"/>
  <c r="N496" i="1"/>
  <c r="M496" i="1"/>
  <c r="L496" i="1"/>
  <c r="K496" i="1"/>
  <c r="J496" i="1"/>
  <c r="G496" i="1"/>
  <c r="U495" i="1"/>
  <c r="O495" i="1"/>
  <c r="N495" i="1"/>
  <c r="M495" i="1"/>
  <c r="L495" i="1"/>
  <c r="K495" i="1"/>
  <c r="J495" i="1"/>
  <c r="G495" i="1"/>
  <c r="U494" i="1"/>
  <c r="O494" i="1"/>
  <c r="N494" i="1"/>
  <c r="M494" i="1"/>
  <c r="L494" i="1"/>
  <c r="K494" i="1"/>
  <c r="J494" i="1"/>
  <c r="G494" i="1"/>
  <c r="U493" i="1"/>
  <c r="O493" i="1"/>
  <c r="N493" i="1"/>
  <c r="M493" i="1"/>
  <c r="L493" i="1"/>
  <c r="K493" i="1"/>
  <c r="J493" i="1"/>
  <c r="G493" i="1"/>
  <c r="U492" i="1"/>
  <c r="O492" i="1"/>
  <c r="N492" i="1"/>
  <c r="M492" i="1"/>
  <c r="L492" i="1"/>
  <c r="K492" i="1"/>
  <c r="J492" i="1"/>
  <c r="G492" i="1"/>
  <c r="U491" i="1"/>
  <c r="O491" i="1"/>
  <c r="N491" i="1"/>
  <c r="M491" i="1"/>
  <c r="L491" i="1"/>
  <c r="K491" i="1"/>
  <c r="J491" i="1"/>
  <c r="G491" i="1"/>
  <c r="U490" i="1"/>
  <c r="O490" i="1"/>
  <c r="N490" i="1"/>
  <c r="M490" i="1"/>
  <c r="L490" i="1"/>
  <c r="K490" i="1"/>
  <c r="J490" i="1"/>
  <c r="G490" i="1"/>
  <c r="U489" i="1"/>
  <c r="O489" i="1"/>
  <c r="N489" i="1"/>
  <c r="M489" i="1"/>
  <c r="L489" i="1"/>
  <c r="K489" i="1"/>
  <c r="J489" i="1"/>
  <c r="G489" i="1"/>
  <c r="U488" i="1"/>
  <c r="O488" i="1"/>
  <c r="N488" i="1"/>
  <c r="M488" i="1"/>
  <c r="L488" i="1"/>
  <c r="K488" i="1"/>
  <c r="J488" i="1"/>
  <c r="G488" i="1"/>
  <c r="U487" i="1"/>
  <c r="O487" i="1"/>
  <c r="N487" i="1"/>
  <c r="M487" i="1"/>
  <c r="L487" i="1"/>
  <c r="K487" i="1"/>
  <c r="J487" i="1"/>
  <c r="G487" i="1"/>
  <c r="U486" i="1"/>
  <c r="O486" i="1"/>
  <c r="N486" i="1"/>
  <c r="M486" i="1"/>
  <c r="L486" i="1"/>
  <c r="K486" i="1"/>
  <c r="J486" i="1"/>
  <c r="G486" i="1"/>
  <c r="U485" i="1"/>
  <c r="O485" i="1"/>
  <c r="N485" i="1"/>
  <c r="M485" i="1"/>
  <c r="L485" i="1"/>
  <c r="K485" i="1"/>
  <c r="J485" i="1"/>
  <c r="G485" i="1"/>
  <c r="U484" i="1"/>
  <c r="O484" i="1"/>
  <c r="N484" i="1"/>
  <c r="M484" i="1"/>
  <c r="L484" i="1"/>
  <c r="K484" i="1"/>
  <c r="J484" i="1"/>
  <c r="G484" i="1"/>
  <c r="U483" i="1"/>
  <c r="O483" i="1"/>
  <c r="N483" i="1"/>
  <c r="M483" i="1"/>
  <c r="L483" i="1"/>
  <c r="K483" i="1"/>
  <c r="J483" i="1"/>
  <c r="G483" i="1"/>
  <c r="U482" i="1"/>
  <c r="O482" i="1"/>
  <c r="N482" i="1"/>
  <c r="M482" i="1"/>
  <c r="L482" i="1"/>
  <c r="K482" i="1"/>
  <c r="J482" i="1"/>
  <c r="G482" i="1"/>
  <c r="U481" i="1"/>
  <c r="O481" i="1"/>
  <c r="N481" i="1"/>
  <c r="M481" i="1"/>
  <c r="L481" i="1"/>
  <c r="K481" i="1"/>
  <c r="J481" i="1"/>
  <c r="G481" i="1"/>
  <c r="U480" i="1"/>
  <c r="O480" i="1"/>
  <c r="N480" i="1"/>
  <c r="M480" i="1"/>
  <c r="L480" i="1"/>
  <c r="K480" i="1"/>
  <c r="J480" i="1"/>
  <c r="G480" i="1"/>
  <c r="U479" i="1"/>
  <c r="O479" i="1"/>
  <c r="N479" i="1"/>
  <c r="M479" i="1"/>
  <c r="L479" i="1"/>
  <c r="K479" i="1"/>
  <c r="J479" i="1"/>
  <c r="G479" i="1"/>
  <c r="U478" i="1"/>
  <c r="O478" i="1"/>
  <c r="N478" i="1"/>
  <c r="M478" i="1"/>
  <c r="L478" i="1"/>
  <c r="K478" i="1"/>
  <c r="J478" i="1"/>
  <c r="G478" i="1"/>
  <c r="U477" i="1"/>
  <c r="O477" i="1"/>
  <c r="N477" i="1"/>
  <c r="M477" i="1"/>
  <c r="L477" i="1"/>
  <c r="K477" i="1"/>
  <c r="J477" i="1"/>
  <c r="G477" i="1"/>
  <c r="U476" i="1"/>
  <c r="O476" i="1"/>
  <c r="N476" i="1"/>
  <c r="M476" i="1"/>
  <c r="L476" i="1"/>
  <c r="K476" i="1"/>
  <c r="J476" i="1"/>
  <c r="G476" i="1"/>
  <c r="U475" i="1"/>
  <c r="O475" i="1"/>
  <c r="N475" i="1"/>
  <c r="M475" i="1"/>
  <c r="L475" i="1"/>
  <c r="K475" i="1"/>
  <c r="J475" i="1"/>
  <c r="G475" i="1"/>
  <c r="U474" i="1"/>
  <c r="O474" i="1"/>
  <c r="N474" i="1"/>
  <c r="M474" i="1"/>
  <c r="L474" i="1"/>
  <c r="K474" i="1"/>
  <c r="J474" i="1"/>
  <c r="G474" i="1"/>
  <c r="U473" i="1"/>
  <c r="O473" i="1"/>
  <c r="N473" i="1"/>
  <c r="M473" i="1"/>
  <c r="L473" i="1"/>
  <c r="K473" i="1"/>
  <c r="J473" i="1"/>
  <c r="G473" i="1"/>
  <c r="U472" i="1"/>
  <c r="O472" i="1"/>
  <c r="N472" i="1"/>
  <c r="M472" i="1"/>
  <c r="L472" i="1"/>
  <c r="K472" i="1"/>
  <c r="J472" i="1"/>
  <c r="G472" i="1"/>
  <c r="U471" i="1"/>
  <c r="O471" i="1"/>
  <c r="N471" i="1"/>
  <c r="M471" i="1"/>
  <c r="L471" i="1"/>
  <c r="K471" i="1"/>
  <c r="J471" i="1"/>
  <c r="G471" i="1"/>
  <c r="U470" i="1"/>
  <c r="O470" i="1"/>
  <c r="N470" i="1"/>
  <c r="M470" i="1"/>
  <c r="L470" i="1"/>
  <c r="K470" i="1"/>
  <c r="J470" i="1"/>
  <c r="G470" i="1"/>
  <c r="U469" i="1"/>
  <c r="O469" i="1"/>
  <c r="N469" i="1"/>
  <c r="M469" i="1"/>
  <c r="L469" i="1"/>
  <c r="K469" i="1"/>
  <c r="J469" i="1"/>
  <c r="G469" i="1"/>
  <c r="U468" i="1"/>
  <c r="O468" i="1"/>
  <c r="N468" i="1"/>
  <c r="M468" i="1"/>
  <c r="L468" i="1"/>
  <c r="K468" i="1"/>
  <c r="J468" i="1"/>
  <c r="G468" i="1"/>
  <c r="U467" i="1"/>
  <c r="O467" i="1"/>
  <c r="N467" i="1"/>
  <c r="M467" i="1"/>
  <c r="L467" i="1"/>
  <c r="K467" i="1"/>
  <c r="J467" i="1"/>
  <c r="G467" i="1"/>
  <c r="U466" i="1"/>
  <c r="O466" i="1"/>
  <c r="N466" i="1"/>
  <c r="M466" i="1"/>
  <c r="L466" i="1"/>
  <c r="K466" i="1"/>
  <c r="J466" i="1"/>
  <c r="G466" i="1"/>
  <c r="U465" i="1"/>
  <c r="O465" i="1"/>
  <c r="N465" i="1"/>
  <c r="M465" i="1"/>
  <c r="L465" i="1"/>
  <c r="K465" i="1"/>
  <c r="J465" i="1"/>
  <c r="G465" i="1"/>
  <c r="U464" i="1"/>
  <c r="O464" i="1"/>
  <c r="N464" i="1"/>
  <c r="M464" i="1"/>
  <c r="L464" i="1"/>
  <c r="K464" i="1"/>
  <c r="J464" i="1"/>
  <c r="G464" i="1"/>
  <c r="U463" i="1"/>
  <c r="O463" i="1"/>
  <c r="N463" i="1"/>
  <c r="M463" i="1"/>
  <c r="L463" i="1"/>
  <c r="K463" i="1"/>
  <c r="J463" i="1"/>
  <c r="G463" i="1"/>
  <c r="U462" i="1"/>
  <c r="O462" i="1"/>
  <c r="N462" i="1"/>
  <c r="M462" i="1"/>
  <c r="L462" i="1"/>
  <c r="K462" i="1"/>
  <c r="J462" i="1"/>
  <c r="G462" i="1"/>
  <c r="U461" i="1"/>
  <c r="O461" i="1"/>
  <c r="N461" i="1"/>
  <c r="M461" i="1"/>
  <c r="L461" i="1"/>
  <c r="K461" i="1"/>
  <c r="J461" i="1"/>
  <c r="G461" i="1"/>
  <c r="U460" i="1"/>
  <c r="O460" i="1"/>
  <c r="N460" i="1"/>
  <c r="M460" i="1"/>
  <c r="L460" i="1"/>
  <c r="K460" i="1"/>
  <c r="J460" i="1"/>
  <c r="G460" i="1"/>
  <c r="U459" i="1"/>
  <c r="O459" i="1"/>
  <c r="N459" i="1"/>
  <c r="M459" i="1"/>
  <c r="L459" i="1"/>
  <c r="K459" i="1"/>
  <c r="J459" i="1"/>
  <c r="G459" i="1"/>
  <c r="U458" i="1"/>
  <c r="O458" i="1"/>
  <c r="N458" i="1"/>
  <c r="M458" i="1"/>
  <c r="L458" i="1"/>
  <c r="K458" i="1"/>
  <c r="J458" i="1"/>
  <c r="G458" i="1"/>
  <c r="U457" i="1"/>
  <c r="O457" i="1"/>
  <c r="N457" i="1"/>
  <c r="M457" i="1"/>
  <c r="L457" i="1"/>
  <c r="K457" i="1"/>
  <c r="J457" i="1"/>
  <c r="G457" i="1"/>
  <c r="U456" i="1"/>
  <c r="O456" i="1"/>
  <c r="N456" i="1"/>
  <c r="M456" i="1"/>
  <c r="L456" i="1"/>
  <c r="K456" i="1"/>
  <c r="J456" i="1"/>
  <c r="G456" i="1"/>
  <c r="U455" i="1"/>
  <c r="O455" i="1"/>
  <c r="N455" i="1"/>
  <c r="M455" i="1"/>
  <c r="L455" i="1"/>
  <c r="K455" i="1"/>
  <c r="J455" i="1"/>
  <c r="G455" i="1"/>
  <c r="U454" i="1"/>
  <c r="O454" i="1"/>
  <c r="N454" i="1"/>
  <c r="M454" i="1"/>
  <c r="L454" i="1"/>
  <c r="K454" i="1"/>
  <c r="J454" i="1"/>
  <c r="G454" i="1"/>
  <c r="U453" i="1"/>
  <c r="O453" i="1"/>
  <c r="N453" i="1"/>
  <c r="M453" i="1"/>
  <c r="L453" i="1"/>
  <c r="K453" i="1"/>
  <c r="J453" i="1"/>
  <c r="G453" i="1"/>
  <c r="U452" i="1"/>
  <c r="O452" i="1"/>
  <c r="N452" i="1"/>
  <c r="M452" i="1"/>
  <c r="L452" i="1"/>
  <c r="K452" i="1"/>
  <c r="J452" i="1"/>
  <c r="G452" i="1"/>
  <c r="U451" i="1"/>
  <c r="O451" i="1"/>
  <c r="N451" i="1"/>
  <c r="M451" i="1"/>
  <c r="L451" i="1"/>
  <c r="K451" i="1"/>
  <c r="J451" i="1"/>
  <c r="G451" i="1"/>
  <c r="U450" i="1"/>
  <c r="O450" i="1"/>
  <c r="N450" i="1"/>
  <c r="M450" i="1"/>
  <c r="L450" i="1"/>
  <c r="K450" i="1"/>
  <c r="J450" i="1"/>
  <c r="G450" i="1"/>
  <c r="U449" i="1"/>
  <c r="O449" i="1"/>
  <c r="N449" i="1"/>
  <c r="M449" i="1"/>
  <c r="L449" i="1"/>
  <c r="K449" i="1"/>
  <c r="J449" i="1"/>
  <c r="G449" i="1"/>
  <c r="U448" i="1"/>
  <c r="O448" i="1"/>
  <c r="N448" i="1"/>
  <c r="M448" i="1"/>
  <c r="L448" i="1"/>
  <c r="K448" i="1"/>
  <c r="J448" i="1"/>
  <c r="G448" i="1"/>
  <c r="U447" i="1"/>
  <c r="O447" i="1"/>
  <c r="N447" i="1"/>
  <c r="M447" i="1"/>
  <c r="L447" i="1"/>
  <c r="K447" i="1"/>
  <c r="J447" i="1"/>
  <c r="G447" i="1"/>
  <c r="U446" i="1"/>
  <c r="O446" i="1"/>
  <c r="N446" i="1"/>
  <c r="M446" i="1"/>
  <c r="L446" i="1"/>
  <c r="K446" i="1"/>
  <c r="J446" i="1"/>
  <c r="G446" i="1"/>
  <c r="U445" i="1"/>
  <c r="O445" i="1"/>
  <c r="N445" i="1"/>
  <c r="M445" i="1"/>
  <c r="L445" i="1"/>
  <c r="K445" i="1"/>
  <c r="J445" i="1"/>
  <c r="G445" i="1"/>
  <c r="U444" i="1"/>
  <c r="O444" i="1"/>
  <c r="N444" i="1"/>
  <c r="M444" i="1"/>
  <c r="L444" i="1"/>
  <c r="K444" i="1"/>
  <c r="J444" i="1"/>
  <c r="G444" i="1"/>
  <c r="U443" i="1"/>
  <c r="O443" i="1"/>
  <c r="N443" i="1"/>
  <c r="M443" i="1"/>
  <c r="L443" i="1"/>
  <c r="K443" i="1"/>
  <c r="J443" i="1"/>
  <c r="G443" i="1"/>
  <c r="U442" i="1"/>
  <c r="O442" i="1"/>
  <c r="N442" i="1"/>
  <c r="M442" i="1"/>
  <c r="L442" i="1"/>
  <c r="K442" i="1"/>
  <c r="J442" i="1"/>
  <c r="G442" i="1"/>
  <c r="U441" i="1"/>
  <c r="O441" i="1"/>
  <c r="N441" i="1"/>
  <c r="M441" i="1"/>
  <c r="L441" i="1"/>
  <c r="K441" i="1"/>
  <c r="J441" i="1"/>
  <c r="G441" i="1"/>
  <c r="U440" i="1"/>
  <c r="O440" i="1"/>
  <c r="N440" i="1"/>
  <c r="M440" i="1"/>
  <c r="L440" i="1"/>
  <c r="K440" i="1"/>
  <c r="J440" i="1"/>
  <c r="G440" i="1"/>
  <c r="U439" i="1"/>
  <c r="O439" i="1"/>
  <c r="N439" i="1"/>
  <c r="M439" i="1"/>
  <c r="L439" i="1"/>
  <c r="K439" i="1"/>
  <c r="J439" i="1"/>
  <c r="G439" i="1"/>
  <c r="U438" i="1"/>
  <c r="O438" i="1"/>
  <c r="N438" i="1"/>
  <c r="M438" i="1"/>
  <c r="L438" i="1"/>
  <c r="K438" i="1"/>
  <c r="J438" i="1"/>
  <c r="G438" i="1"/>
  <c r="U437" i="1"/>
  <c r="O437" i="1"/>
  <c r="N437" i="1"/>
  <c r="M437" i="1"/>
  <c r="L437" i="1"/>
  <c r="K437" i="1"/>
  <c r="J437" i="1"/>
  <c r="G437" i="1"/>
  <c r="U436" i="1"/>
  <c r="O436" i="1"/>
  <c r="N436" i="1"/>
  <c r="M436" i="1"/>
  <c r="L436" i="1"/>
  <c r="K436" i="1"/>
  <c r="J436" i="1"/>
  <c r="G436" i="1"/>
  <c r="U435" i="1"/>
  <c r="O435" i="1"/>
  <c r="N435" i="1"/>
  <c r="M435" i="1"/>
  <c r="L435" i="1"/>
  <c r="K435" i="1"/>
  <c r="J435" i="1"/>
  <c r="G435" i="1"/>
  <c r="U434" i="1"/>
  <c r="O434" i="1"/>
  <c r="N434" i="1"/>
  <c r="M434" i="1"/>
  <c r="L434" i="1"/>
  <c r="K434" i="1"/>
  <c r="J434" i="1"/>
  <c r="G434" i="1"/>
  <c r="U433" i="1"/>
  <c r="O433" i="1"/>
  <c r="N433" i="1"/>
  <c r="M433" i="1"/>
  <c r="L433" i="1"/>
  <c r="K433" i="1"/>
  <c r="J433" i="1"/>
  <c r="G433" i="1"/>
  <c r="U432" i="1"/>
  <c r="O432" i="1"/>
  <c r="N432" i="1"/>
  <c r="M432" i="1"/>
  <c r="L432" i="1"/>
  <c r="K432" i="1"/>
  <c r="J432" i="1"/>
  <c r="G432" i="1"/>
  <c r="U431" i="1"/>
  <c r="O431" i="1"/>
  <c r="N431" i="1"/>
  <c r="M431" i="1"/>
  <c r="L431" i="1"/>
  <c r="K431" i="1"/>
  <c r="J431" i="1"/>
  <c r="G431" i="1"/>
  <c r="U430" i="1"/>
  <c r="O430" i="1"/>
  <c r="N430" i="1"/>
  <c r="M430" i="1"/>
  <c r="L430" i="1"/>
  <c r="K430" i="1"/>
  <c r="J430" i="1"/>
  <c r="G430" i="1"/>
  <c r="U429" i="1"/>
  <c r="O429" i="1"/>
  <c r="N429" i="1"/>
  <c r="M429" i="1"/>
  <c r="L429" i="1"/>
  <c r="K429" i="1"/>
  <c r="J429" i="1"/>
  <c r="G429" i="1"/>
  <c r="U428" i="1"/>
  <c r="O428" i="1"/>
  <c r="N428" i="1"/>
  <c r="M428" i="1"/>
  <c r="L428" i="1"/>
  <c r="K428" i="1"/>
  <c r="J428" i="1"/>
  <c r="G428" i="1"/>
  <c r="U427" i="1"/>
  <c r="O427" i="1"/>
  <c r="N427" i="1"/>
  <c r="M427" i="1"/>
  <c r="L427" i="1"/>
  <c r="K427" i="1"/>
  <c r="J427" i="1"/>
  <c r="G427" i="1"/>
  <c r="U426" i="1"/>
  <c r="O426" i="1"/>
  <c r="N426" i="1"/>
  <c r="M426" i="1"/>
  <c r="L426" i="1"/>
  <c r="K426" i="1"/>
  <c r="J426" i="1"/>
  <c r="G426" i="1"/>
  <c r="U425" i="1"/>
  <c r="O425" i="1"/>
  <c r="N425" i="1"/>
  <c r="M425" i="1"/>
  <c r="L425" i="1"/>
  <c r="K425" i="1"/>
  <c r="J425" i="1"/>
  <c r="G425" i="1"/>
  <c r="U424" i="1"/>
  <c r="O424" i="1"/>
  <c r="N424" i="1"/>
  <c r="M424" i="1"/>
  <c r="L424" i="1"/>
  <c r="K424" i="1"/>
  <c r="J424" i="1"/>
  <c r="G424" i="1"/>
  <c r="U423" i="1"/>
  <c r="O423" i="1"/>
  <c r="N423" i="1"/>
  <c r="M423" i="1"/>
  <c r="L423" i="1"/>
  <c r="K423" i="1"/>
  <c r="J423" i="1"/>
  <c r="G423" i="1"/>
  <c r="U422" i="1"/>
  <c r="O422" i="1"/>
  <c r="N422" i="1"/>
  <c r="M422" i="1"/>
  <c r="L422" i="1"/>
  <c r="K422" i="1"/>
  <c r="J422" i="1"/>
  <c r="G422" i="1"/>
  <c r="U421" i="1"/>
  <c r="O421" i="1"/>
  <c r="N421" i="1"/>
  <c r="M421" i="1"/>
  <c r="L421" i="1"/>
  <c r="K421" i="1"/>
  <c r="J421" i="1"/>
  <c r="G421" i="1"/>
  <c r="U420" i="1"/>
  <c r="O420" i="1"/>
  <c r="N420" i="1"/>
  <c r="M420" i="1"/>
  <c r="L420" i="1"/>
  <c r="K420" i="1"/>
  <c r="J420" i="1"/>
  <c r="G420" i="1"/>
  <c r="U419" i="1"/>
  <c r="O419" i="1"/>
  <c r="N419" i="1"/>
  <c r="M419" i="1"/>
  <c r="L419" i="1"/>
  <c r="K419" i="1"/>
  <c r="J419" i="1"/>
  <c r="G419" i="1"/>
  <c r="U418" i="1"/>
  <c r="O418" i="1"/>
  <c r="N418" i="1"/>
  <c r="M418" i="1"/>
  <c r="L418" i="1"/>
  <c r="K418" i="1"/>
  <c r="J418" i="1"/>
  <c r="G418" i="1"/>
  <c r="U417" i="1"/>
  <c r="O417" i="1"/>
  <c r="N417" i="1"/>
  <c r="M417" i="1"/>
  <c r="L417" i="1"/>
  <c r="K417" i="1"/>
  <c r="J417" i="1"/>
  <c r="G417" i="1"/>
  <c r="U416" i="1"/>
  <c r="O416" i="1"/>
  <c r="N416" i="1"/>
  <c r="M416" i="1"/>
  <c r="L416" i="1"/>
  <c r="K416" i="1"/>
  <c r="J416" i="1"/>
  <c r="G416" i="1"/>
  <c r="U415" i="1"/>
  <c r="O415" i="1"/>
  <c r="N415" i="1"/>
  <c r="M415" i="1"/>
  <c r="L415" i="1"/>
  <c r="K415" i="1"/>
  <c r="J415" i="1"/>
  <c r="G415" i="1"/>
  <c r="U414" i="1"/>
  <c r="O414" i="1"/>
  <c r="N414" i="1"/>
  <c r="M414" i="1"/>
  <c r="L414" i="1"/>
  <c r="K414" i="1"/>
  <c r="J414" i="1"/>
  <c r="G414" i="1"/>
  <c r="U413" i="1"/>
  <c r="O413" i="1"/>
  <c r="N413" i="1"/>
  <c r="M413" i="1"/>
  <c r="L413" i="1"/>
  <c r="K413" i="1"/>
  <c r="J413" i="1"/>
  <c r="G413" i="1"/>
  <c r="U412" i="1"/>
  <c r="O412" i="1"/>
  <c r="N412" i="1"/>
  <c r="M412" i="1"/>
  <c r="L412" i="1"/>
  <c r="K412" i="1"/>
  <c r="J412" i="1"/>
  <c r="G412" i="1"/>
  <c r="U411" i="1"/>
  <c r="O411" i="1"/>
  <c r="N411" i="1"/>
  <c r="M411" i="1"/>
  <c r="L411" i="1"/>
  <c r="K411" i="1"/>
  <c r="J411" i="1"/>
  <c r="G411" i="1"/>
  <c r="U410" i="1"/>
  <c r="O410" i="1"/>
  <c r="N410" i="1"/>
  <c r="M410" i="1"/>
  <c r="L410" i="1"/>
  <c r="K410" i="1"/>
  <c r="J410" i="1"/>
  <c r="G410" i="1"/>
  <c r="U409" i="1"/>
  <c r="O409" i="1"/>
  <c r="N409" i="1"/>
  <c r="M409" i="1"/>
  <c r="L409" i="1"/>
  <c r="K409" i="1"/>
  <c r="J409" i="1"/>
  <c r="G409" i="1"/>
  <c r="U408" i="1"/>
  <c r="O408" i="1"/>
  <c r="N408" i="1"/>
  <c r="M408" i="1"/>
  <c r="L408" i="1"/>
  <c r="K408" i="1"/>
  <c r="J408" i="1"/>
  <c r="G408" i="1"/>
  <c r="U407" i="1"/>
  <c r="O407" i="1"/>
  <c r="N407" i="1"/>
  <c r="M407" i="1"/>
  <c r="L407" i="1"/>
  <c r="K407" i="1"/>
  <c r="J407" i="1"/>
  <c r="G407" i="1"/>
  <c r="U406" i="1"/>
  <c r="O406" i="1"/>
  <c r="N406" i="1"/>
  <c r="M406" i="1"/>
  <c r="L406" i="1"/>
  <c r="K406" i="1"/>
  <c r="J406" i="1"/>
  <c r="G406" i="1"/>
  <c r="U405" i="1"/>
  <c r="O405" i="1"/>
  <c r="N405" i="1"/>
  <c r="M405" i="1"/>
  <c r="L405" i="1"/>
  <c r="K405" i="1"/>
  <c r="J405" i="1"/>
  <c r="G405" i="1"/>
  <c r="U404" i="1"/>
  <c r="O404" i="1"/>
  <c r="N404" i="1"/>
  <c r="M404" i="1"/>
  <c r="L404" i="1"/>
  <c r="K404" i="1"/>
  <c r="J404" i="1"/>
  <c r="G404" i="1"/>
  <c r="U403" i="1"/>
  <c r="O403" i="1"/>
  <c r="N403" i="1"/>
  <c r="M403" i="1"/>
  <c r="L403" i="1"/>
  <c r="K403" i="1"/>
  <c r="J403" i="1"/>
  <c r="G403" i="1"/>
  <c r="U402" i="1"/>
  <c r="O402" i="1"/>
  <c r="N402" i="1"/>
  <c r="M402" i="1"/>
  <c r="L402" i="1"/>
  <c r="K402" i="1"/>
  <c r="J402" i="1"/>
  <c r="G402" i="1"/>
  <c r="U401" i="1"/>
  <c r="O401" i="1"/>
  <c r="N401" i="1"/>
  <c r="M401" i="1"/>
  <c r="L401" i="1"/>
  <c r="K401" i="1"/>
  <c r="J401" i="1"/>
  <c r="G401" i="1"/>
  <c r="U400" i="1"/>
  <c r="O400" i="1"/>
  <c r="N400" i="1"/>
  <c r="M400" i="1"/>
  <c r="L400" i="1"/>
  <c r="K400" i="1"/>
  <c r="J400" i="1"/>
  <c r="G400" i="1"/>
  <c r="U399" i="1"/>
  <c r="O399" i="1"/>
  <c r="N399" i="1"/>
  <c r="M399" i="1"/>
  <c r="L399" i="1"/>
  <c r="K399" i="1"/>
  <c r="J399" i="1"/>
  <c r="G399" i="1"/>
  <c r="U398" i="1"/>
  <c r="O398" i="1"/>
  <c r="N398" i="1"/>
  <c r="M398" i="1"/>
  <c r="L398" i="1"/>
  <c r="K398" i="1"/>
  <c r="J398" i="1"/>
  <c r="G398" i="1"/>
  <c r="U397" i="1"/>
  <c r="O397" i="1"/>
  <c r="N397" i="1"/>
  <c r="M397" i="1"/>
  <c r="L397" i="1"/>
  <c r="K397" i="1"/>
  <c r="J397" i="1"/>
  <c r="G397" i="1"/>
  <c r="U396" i="1"/>
  <c r="O396" i="1"/>
  <c r="N396" i="1"/>
  <c r="M396" i="1"/>
  <c r="L396" i="1"/>
  <c r="K396" i="1"/>
  <c r="J396" i="1"/>
  <c r="G396" i="1"/>
  <c r="U395" i="1"/>
  <c r="O395" i="1"/>
  <c r="N395" i="1"/>
  <c r="M395" i="1"/>
  <c r="L395" i="1"/>
  <c r="K395" i="1"/>
  <c r="J395" i="1"/>
  <c r="G395" i="1"/>
  <c r="U394" i="1"/>
  <c r="O394" i="1"/>
  <c r="N394" i="1"/>
  <c r="M394" i="1"/>
  <c r="L394" i="1"/>
  <c r="K394" i="1"/>
  <c r="J394" i="1"/>
  <c r="G394" i="1"/>
  <c r="U393" i="1"/>
  <c r="O393" i="1"/>
  <c r="N393" i="1"/>
  <c r="M393" i="1"/>
  <c r="L393" i="1"/>
  <c r="K393" i="1"/>
  <c r="J393" i="1"/>
  <c r="G393" i="1"/>
  <c r="U392" i="1"/>
  <c r="O392" i="1"/>
  <c r="N392" i="1"/>
  <c r="M392" i="1"/>
  <c r="L392" i="1"/>
  <c r="K392" i="1"/>
  <c r="J392" i="1"/>
  <c r="G392" i="1"/>
  <c r="U391" i="1"/>
  <c r="O391" i="1"/>
  <c r="N391" i="1"/>
  <c r="M391" i="1"/>
  <c r="L391" i="1"/>
  <c r="K391" i="1"/>
  <c r="J391" i="1"/>
  <c r="G391" i="1"/>
  <c r="U390" i="1"/>
  <c r="O390" i="1"/>
  <c r="N390" i="1"/>
  <c r="M390" i="1"/>
  <c r="L390" i="1"/>
  <c r="K390" i="1"/>
  <c r="J390" i="1"/>
  <c r="G390" i="1"/>
  <c r="U389" i="1"/>
  <c r="O389" i="1"/>
  <c r="N389" i="1"/>
  <c r="M389" i="1"/>
  <c r="L389" i="1"/>
  <c r="K389" i="1"/>
  <c r="J389" i="1"/>
  <c r="G389" i="1"/>
  <c r="U388" i="1"/>
  <c r="O388" i="1"/>
  <c r="N388" i="1"/>
  <c r="M388" i="1"/>
  <c r="L388" i="1"/>
  <c r="K388" i="1"/>
  <c r="J388" i="1"/>
  <c r="G388" i="1"/>
  <c r="U387" i="1"/>
  <c r="O387" i="1"/>
  <c r="N387" i="1"/>
  <c r="M387" i="1"/>
  <c r="L387" i="1"/>
  <c r="K387" i="1"/>
  <c r="J387" i="1"/>
  <c r="G387" i="1"/>
  <c r="U386" i="1"/>
  <c r="O386" i="1"/>
  <c r="N386" i="1"/>
  <c r="M386" i="1"/>
  <c r="L386" i="1"/>
  <c r="K386" i="1"/>
  <c r="J386" i="1"/>
  <c r="G386" i="1"/>
  <c r="U385" i="1"/>
  <c r="O385" i="1"/>
  <c r="N385" i="1"/>
  <c r="M385" i="1"/>
  <c r="L385" i="1"/>
  <c r="K385" i="1"/>
  <c r="J385" i="1"/>
  <c r="G385" i="1"/>
  <c r="U384" i="1"/>
  <c r="O384" i="1"/>
  <c r="N384" i="1"/>
  <c r="M384" i="1"/>
  <c r="L384" i="1"/>
  <c r="K384" i="1"/>
  <c r="J384" i="1"/>
  <c r="G384" i="1"/>
  <c r="U383" i="1"/>
  <c r="O383" i="1"/>
  <c r="N383" i="1"/>
  <c r="M383" i="1"/>
  <c r="L383" i="1"/>
  <c r="K383" i="1"/>
  <c r="J383" i="1"/>
  <c r="G383" i="1"/>
  <c r="U382" i="1"/>
  <c r="O382" i="1"/>
  <c r="N382" i="1"/>
  <c r="M382" i="1"/>
  <c r="L382" i="1"/>
  <c r="K382" i="1"/>
  <c r="J382" i="1"/>
  <c r="G382" i="1"/>
  <c r="U381" i="1"/>
  <c r="O381" i="1"/>
  <c r="N381" i="1"/>
  <c r="M381" i="1"/>
  <c r="L381" i="1"/>
  <c r="K381" i="1"/>
  <c r="J381" i="1"/>
  <c r="G381" i="1"/>
  <c r="U380" i="1"/>
  <c r="O380" i="1"/>
  <c r="N380" i="1"/>
  <c r="M380" i="1"/>
  <c r="L380" i="1"/>
  <c r="K380" i="1"/>
  <c r="J380" i="1"/>
  <c r="G380" i="1"/>
  <c r="U379" i="1"/>
  <c r="O379" i="1"/>
  <c r="N379" i="1"/>
  <c r="M379" i="1"/>
  <c r="L379" i="1"/>
  <c r="K379" i="1"/>
  <c r="J379" i="1"/>
  <c r="G379" i="1"/>
  <c r="U378" i="1"/>
  <c r="O378" i="1"/>
  <c r="N378" i="1"/>
  <c r="M378" i="1"/>
  <c r="L378" i="1"/>
  <c r="K378" i="1"/>
  <c r="J378" i="1"/>
  <c r="G378" i="1"/>
  <c r="U377" i="1"/>
  <c r="O377" i="1"/>
  <c r="N377" i="1"/>
  <c r="M377" i="1"/>
  <c r="L377" i="1"/>
  <c r="K377" i="1"/>
  <c r="J377" i="1"/>
  <c r="G377" i="1"/>
  <c r="U376" i="1"/>
  <c r="O376" i="1"/>
  <c r="N376" i="1"/>
  <c r="M376" i="1"/>
  <c r="L376" i="1"/>
  <c r="K376" i="1"/>
  <c r="J376" i="1"/>
  <c r="G376" i="1"/>
  <c r="U375" i="1"/>
  <c r="O375" i="1"/>
  <c r="N375" i="1"/>
  <c r="M375" i="1"/>
  <c r="L375" i="1"/>
  <c r="K375" i="1"/>
  <c r="J375" i="1"/>
  <c r="G375" i="1"/>
  <c r="U374" i="1"/>
  <c r="O374" i="1"/>
  <c r="N374" i="1"/>
  <c r="M374" i="1"/>
  <c r="L374" i="1"/>
  <c r="K374" i="1"/>
  <c r="J374" i="1"/>
  <c r="G374" i="1"/>
  <c r="U373" i="1"/>
  <c r="O373" i="1"/>
  <c r="N373" i="1"/>
  <c r="M373" i="1"/>
  <c r="L373" i="1"/>
  <c r="K373" i="1"/>
  <c r="J373" i="1"/>
  <c r="G373" i="1"/>
  <c r="U372" i="1"/>
  <c r="O372" i="1"/>
  <c r="N372" i="1"/>
  <c r="M372" i="1"/>
  <c r="L372" i="1"/>
  <c r="K372" i="1"/>
  <c r="J372" i="1"/>
  <c r="G372" i="1"/>
  <c r="U371" i="1"/>
  <c r="O371" i="1"/>
  <c r="N371" i="1"/>
  <c r="M371" i="1"/>
  <c r="L371" i="1"/>
  <c r="K371" i="1"/>
  <c r="J371" i="1"/>
  <c r="G371" i="1"/>
  <c r="U370" i="1"/>
  <c r="O370" i="1"/>
  <c r="N370" i="1"/>
  <c r="M370" i="1"/>
  <c r="L370" i="1"/>
  <c r="K370" i="1"/>
  <c r="J370" i="1"/>
  <c r="G370" i="1"/>
  <c r="U369" i="1"/>
  <c r="O369" i="1"/>
  <c r="N369" i="1"/>
  <c r="M369" i="1"/>
  <c r="L369" i="1"/>
  <c r="K369" i="1"/>
  <c r="J369" i="1"/>
  <c r="G369" i="1"/>
  <c r="U368" i="1"/>
  <c r="O368" i="1"/>
  <c r="N368" i="1"/>
  <c r="M368" i="1"/>
  <c r="L368" i="1"/>
  <c r="K368" i="1"/>
  <c r="J368" i="1"/>
  <c r="G368" i="1"/>
  <c r="U367" i="1"/>
  <c r="O367" i="1"/>
  <c r="N367" i="1"/>
  <c r="M367" i="1"/>
  <c r="L367" i="1"/>
  <c r="K367" i="1"/>
  <c r="J367" i="1"/>
  <c r="G367" i="1"/>
  <c r="U366" i="1"/>
  <c r="O366" i="1"/>
  <c r="N366" i="1"/>
  <c r="M366" i="1"/>
  <c r="L366" i="1"/>
  <c r="K366" i="1"/>
  <c r="J366" i="1"/>
  <c r="G366" i="1"/>
  <c r="U365" i="1"/>
  <c r="O365" i="1"/>
  <c r="N365" i="1"/>
  <c r="M365" i="1"/>
  <c r="L365" i="1"/>
  <c r="K365" i="1"/>
  <c r="J365" i="1"/>
  <c r="G365" i="1"/>
  <c r="U364" i="1"/>
  <c r="O364" i="1"/>
  <c r="N364" i="1"/>
  <c r="M364" i="1"/>
  <c r="L364" i="1"/>
  <c r="K364" i="1"/>
  <c r="J364" i="1"/>
  <c r="G364" i="1"/>
  <c r="U363" i="1"/>
  <c r="O363" i="1"/>
  <c r="N363" i="1"/>
  <c r="M363" i="1"/>
  <c r="L363" i="1"/>
  <c r="K363" i="1"/>
  <c r="J363" i="1"/>
  <c r="G363" i="1"/>
  <c r="U362" i="1"/>
  <c r="O362" i="1"/>
  <c r="N362" i="1"/>
  <c r="M362" i="1"/>
  <c r="L362" i="1"/>
  <c r="K362" i="1"/>
  <c r="J362" i="1"/>
  <c r="G362" i="1"/>
  <c r="U361" i="1"/>
  <c r="O361" i="1"/>
  <c r="N361" i="1"/>
  <c r="M361" i="1"/>
  <c r="L361" i="1"/>
  <c r="K361" i="1"/>
  <c r="J361" i="1"/>
  <c r="G361" i="1"/>
  <c r="U360" i="1"/>
  <c r="O360" i="1"/>
  <c r="N360" i="1"/>
  <c r="M360" i="1"/>
  <c r="L360" i="1"/>
  <c r="K360" i="1"/>
  <c r="J360" i="1"/>
  <c r="G360" i="1"/>
  <c r="U359" i="1"/>
  <c r="O359" i="1"/>
  <c r="N359" i="1"/>
  <c r="M359" i="1"/>
  <c r="L359" i="1"/>
  <c r="K359" i="1"/>
  <c r="J359" i="1"/>
  <c r="G359" i="1"/>
  <c r="U358" i="1"/>
  <c r="O358" i="1"/>
  <c r="N358" i="1"/>
  <c r="M358" i="1"/>
  <c r="L358" i="1"/>
  <c r="K358" i="1"/>
  <c r="J358" i="1"/>
  <c r="G358" i="1"/>
  <c r="U357" i="1"/>
  <c r="O357" i="1"/>
  <c r="N357" i="1"/>
  <c r="M357" i="1"/>
  <c r="L357" i="1"/>
  <c r="K357" i="1"/>
  <c r="J357" i="1"/>
  <c r="G357" i="1"/>
  <c r="U356" i="1"/>
  <c r="O356" i="1"/>
  <c r="N356" i="1"/>
  <c r="M356" i="1"/>
  <c r="L356" i="1"/>
  <c r="K356" i="1"/>
  <c r="J356" i="1"/>
  <c r="G356" i="1"/>
  <c r="U355" i="1"/>
  <c r="O355" i="1"/>
  <c r="N355" i="1"/>
  <c r="M355" i="1"/>
  <c r="L355" i="1"/>
  <c r="K355" i="1"/>
  <c r="J355" i="1"/>
  <c r="G355" i="1"/>
  <c r="U354" i="1"/>
  <c r="O354" i="1"/>
  <c r="N354" i="1"/>
  <c r="M354" i="1"/>
  <c r="L354" i="1"/>
  <c r="K354" i="1"/>
  <c r="J354" i="1"/>
  <c r="G354" i="1"/>
  <c r="U353" i="1"/>
  <c r="O353" i="1"/>
  <c r="N353" i="1"/>
  <c r="M353" i="1"/>
  <c r="L353" i="1"/>
  <c r="K353" i="1"/>
  <c r="J353" i="1"/>
  <c r="G353" i="1"/>
  <c r="U352" i="1"/>
  <c r="O352" i="1"/>
  <c r="N352" i="1"/>
  <c r="M352" i="1"/>
  <c r="L352" i="1"/>
  <c r="K352" i="1"/>
  <c r="J352" i="1"/>
  <c r="G352" i="1"/>
  <c r="U351" i="1"/>
  <c r="O351" i="1"/>
  <c r="N351" i="1"/>
  <c r="M351" i="1"/>
  <c r="L351" i="1"/>
  <c r="K351" i="1"/>
  <c r="J351" i="1"/>
  <c r="G351" i="1"/>
  <c r="U350" i="1"/>
  <c r="O350" i="1"/>
  <c r="N350" i="1"/>
  <c r="M350" i="1"/>
  <c r="L350" i="1"/>
  <c r="K350" i="1"/>
  <c r="J350" i="1"/>
  <c r="G350" i="1"/>
  <c r="U349" i="1"/>
  <c r="O349" i="1"/>
  <c r="N349" i="1"/>
  <c r="M349" i="1"/>
  <c r="L349" i="1"/>
  <c r="K349" i="1"/>
  <c r="J349" i="1"/>
  <c r="G349" i="1"/>
  <c r="U348" i="1"/>
  <c r="O348" i="1"/>
  <c r="N348" i="1"/>
  <c r="M348" i="1"/>
  <c r="L348" i="1"/>
  <c r="K348" i="1"/>
  <c r="J348" i="1"/>
  <c r="G348" i="1"/>
  <c r="U347" i="1"/>
  <c r="O347" i="1"/>
  <c r="N347" i="1"/>
  <c r="M347" i="1"/>
  <c r="L347" i="1"/>
  <c r="K347" i="1"/>
  <c r="J347" i="1"/>
  <c r="G347" i="1"/>
  <c r="U346" i="1"/>
  <c r="O346" i="1"/>
  <c r="N346" i="1"/>
  <c r="M346" i="1"/>
  <c r="L346" i="1"/>
  <c r="K346" i="1"/>
  <c r="J346" i="1"/>
  <c r="G346" i="1"/>
  <c r="U345" i="1"/>
  <c r="O345" i="1"/>
  <c r="N345" i="1"/>
  <c r="M345" i="1"/>
  <c r="L345" i="1"/>
  <c r="K345" i="1"/>
  <c r="J345" i="1"/>
  <c r="G345" i="1"/>
  <c r="U344" i="1"/>
  <c r="O344" i="1"/>
  <c r="N344" i="1"/>
  <c r="M344" i="1"/>
  <c r="L344" i="1"/>
  <c r="K344" i="1"/>
  <c r="J344" i="1"/>
  <c r="G344" i="1"/>
  <c r="U343" i="1"/>
  <c r="O343" i="1"/>
  <c r="N343" i="1"/>
  <c r="M343" i="1"/>
  <c r="L343" i="1"/>
  <c r="K343" i="1"/>
  <c r="J343" i="1"/>
  <c r="G343" i="1"/>
  <c r="U342" i="1"/>
  <c r="O342" i="1"/>
  <c r="N342" i="1"/>
  <c r="M342" i="1"/>
  <c r="L342" i="1"/>
  <c r="K342" i="1"/>
  <c r="J342" i="1"/>
  <c r="G342" i="1"/>
  <c r="U341" i="1"/>
  <c r="O341" i="1"/>
  <c r="N341" i="1"/>
  <c r="M341" i="1"/>
  <c r="L341" i="1"/>
  <c r="K341" i="1"/>
  <c r="J341" i="1"/>
  <c r="G341" i="1"/>
  <c r="U340" i="1"/>
  <c r="O340" i="1"/>
  <c r="N340" i="1"/>
  <c r="M340" i="1"/>
  <c r="L340" i="1"/>
  <c r="K340" i="1"/>
  <c r="J340" i="1"/>
  <c r="G340" i="1"/>
  <c r="U339" i="1"/>
  <c r="O339" i="1"/>
  <c r="N339" i="1"/>
  <c r="M339" i="1"/>
  <c r="L339" i="1"/>
  <c r="K339" i="1"/>
  <c r="J339" i="1"/>
  <c r="G339" i="1"/>
  <c r="U338" i="1"/>
  <c r="O338" i="1"/>
  <c r="N338" i="1"/>
  <c r="M338" i="1"/>
  <c r="L338" i="1"/>
  <c r="K338" i="1"/>
  <c r="J338" i="1"/>
  <c r="G338" i="1"/>
  <c r="U337" i="1"/>
  <c r="O337" i="1"/>
  <c r="N337" i="1"/>
  <c r="M337" i="1"/>
  <c r="L337" i="1"/>
  <c r="K337" i="1"/>
  <c r="J337" i="1"/>
  <c r="G337" i="1"/>
  <c r="U336" i="1"/>
  <c r="O336" i="1"/>
  <c r="N336" i="1"/>
  <c r="M336" i="1"/>
  <c r="L336" i="1"/>
  <c r="K336" i="1"/>
  <c r="J336" i="1"/>
  <c r="G336" i="1"/>
  <c r="U335" i="1"/>
  <c r="O335" i="1"/>
  <c r="N335" i="1"/>
  <c r="M335" i="1"/>
  <c r="L335" i="1"/>
  <c r="K335" i="1"/>
  <c r="J335" i="1"/>
  <c r="G335" i="1"/>
  <c r="U334" i="1"/>
  <c r="O334" i="1"/>
  <c r="N334" i="1"/>
  <c r="M334" i="1"/>
  <c r="L334" i="1"/>
  <c r="K334" i="1"/>
  <c r="J334" i="1"/>
  <c r="G334" i="1"/>
  <c r="U333" i="1"/>
  <c r="O333" i="1"/>
  <c r="N333" i="1"/>
  <c r="M333" i="1"/>
  <c r="L333" i="1"/>
  <c r="K333" i="1"/>
  <c r="J333" i="1"/>
  <c r="G333" i="1"/>
  <c r="U332" i="1"/>
  <c r="O332" i="1"/>
  <c r="N332" i="1"/>
  <c r="M332" i="1"/>
  <c r="L332" i="1"/>
  <c r="K332" i="1"/>
  <c r="J332" i="1"/>
  <c r="G332" i="1"/>
  <c r="U331" i="1"/>
  <c r="O331" i="1"/>
  <c r="N331" i="1"/>
  <c r="M331" i="1"/>
  <c r="L331" i="1"/>
  <c r="K331" i="1"/>
  <c r="J331" i="1"/>
  <c r="G331" i="1"/>
  <c r="U330" i="1"/>
  <c r="O330" i="1"/>
  <c r="N330" i="1"/>
  <c r="M330" i="1"/>
  <c r="L330" i="1"/>
  <c r="K330" i="1"/>
  <c r="J330" i="1"/>
  <c r="G330" i="1"/>
  <c r="U329" i="1"/>
  <c r="O329" i="1"/>
  <c r="N329" i="1"/>
  <c r="M329" i="1"/>
  <c r="L329" i="1"/>
  <c r="K329" i="1"/>
  <c r="J329" i="1"/>
  <c r="G329" i="1"/>
  <c r="U328" i="1"/>
  <c r="O328" i="1"/>
  <c r="N328" i="1"/>
  <c r="M328" i="1"/>
  <c r="L328" i="1"/>
  <c r="K328" i="1"/>
  <c r="J328" i="1"/>
  <c r="G328" i="1"/>
  <c r="U327" i="1"/>
  <c r="O327" i="1"/>
  <c r="N327" i="1"/>
  <c r="M327" i="1"/>
  <c r="L327" i="1"/>
  <c r="K327" i="1"/>
  <c r="J327" i="1"/>
  <c r="G327" i="1"/>
  <c r="U326" i="1"/>
  <c r="O326" i="1"/>
  <c r="N326" i="1"/>
  <c r="M326" i="1"/>
  <c r="L326" i="1"/>
  <c r="K326" i="1"/>
  <c r="J326" i="1"/>
  <c r="G326" i="1"/>
  <c r="U325" i="1"/>
  <c r="O325" i="1"/>
  <c r="N325" i="1"/>
  <c r="M325" i="1"/>
  <c r="L325" i="1"/>
  <c r="K325" i="1"/>
  <c r="J325" i="1"/>
  <c r="G325" i="1"/>
  <c r="U324" i="1"/>
  <c r="O324" i="1"/>
  <c r="N324" i="1"/>
  <c r="M324" i="1"/>
  <c r="L324" i="1"/>
  <c r="K324" i="1"/>
  <c r="J324" i="1"/>
  <c r="G324" i="1"/>
  <c r="U323" i="1"/>
  <c r="O323" i="1"/>
  <c r="N323" i="1"/>
  <c r="M323" i="1"/>
  <c r="L323" i="1"/>
  <c r="K323" i="1"/>
  <c r="J323" i="1"/>
  <c r="G323" i="1"/>
  <c r="U322" i="1"/>
  <c r="O322" i="1"/>
  <c r="N322" i="1"/>
  <c r="M322" i="1"/>
  <c r="L322" i="1"/>
  <c r="K322" i="1"/>
  <c r="J322" i="1"/>
  <c r="G322" i="1"/>
  <c r="U321" i="1"/>
  <c r="O321" i="1"/>
  <c r="N321" i="1"/>
  <c r="M321" i="1"/>
  <c r="L321" i="1"/>
  <c r="K321" i="1"/>
  <c r="J321" i="1"/>
  <c r="G321" i="1"/>
  <c r="U320" i="1"/>
  <c r="O320" i="1"/>
  <c r="N320" i="1"/>
  <c r="M320" i="1"/>
  <c r="L320" i="1"/>
  <c r="K320" i="1"/>
  <c r="J320" i="1"/>
  <c r="G320" i="1"/>
  <c r="U319" i="1"/>
  <c r="O319" i="1"/>
  <c r="N319" i="1"/>
  <c r="M319" i="1"/>
  <c r="L319" i="1"/>
  <c r="K319" i="1"/>
  <c r="J319" i="1"/>
  <c r="G319" i="1"/>
  <c r="U318" i="1"/>
  <c r="O318" i="1"/>
  <c r="N318" i="1"/>
  <c r="M318" i="1"/>
  <c r="L318" i="1"/>
  <c r="K318" i="1"/>
  <c r="J318" i="1"/>
  <c r="G318" i="1"/>
  <c r="U317" i="1"/>
  <c r="O317" i="1"/>
  <c r="N317" i="1"/>
  <c r="M317" i="1"/>
  <c r="L317" i="1"/>
  <c r="K317" i="1"/>
  <c r="J317" i="1"/>
  <c r="G317" i="1"/>
  <c r="U316" i="1"/>
  <c r="O316" i="1"/>
  <c r="N316" i="1"/>
  <c r="M316" i="1"/>
  <c r="L316" i="1"/>
  <c r="K316" i="1"/>
  <c r="J316" i="1"/>
  <c r="G316" i="1"/>
  <c r="U315" i="1"/>
  <c r="O315" i="1"/>
  <c r="N315" i="1"/>
  <c r="M315" i="1"/>
  <c r="L315" i="1"/>
  <c r="K315" i="1"/>
  <c r="J315" i="1"/>
  <c r="G315" i="1"/>
  <c r="U314" i="1"/>
  <c r="O314" i="1"/>
  <c r="N314" i="1"/>
  <c r="M314" i="1"/>
  <c r="L314" i="1"/>
  <c r="K314" i="1"/>
  <c r="J314" i="1"/>
  <c r="G314" i="1"/>
  <c r="U313" i="1"/>
  <c r="O313" i="1"/>
  <c r="N313" i="1"/>
  <c r="M313" i="1"/>
  <c r="L313" i="1"/>
  <c r="K313" i="1"/>
  <c r="J313" i="1"/>
  <c r="G313" i="1"/>
  <c r="U312" i="1"/>
  <c r="O312" i="1"/>
  <c r="N312" i="1"/>
  <c r="M312" i="1"/>
  <c r="L312" i="1"/>
  <c r="K312" i="1"/>
  <c r="J312" i="1"/>
  <c r="G312" i="1"/>
  <c r="U311" i="1"/>
  <c r="O311" i="1"/>
  <c r="N311" i="1"/>
  <c r="M311" i="1"/>
  <c r="L311" i="1"/>
  <c r="K311" i="1"/>
  <c r="J311" i="1"/>
  <c r="G311" i="1"/>
  <c r="U310" i="1"/>
  <c r="O310" i="1"/>
  <c r="N310" i="1"/>
  <c r="M310" i="1"/>
  <c r="L310" i="1"/>
  <c r="K310" i="1"/>
  <c r="J310" i="1"/>
  <c r="G310" i="1"/>
  <c r="U309" i="1"/>
  <c r="O309" i="1"/>
  <c r="N309" i="1"/>
  <c r="M309" i="1"/>
  <c r="L309" i="1"/>
  <c r="K309" i="1"/>
  <c r="J309" i="1"/>
  <c r="G309" i="1"/>
  <c r="U308" i="1"/>
  <c r="O308" i="1"/>
  <c r="N308" i="1"/>
  <c r="M308" i="1"/>
  <c r="L308" i="1"/>
  <c r="K308" i="1"/>
  <c r="J308" i="1"/>
  <c r="G308" i="1"/>
  <c r="U307" i="1"/>
  <c r="O307" i="1"/>
  <c r="N307" i="1"/>
  <c r="M307" i="1"/>
  <c r="L307" i="1"/>
  <c r="K307" i="1"/>
  <c r="J307" i="1"/>
  <c r="G307" i="1"/>
  <c r="U306" i="1"/>
  <c r="O306" i="1"/>
  <c r="N306" i="1"/>
  <c r="M306" i="1"/>
  <c r="L306" i="1"/>
  <c r="K306" i="1"/>
  <c r="J306" i="1"/>
  <c r="G306" i="1"/>
  <c r="U305" i="1"/>
  <c r="O305" i="1"/>
  <c r="N305" i="1"/>
  <c r="M305" i="1"/>
  <c r="L305" i="1"/>
  <c r="K305" i="1"/>
  <c r="J305" i="1"/>
  <c r="G305" i="1"/>
  <c r="U304" i="1"/>
  <c r="O304" i="1"/>
  <c r="N304" i="1"/>
  <c r="M304" i="1"/>
  <c r="L304" i="1"/>
  <c r="K304" i="1"/>
  <c r="J304" i="1"/>
  <c r="G304" i="1"/>
  <c r="U303" i="1"/>
  <c r="O303" i="1"/>
  <c r="N303" i="1"/>
  <c r="M303" i="1"/>
  <c r="L303" i="1"/>
  <c r="K303" i="1"/>
  <c r="J303" i="1"/>
  <c r="G303" i="1"/>
  <c r="U302" i="1"/>
  <c r="O302" i="1"/>
  <c r="N302" i="1"/>
  <c r="M302" i="1"/>
  <c r="L302" i="1"/>
  <c r="K302" i="1"/>
  <c r="J302" i="1"/>
  <c r="G302" i="1"/>
  <c r="U301" i="1"/>
  <c r="O301" i="1"/>
  <c r="N301" i="1"/>
  <c r="M301" i="1"/>
  <c r="L301" i="1"/>
  <c r="K301" i="1"/>
  <c r="J301" i="1"/>
  <c r="G301" i="1"/>
  <c r="U300" i="1"/>
  <c r="O300" i="1"/>
  <c r="N300" i="1"/>
  <c r="M300" i="1"/>
  <c r="L300" i="1"/>
  <c r="K300" i="1"/>
  <c r="J300" i="1"/>
  <c r="G300" i="1"/>
  <c r="U299" i="1"/>
  <c r="O299" i="1"/>
  <c r="N299" i="1"/>
  <c r="M299" i="1"/>
  <c r="L299" i="1"/>
  <c r="K299" i="1"/>
  <c r="J299" i="1"/>
  <c r="G299" i="1"/>
  <c r="U298" i="1"/>
  <c r="O298" i="1"/>
  <c r="N298" i="1"/>
  <c r="M298" i="1"/>
  <c r="L298" i="1"/>
  <c r="K298" i="1"/>
  <c r="J298" i="1"/>
  <c r="G298" i="1"/>
  <c r="U297" i="1"/>
  <c r="O297" i="1"/>
  <c r="N297" i="1"/>
  <c r="M297" i="1"/>
  <c r="L297" i="1"/>
  <c r="K297" i="1"/>
  <c r="J297" i="1"/>
  <c r="G297" i="1"/>
  <c r="U296" i="1"/>
  <c r="O296" i="1"/>
  <c r="N296" i="1"/>
  <c r="M296" i="1"/>
  <c r="L296" i="1"/>
  <c r="K296" i="1"/>
  <c r="J296" i="1"/>
  <c r="G296" i="1"/>
  <c r="U295" i="1"/>
  <c r="O295" i="1"/>
  <c r="N295" i="1"/>
  <c r="M295" i="1"/>
  <c r="L295" i="1"/>
  <c r="K295" i="1"/>
  <c r="J295" i="1"/>
  <c r="G295" i="1"/>
  <c r="U294" i="1"/>
  <c r="O294" i="1"/>
  <c r="N294" i="1"/>
  <c r="M294" i="1"/>
  <c r="L294" i="1"/>
  <c r="K294" i="1"/>
  <c r="J294" i="1"/>
  <c r="G294" i="1"/>
  <c r="U293" i="1"/>
  <c r="O293" i="1"/>
  <c r="N293" i="1"/>
  <c r="M293" i="1"/>
  <c r="L293" i="1"/>
  <c r="K293" i="1"/>
  <c r="J293" i="1"/>
  <c r="G293" i="1"/>
  <c r="U292" i="1"/>
  <c r="O292" i="1"/>
  <c r="N292" i="1"/>
  <c r="M292" i="1"/>
  <c r="L292" i="1"/>
  <c r="K292" i="1"/>
  <c r="J292" i="1"/>
  <c r="G292" i="1"/>
  <c r="U291" i="1"/>
  <c r="O291" i="1"/>
  <c r="N291" i="1"/>
  <c r="M291" i="1"/>
  <c r="L291" i="1"/>
  <c r="K291" i="1"/>
  <c r="J291" i="1"/>
  <c r="G291" i="1"/>
  <c r="U290" i="1"/>
  <c r="O290" i="1"/>
  <c r="N290" i="1"/>
  <c r="M290" i="1"/>
  <c r="L290" i="1"/>
  <c r="K290" i="1"/>
  <c r="J290" i="1"/>
  <c r="G290" i="1"/>
  <c r="U289" i="1"/>
  <c r="O289" i="1"/>
  <c r="N289" i="1"/>
  <c r="M289" i="1"/>
  <c r="L289" i="1"/>
  <c r="K289" i="1"/>
  <c r="J289" i="1"/>
  <c r="G289" i="1"/>
  <c r="U288" i="1"/>
  <c r="O288" i="1"/>
  <c r="N288" i="1"/>
  <c r="M288" i="1"/>
  <c r="L288" i="1"/>
  <c r="K288" i="1"/>
  <c r="J288" i="1"/>
  <c r="G288" i="1"/>
  <c r="U287" i="1"/>
  <c r="O287" i="1"/>
  <c r="N287" i="1"/>
  <c r="M287" i="1"/>
  <c r="L287" i="1"/>
  <c r="K287" i="1"/>
  <c r="J287" i="1"/>
  <c r="G287" i="1"/>
  <c r="U286" i="1"/>
  <c r="O286" i="1"/>
  <c r="N286" i="1"/>
  <c r="M286" i="1"/>
  <c r="L286" i="1"/>
  <c r="K286" i="1"/>
  <c r="J286" i="1"/>
  <c r="G286" i="1"/>
  <c r="U285" i="1"/>
  <c r="O285" i="1"/>
  <c r="N285" i="1"/>
  <c r="M285" i="1"/>
  <c r="L285" i="1"/>
  <c r="K285" i="1"/>
  <c r="J285" i="1"/>
  <c r="G285" i="1"/>
  <c r="U284" i="1"/>
  <c r="O284" i="1"/>
  <c r="N284" i="1"/>
  <c r="M284" i="1"/>
  <c r="L284" i="1"/>
  <c r="K284" i="1"/>
  <c r="J284" i="1"/>
  <c r="G284" i="1"/>
  <c r="U283" i="1"/>
  <c r="O283" i="1"/>
  <c r="N283" i="1"/>
  <c r="M283" i="1"/>
  <c r="L283" i="1"/>
  <c r="K283" i="1"/>
  <c r="J283" i="1"/>
  <c r="G283" i="1"/>
  <c r="U282" i="1"/>
  <c r="O282" i="1"/>
  <c r="N282" i="1"/>
  <c r="M282" i="1"/>
  <c r="L282" i="1"/>
  <c r="K282" i="1"/>
  <c r="J282" i="1"/>
  <c r="G282" i="1"/>
  <c r="U281" i="1"/>
  <c r="O281" i="1"/>
  <c r="N281" i="1"/>
  <c r="M281" i="1"/>
  <c r="L281" i="1"/>
  <c r="K281" i="1"/>
  <c r="J281" i="1"/>
  <c r="G281" i="1"/>
  <c r="U280" i="1"/>
  <c r="O280" i="1"/>
  <c r="N280" i="1"/>
  <c r="M280" i="1"/>
  <c r="L280" i="1"/>
  <c r="K280" i="1"/>
  <c r="J280" i="1"/>
  <c r="G280" i="1"/>
  <c r="U279" i="1"/>
  <c r="O279" i="1"/>
  <c r="N279" i="1"/>
  <c r="M279" i="1"/>
  <c r="L279" i="1"/>
  <c r="K279" i="1"/>
  <c r="J279" i="1"/>
  <c r="G279" i="1"/>
  <c r="U278" i="1"/>
  <c r="O278" i="1"/>
  <c r="N278" i="1"/>
  <c r="M278" i="1"/>
  <c r="L278" i="1"/>
  <c r="K278" i="1"/>
  <c r="J278" i="1"/>
  <c r="G278" i="1"/>
  <c r="U277" i="1"/>
  <c r="O277" i="1"/>
  <c r="N277" i="1"/>
  <c r="M277" i="1"/>
  <c r="L277" i="1"/>
  <c r="K277" i="1"/>
  <c r="J277" i="1"/>
  <c r="G277" i="1"/>
  <c r="U276" i="1"/>
  <c r="O276" i="1"/>
  <c r="N276" i="1"/>
  <c r="M276" i="1"/>
  <c r="L276" i="1"/>
  <c r="K276" i="1"/>
  <c r="J276" i="1"/>
  <c r="G276" i="1"/>
  <c r="U275" i="1"/>
  <c r="O275" i="1"/>
  <c r="N275" i="1"/>
  <c r="M275" i="1"/>
  <c r="L275" i="1"/>
  <c r="K275" i="1"/>
  <c r="J275" i="1"/>
  <c r="G275" i="1"/>
  <c r="U274" i="1"/>
  <c r="O274" i="1"/>
  <c r="N274" i="1"/>
  <c r="M274" i="1"/>
  <c r="L274" i="1"/>
  <c r="K274" i="1"/>
  <c r="J274" i="1"/>
  <c r="G274" i="1"/>
  <c r="U273" i="1"/>
  <c r="O273" i="1"/>
  <c r="N273" i="1"/>
  <c r="M273" i="1"/>
  <c r="L273" i="1"/>
  <c r="K273" i="1"/>
  <c r="J273" i="1"/>
  <c r="G273" i="1"/>
  <c r="U272" i="1"/>
  <c r="O272" i="1"/>
  <c r="N272" i="1"/>
  <c r="M272" i="1"/>
  <c r="L272" i="1"/>
  <c r="K272" i="1"/>
  <c r="J272" i="1"/>
  <c r="G272" i="1"/>
  <c r="U271" i="1"/>
  <c r="O271" i="1"/>
  <c r="N271" i="1"/>
  <c r="M271" i="1"/>
  <c r="L271" i="1"/>
  <c r="K271" i="1"/>
  <c r="J271" i="1"/>
  <c r="G271" i="1"/>
  <c r="U270" i="1"/>
  <c r="O270" i="1"/>
  <c r="N270" i="1"/>
  <c r="M270" i="1"/>
  <c r="L270" i="1"/>
  <c r="K270" i="1"/>
  <c r="J270" i="1"/>
  <c r="G270" i="1"/>
  <c r="U269" i="1"/>
  <c r="O269" i="1"/>
  <c r="N269" i="1"/>
  <c r="M269" i="1"/>
  <c r="L269" i="1"/>
  <c r="K269" i="1"/>
  <c r="J269" i="1"/>
  <c r="G269" i="1"/>
  <c r="U268" i="1"/>
  <c r="O268" i="1"/>
  <c r="N268" i="1"/>
  <c r="M268" i="1"/>
  <c r="L268" i="1"/>
  <c r="K268" i="1"/>
  <c r="J268" i="1"/>
  <c r="G268" i="1"/>
  <c r="U267" i="1"/>
  <c r="O267" i="1"/>
  <c r="N267" i="1"/>
  <c r="M267" i="1"/>
  <c r="L267" i="1"/>
  <c r="K267" i="1"/>
  <c r="J267" i="1"/>
  <c r="G267" i="1"/>
  <c r="U266" i="1"/>
  <c r="O266" i="1"/>
  <c r="N266" i="1"/>
  <c r="M266" i="1"/>
  <c r="L266" i="1"/>
  <c r="K266" i="1"/>
  <c r="J266" i="1"/>
  <c r="G266" i="1"/>
  <c r="U265" i="1"/>
  <c r="O265" i="1"/>
  <c r="N265" i="1"/>
  <c r="M265" i="1"/>
  <c r="L265" i="1"/>
  <c r="K265" i="1"/>
  <c r="J265" i="1"/>
  <c r="G265" i="1"/>
  <c r="U264" i="1"/>
  <c r="O264" i="1"/>
  <c r="N264" i="1"/>
  <c r="M264" i="1"/>
  <c r="L264" i="1"/>
  <c r="K264" i="1"/>
  <c r="J264" i="1"/>
  <c r="G264" i="1"/>
  <c r="U263" i="1"/>
  <c r="O263" i="1"/>
  <c r="N263" i="1"/>
  <c r="M263" i="1"/>
  <c r="L263" i="1"/>
  <c r="K263" i="1"/>
  <c r="J263" i="1"/>
  <c r="G263" i="1"/>
  <c r="U262" i="1"/>
  <c r="O262" i="1"/>
  <c r="N262" i="1"/>
  <c r="M262" i="1"/>
  <c r="L262" i="1"/>
  <c r="K262" i="1"/>
  <c r="J262" i="1"/>
  <c r="G262" i="1"/>
  <c r="U261" i="1"/>
  <c r="O261" i="1"/>
  <c r="N261" i="1"/>
  <c r="M261" i="1"/>
  <c r="L261" i="1"/>
  <c r="K261" i="1"/>
  <c r="J261" i="1"/>
  <c r="G261" i="1"/>
  <c r="U260" i="1"/>
  <c r="O260" i="1"/>
  <c r="N260" i="1"/>
  <c r="M260" i="1"/>
  <c r="L260" i="1"/>
  <c r="K260" i="1"/>
  <c r="J260" i="1"/>
  <c r="G260" i="1"/>
  <c r="U259" i="1"/>
  <c r="O259" i="1"/>
  <c r="N259" i="1"/>
  <c r="M259" i="1"/>
  <c r="L259" i="1"/>
  <c r="K259" i="1"/>
  <c r="J259" i="1"/>
  <c r="G259" i="1"/>
  <c r="U258" i="1"/>
  <c r="O258" i="1"/>
  <c r="N258" i="1"/>
  <c r="M258" i="1"/>
  <c r="L258" i="1"/>
  <c r="K258" i="1"/>
  <c r="J258" i="1"/>
  <c r="G258" i="1"/>
  <c r="U257" i="1"/>
  <c r="O257" i="1"/>
  <c r="N257" i="1"/>
  <c r="M257" i="1"/>
  <c r="L257" i="1"/>
  <c r="K257" i="1"/>
  <c r="J257" i="1"/>
  <c r="G257" i="1"/>
  <c r="U256" i="1"/>
  <c r="O256" i="1"/>
  <c r="N256" i="1"/>
  <c r="M256" i="1"/>
  <c r="L256" i="1"/>
  <c r="K256" i="1"/>
  <c r="J256" i="1"/>
  <c r="G256" i="1"/>
  <c r="U255" i="1"/>
  <c r="O255" i="1"/>
  <c r="N255" i="1"/>
  <c r="M255" i="1"/>
  <c r="L255" i="1"/>
  <c r="K255" i="1"/>
  <c r="J255" i="1"/>
  <c r="G255" i="1"/>
  <c r="U254" i="1"/>
  <c r="O254" i="1"/>
  <c r="N254" i="1"/>
  <c r="M254" i="1"/>
  <c r="L254" i="1"/>
  <c r="K254" i="1"/>
  <c r="J254" i="1"/>
  <c r="G254" i="1"/>
  <c r="U253" i="1"/>
  <c r="O253" i="1"/>
  <c r="N253" i="1"/>
  <c r="M253" i="1"/>
  <c r="L253" i="1"/>
  <c r="K253" i="1"/>
  <c r="J253" i="1"/>
  <c r="G253" i="1"/>
  <c r="U252" i="1"/>
  <c r="O252" i="1"/>
  <c r="N252" i="1"/>
  <c r="M252" i="1"/>
  <c r="L252" i="1"/>
  <c r="K252" i="1"/>
  <c r="J252" i="1"/>
  <c r="G252" i="1"/>
  <c r="U251" i="1"/>
  <c r="O251" i="1"/>
  <c r="N251" i="1"/>
  <c r="M251" i="1"/>
  <c r="L251" i="1"/>
  <c r="K251" i="1"/>
  <c r="J251" i="1"/>
  <c r="G251" i="1"/>
  <c r="U250" i="1"/>
  <c r="O250" i="1"/>
  <c r="N250" i="1"/>
  <c r="M250" i="1"/>
  <c r="L250" i="1"/>
  <c r="K250" i="1"/>
  <c r="J250" i="1"/>
  <c r="G250" i="1"/>
  <c r="U249" i="1"/>
  <c r="O249" i="1"/>
  <c r="N249" i="1"/>
  <c r="M249" i="1"/>
  <c r="L249" i="1"/>
  <c r="K249" i="1"/>
  <c r="J249" i="1"/>
  <c r="G249" i="1"/>
  <c r="U248" i="1"/>
  <c r="O248" i="1"/>
  <c r="N248" i="1"/>
  <c r="M248" i="1"/>
  <c r="L248" i="1"/>
  <c r="K248" i="1"/>
  <c r="J248" i="1"/>
  <c r="G248" i="1"/>
  <c r="U247" i="1"/>
  <c r="O247" i="1"/>
  <c r="N247" i="1"/>
  <c r="M247" i="1"/>
  <c r="L247" i="1"/>
  <c r="K247" i="1"/>
  <c r="J247" i="1"/>
  <c r="G247" i="1"/>
  <c r="U246" i="1"/>
  <c r="O246" i="1"/>
  <c r="N246" i="1"/>
  <c r="M246" i="1"/>
  <c r="L246" i="1"/>
  <c r="K246" i="1"/>
  <c r="J246" i="1"/>
  <c r="G246" i="1"/>
  <c r="U245" i="1"/>
  <c r="O245" i="1"/>
  <c r="N245" i="1"/>
  <c r="M245" i="1"/>
  <c r="L245" i="1"/>
  <c r="K245" i="1"/>
  <c r="J245" i="1"/>
  <c r="G245" i="1"/>
  <c r="U244" i="1"/>
  <c r="O244" i="1"/>
  <c r="N244" i="1"/>
  <c r="M244" i="1"/>
  <c r="L244" i="1"/>
  <c r="K244" i="1"/>
  <c r="J244" i="1"/>
  <c r="G244" i="1"/>
  <c r="U243" i="1"/>
  <c r="O243" i="1"/>
  <c r="N243" i="1"/>
  <c r="M243" i="1"/>
  <c r="L243" i="1"/>
  <c r="K243" i="1"/>
  <c r="J243" i="1"/>
  <c r="G243" i="1"/>
  <c r="U242" i="1"/>
  <c r="O242" i="1"/>
  <c r="N242" i="1"/>
  <c r="M242" i="1"/>
  <c r="L242" i="1"/>
  <c r="K242" i="1"/>
  <c r="J242" i="1"/>
  <c r="G242" i="1"/>
  <c r="U241" i="1"/>
  <c r="O241" i="1"/>
  <c r="N241" i="1"/>
  <c r="M241" i="1"/>
  <c r="L241" i="1"/>
  <c r="K241" i="1"/>
  <c r="J241" i="1"/>
  <c r="G241" i="1"/>
  <c r="U240" i="1"/>
  <c r="O240" i="1"/>
  <c r="N240" i="1"/>
  <c r="M240" i="1"/>
  <c r="L240" i="1"/>
  <c r="K240" i="1"/>
  <c r="J240" i="1"/>
  <c r="G240" i="1"/>
  <c r="U239" i="1"/>
  <c r="O239" i="1"/>
  <c r="N239" i="1"/>
  <c r="M239" i="1"/>
  <c r="L239" i="1"/>
  <c r="K239" i="1"/>
  <c r="J239" i="1"/>
  <c r="G239" i="1"/>
  <c r="U238" i="1"/>
  <c r="O238" i="1"/>
  <c r="N238" i="1"/>
  <c r="M238" i="1"/>
  <c r="L238" i="1"/>
  <c r="K238" i="1"/>
  <c r="J238" i="1"/>
  <c r="G238" i="1"/>
  <c r="U237" i="1"/>
  <c r="O237" i="1"/>
  <c r="N237" i="1"/>
  <c r="M237" i="1"/>
  <c r="L237" i="1"/>
  <c r="K237" i="1"/>
  <c r="J237" i="1"/>
  <c r="G237" i="1"/>
  <c r="U236" i="1"/>
  <c r="O236" i="1"/>
  <c r="N236" i="1"/>
  <c r="M236" i="1"/>
  <c r="L236" i="1"/>
  <c r="K236" i="1"/>
  <c r="J236" i="1"/>
  <c r="G236" i="1"/>
  <c r="U235" i="1"/>
  <c r="O235" i="1"/>
  <c r="N235" i="1"/>
  <c r="M235" i="1"/>
  <c r="L235" i="1"/>
  <c r="K235" i="1"/>
  <c r="J235" i="1"/>
  <c r="G235" i="1"/>
  <c r="U234" i="1"/>
  <c r="O234" i="1"/>
  <c r="N234" i="1"/>
  <c r="M234" i="1"/>
  <c r="L234" i="1"/>
  <c r="K234" i="1"/>
  <c r="J234" i="1"/>
  <c r="G234" i="1"/>
  <c r="U233" i="1"/>
  <c r="O233" i="1"/>
  <c r="N233" i="1"/>
  <c r="M233" i="1"/>
  <c r="L233" i="1"/>
  <c r="K233" i="1"/>
  <c r="J233" i="1"/>
  <c r="G233" i="1"/>
  <c r="U232" i="1"/>
  <c r="O232" i="1"/>
  <c r="N232" i="1"/>
  <c r="M232" i="1"/>
  <c r="L232" i="1"/>
  <c r="K232" i="1"/>
  <c r="J232" i="1"/>
  <c r="G232" i="1"/>
  <c r="U231" i="1"/>
  <c r="O231" i="1"/>
  <c r="N231" i="1"/>
  <c r="M231" i="1"/>
  <c r="L231" i="1"/>
  <c r="K231" i="1"/>
  <c r="J231" i="1"/>
  <c r="G231" i="1"/>
  <c r="U230" i="1"/>
  <c r="O230" i="1"/>
  <c r="N230" i="1"/>
  <c r="M230" i="1"/>
  <c r="L230" i="1"/>
  <c r="K230" i="1"/>
  <c r="J230" i="1"/>
  <c r="G230" i="1"/>
  <c r="U229" i="1"/>
  <c r="O229" i="1"/>
  <c r="N229" i="1"/>
  <c r="M229" i="1"/>
  <c r="L229" i="1"/>
  <c r="K229" i="1"/>
  <c r="J229" i="1"/>
  <c r="G229" i="1"/>
  <c r="U228" i="1"/>
  <c r="O228" i="1"/>
  <c r="N228" i="1"/>
  <c r="M228" i="1"/>
  <c r="L228" i="1"/>
  <c r="K228" i="1"/>
  <c r="J228" i="1"/>
  <c r="G228" i="1"/>
  <c r="U227" i="1"/>
  <c r="O227" i="1"/>
  <c r="N227" i="1"/>
  <c r="M227" i="1"/>
  <c r="L227" i="1"/>
  <c r="K227" i="1"/>
  <c r="J227" i="1"/>
  <c r="G227" i="1"/>
  <c r="U226" i="1"/>
  <c r="O226" i="1"/>
  <c r="N226" i="1"/>
  <c r="M226" i="1"/>
  <c r="L226" i="1"/>
  <c r="K226" i="1"/>
  <c r="J226" i="1"/>
  <c r="G226" i="1"/>
  <c r="U225" i="1"/>
  <c r="O225" i="1"/>
  <c r="N225" i="1"/>
  <c r="M225" i="1"/>
  <c r="L225" i="1"/>
  <c r="K225" i="1"/>
  <c r="J225" i="1"/>
  <c r="G225" i="1"/>
  <c r="U224" i="1"/>
  <c r="O224" i="1"/>
  <c r="N224" i="1"/>
  <c r="M224" i="1"/>
  <c r="L224" i="1"/>
  <c r="K224" i="1"/>
  <c r="J224" i="1"/>
  <c r="G224" i="1"/>
  <c r="U223" i="1"/>
  <c r="O223" i="1"/>
  <c r="N223" i="1"/>
  <c r="M223" i="1"/>
  <c r="L223" i="1"/>
  <c r="K223" i="1"/>
  <c r="J223" i="1"/>
  <c r="G223" i="1"/>
  <c r="U222" i="1"/>
  <c r="O222" i="1"/>
  <c r="N222" i="1"/>
  <c r="M222" i="1"/>
  <c r="L222" i="1"/>
  <c r="K222" i="1"/>
  <c r="J222" i="1"/>
  <c r="G222" i="1"/>
  <c r="U221" i="1"/>
  <c r="O221" i="1"/>
  <c r="N221" i="1"/>
  <c r="M221" i="1"/>
  <c r="L221" i="1"/>
  <c r="K221" i="1"/>
  <c r="J221" i="1"/>
  <c r="G221" i="1"/>
  <c r="U220" i="1"/>
  <c r="O220" i="1"/>
  <c r="N220" i="1"/>
  <c r="M220" i="1"/>
  <c r="L220" i="1"/>
  <c r="K220" i="1"/>
  <c r="J220" i="1"/>
  <c r="G220" i="1"/>
  <c r="U219" i="1"/>
  <c r="O219" i="1"/>
  <c r="N219" i="1"/>
  <c r="M219" i="1"/>
  <c r="L219" i="1"/>
  <c r="K219" i="1"/>
  <c r="J219" i="1"/>
  <c r="G219" i="1"/>
  <c r="U218" i="1"/>
  <c r="O218" i="1"/>
  <c r="N218" i="1"/>
  <c r="M218" i="1"/>
  <c r="L218" i="1"/>
  <c r="K218" i="1"/>
  <c r="J218" i="1"/>
  <c r="G218" i="1"/>
  <c r="U217" i="1"/>
  <c r="O217" i="1"/>
  <c r="N217" i="1"/>
  <c r="M217" i="1"/>
  <c r="L217" i="1"/>
  <c r="K217" i="1"/>
  <c r="J217" i="1"/>
  <c r="G217" i="1"/>
  <c r="U216" i="1"/>
  <c r="O216" i="1"/>
  <c r="N216" i="1"/>
  <c r="M216" i="1"/>
  <c r="L216" i="1"/>
  <c r="K216" i="1"/>
  <c r="J216" i="1"/>
  <c r="G216" i="1"/>
  <c r="U215" i="1"/>
  <c r="O215" i="1"/>
  <c r="N215" i="1"/>
  <c r="M215" i="1"/>
  <c r="L215" i="1"/>
  <c r="K215" i="1"/>
  <c r="J215" i="1"/>
  <c r="G215" i="1"/>
  <c r="U214" i="1"/>
  <c r="O214" i="1"/>
  <c r="N214" i="1"/>
  <c r="M214" i="1"/>
  <c r="L214" i="1"/>
  <c r="K214" i="1"/>
  <c r="J214" i="1"/>
  <c r="G214" i="1"/>
  <c r="U213" i="1"/>
  <c r="O213" i="1"/>
  <c r="N213" i="1"/>
  <c r="M213" i="1"/>
  <c r="L213" i="1"/>
  <c r="K213" i="1"/>
  <c r="J213" i="1"/>
  <c r="G213" i="1"/>
  <c r="U212" i="1"/>
  <c r="O212" i="1"/>
  <c r="N212" i="1"/>
  <c r="M212" i="1"/>
  <c r="L212" i="1"/>
  <c r="K212" i="1"/>
  <c r="J212" i="1"/>
  <c r="G212" i="1"/>
  <c r="U211" i="1"/>
  <c r="O211" i="1"/>
  <c r="N211" i="1"/>
  <c r="M211" i="1"/>
  <c r="L211" i="1"/>
  <c r="K211" i="1"/>
  <c r="J211" i="1"/>
  <c r="G211" i="1"/>
  <c r="U210" i="1"/>
  <c r="O210" i="1"/>
  <c r="N210" i="1"/>
  <c r="M210" i="1"/>
  <c r="L210" i="1"/>
  <c r="K210" i="1"/>
  <c r="J210" i="1"/>
  <c r="G210" i="1"/>
  <c r="U209" i="1"/>
  <c r="O209" i="1"/>
  <c r="N209" i="1"/>
  <c r="M209" i="1"/>
  <c r="L209" i="1"/>
  <c r="K209" i="1"/>
  <c r="J209" i="1"/>
  <c r="G209" i="1"/>
  <c r="U208" i="1"/>
  <c r="O208" i="1"/>
  <c r="N208" i="1"/>
  <c r="M208" i="1"/>
  <c r="L208" i="1"/>
  <c r="K208" i="1"/>
  <c r="J208" i="1"/>
  <c r="G208" i="1"/>
  <c r="U207" i="1"/>
  <c r="O207" i="1"/>
  <c r="N207" i="1"/>
  <c r="M207" i="1"/>
  <c r="L207" i="1"/>
  <c r="K207" i="1"/>
  <c r="J207" i="1"/>
  <c r="G207" i="1"/>
  <c r="U206" i="1"/>
  <c r="O206" i="1"/>
  <c r="N206" i="1"/>
  <c r="M206" i="1"/>
  <c r="L206" i="1"/>
  <c r="K206" i="1"/>
  <c r="J206" i="1"/>
  <c r="G206" i="1"/>
  <c r="U205" i="1"/>
  <c r="O205" i="1"/>
  <c r="N205" i="1"/>
  <c r="M205" i="1"/>
  <c r="L205" i="1"/>
  <c r="K205" i="1"/>
  <c r="J205" i="1"/>
  <c r="G205" i="1"/>
  <c r="U204" i="1"/>
  <c r="O204" i="1"/>
  <c r="N204" i="1"/>
  <c r="M204" i="1"/>
  <c r="L204" i="1"/>
  <c r="K204" i="1"/>
  <c r="J204" i="1"/>
  <c r="G204" i="1"/>
  <c r="U203" i="1"/>
  <c r="O203" i="1"/>
  <c r="N203" i="1"/>
  <c r="M203" i="1"/>
  <c r="L203" i="1"/>
  <c r="K203" i="1"/>
  <c r="J203" i="1"/>
  <c r="G203" i="1"/>
  <c r="U202" i="1"/>
  <c r="O202" i="1"/>
  <c r="N202" i="1"/>
  <c r="M202" i="1"/>
  <c r="L202" i="1"/>
  <c r="K202" i="1"/>
  <c r="J202" i="1"/>
  <c r="G202" i="1"/>
  <c r="U201" i="1"/>
  <c r="O201" i="1"/>
  <c r="N201" i="1"/>
  <c r="M201" i="1"/>
  <c r="L201" i="1"/>
  <c r="K201" i="1"/>
  <c r="J201" i="1"/>
  <c r="G201" i="1"/>
  <c r="U200" i="1"/>
  <c r="O200" i="1"/>
  <c r="N200" i="1"/>
  <c r="M200" i="1"/>
  <c r="L200" i="1"/>
  <c r="K200" i="1"/>
  <c r="J200" i="1"/>
  <c r="G200" i="1"/>
  <c r="U199" i="1"/>
  <c r="O199" i="1"/>
  <c r="N199" i="1"/>
  <c r="M199" i="1"/>
  <c r="L199" i="1"/>
  <c r="K199" i="1"/>
  <c r="J199" i="1"/>
  <c r="G199" i="1"/>
  <c r="U198" i="1"/>
  <c r="O198" i="1"/>
  <c r="N198" i="1"/>
  <c r="M198" i="1"/>
  <c r="L198" i="1"/>
  <c r="K198" i="1"/>
  <c r="J198" i="1"/>
  <c r="G198" i="1"/>
  <c r="U197" i="1"/>
  <c r="O197" i="1"/>
  <c r="N197" i="1"/>
  <c r="M197" i="1"/>
  <c r="L197" i="1"/>
  <c r="K197" i="1"/>
  <c r="J197" i="1"/>
  <c r="G197" i="1"/>
  <c r="U196" i="1"/>
  <c r="O196" i="1"/>
  <c r="N196" i="1"/>
  <c r="M196" i="1"/>
  <c r="L196" i="1"/>
  <c r="K196" i="1"/>
  <c r="J196" i="1"/>
  <c r="G196" i="1"/>
  <c r="U195" i="1"/>
  <c r="O195" i="1"/>
  <c r="N195" i="1"/>
  <c r="M195" i="1"/>
  <c r="L195" i="1"/>
  <c r="K195" i="1"/>
  <c r="J195" i="1"/>
  <c r="G195" i="1"/>
  <c r="U194" i="1"/>
  <c r="O194" i="1"/>
  <c r="N194" i="1"/>
  <c r="M194" i="1"/>
  <c r="L194" i="1"/>
  <c r="K194" i="1"/>
  <c r="J194" i="1"/>
  <c r="G194" i="1"/>
  <c r="U193" i="1"/>
  <c r="O193" i="1"/>
  <c r="N193" i="1"/>
  <c r="M193" i="1"/>
  <c r="L193" i="1"/>
  <c r="K193" i="1"/>
  <c r="J193" i="1"/>
  <c r="G193" i="1"/>
  <c r="U192" i="1"/>
  <c r="O192" i="1"/>
  <c r="N192" i="1"/>
  <c r="M192" i="1"/>
  <c r="L192" i="1"/>
  <c r="K192" i="1"/>
  <c r="J192" i="1"/>
  <c r="G192" i="1"/>
  <c r="U191" i="1"/>
  <c r="O191" i="1"/>
  <c r="N191" i="1"/>
  <c r="M191" i="1"/>
  <c r="L191" i="1"/>
  <c r="K191" i="1"/>
  <c r="J191" i="1"/>
  <c r="G191" i="1"/>
  <c r="U190" i="1"/>
  <c r="O190" i="1"/>
  <c r="N190" i="1"/>
  <c r="M190" i="1"/>
  <c r="L190" i="1"/>
  <c r="K190" i="1"/>
  <c r="J190" i="1"/>
  <c r="G190" i="1"/>
  <c r="U189" i="1"/>
  <c r="O189" i="1"/>
  <c r="N189" i="1"/>
  <c r="M189" i="1"/>
  <c r="L189" i="1"/>
  <c r="K189" i="1"/>
  <c r="J189" i="1"/>
  <c r="G189" i="1"/>
  <c r="U188" i="1"/>
  <c r="O188" i="1"/>
  <c r="N188" i="1"/>
  <c r="M188" i="1"/>
  <c r="L188" i="1"/>
  <c r="K188" i="1"/>
  <c r="J188" i="1"/>
  <c r="G188" i="1"/>
  <c r="U187" i="1"/>
  <c r="O187" i="1"/>
  <c r="N187" i="1"/>
  <c r="M187" i="1"/>
  <c r="L187" i="1"/>
  <c r="K187" i="1"/>
  <c r="J187" i="1"/>
  <c r="G187" i="1"/>
  <c r="U186" i="1"/>
  <c r="O186" i="1"/>
  <c r="N186" i="1"/>
  <c r="M186" i="1"/>
  <c r="L186" i="1"/>
  <c r="K186" i="1"/>
  <c r="J186" i="1"/>
  <c r="G186" i="1"/>
  <c r="U185" i="1"/>
  <c r="O185" i="1"/>
  <c r="N185" i="1"/>
  <c r="M185" i="1"/>
  <c r="L185" i="1"/>
  <c r="K185" i="1"/>
  <c r="J185" i="1"/>
  <c r="G185" i="1"/>
  <c r="U184" i="1"/>
  <c r="O184" i="1"/>
  <c r="N184" i="1"/>
  <c r="M184" i="1"/>
  <c r="L184" i="1"/>
  <c r="K184" i="1"/>
  <c r="J184" i="1"/>
  <c r="G184" i="1"/>
  <c r="U183" i="1"/>
  <c r="O183" i="1"/>
  <c r="N183" i="1"/>
  <c r="M183" i="1"/>
  <c r="L183" i="1"/>
  <c r="K183" i="1"/>
  <c r="J183" i="1"/>
  <c r="G183" i="1"/>
  <c r="U182" i="1"/>
  <c r="O182" i="1"/>
  <c r="N182" i="1"/>
  <c r="M182" i="1"/>
  <c r="L182" i="1"/>
  <c r="K182" i="1"/>
  <c r="J182" i="1"/>
  <c r="G182" i="1"/>
  <c r="U181" i="1"/>
  <c r="O181" i="1"/>
  <c r="N181" i="1"/>
  <c r="M181" i="1"/>
  <c r="L181" i="1"/>
  <c r="K181" i="1"/>
  <c r="J181" i="1"/>
  <c r="G181" i="1"/>
  <c r="U180" i="1"/>
  <c r="O180" i="1"/>
  <c r="N180" i="1"/>
  <c r="M180" i="1"/>
  <c r="L180" i="1"/>
  <c r="K180" i="1"/>
  <c r="J180" i="1"/>
  <c r="G180" i="1"/>
  <c r="U179" i="1"/>
  <c r="O179" i="1"/>
  <c r="N179" i="1"/>
  <c r="M179" i="1"/>
  <c r="L179" i="1"/>
  <c r="K179" i="1"/>
  <c r="J179" i="1"/>
  <c r="G179" i="1"/>
  <c r="U178" i="1"/>
  <c r="O178" i="1"/>
  <c r="N178" i="1"/>
  <c r="M178" i="1"/>
  <c r="L178" i="1"/>
  <c r="K178" i="1"/>
  <c r="J178" i="1"/>
  <c r="G178" i="1"/>
  <c r="U177" i="1"/>
  <c r="O177" i="1"/>
  <c r="N177" i="1"/>
  <c r="M177" i="1"/>
  <c r="L177" i="1"/>
  <c r="K177" i="1"/>
  <c r="J177" i="1"/>
  <c r="G177" i="1"/>
  <c r="U176" i="1"/>
  <c r="O176" i="1"/>
  <c r="N176" i="1"/>
  <c r="M176" i="1"/>
  <c r="L176" i="1"/>
  <c r="K176" i="1"/>
  <c r="J176" i="1"/>
  <c r="G176" i="1"/>
  <c r="U175" i="1"/>
  <c r="O175" i="1"/>
  <c r="N175" i="1"/>
  <c r="M175" i="1"/>
  <c r="L175" i="1"/>
  <c r="K175" i="1"/>
  <c r="J175" i="1"/>
  <c r="G175" i="1"/>
  <c r="U174" i="1"/>
  <c r="O174" i="1"/>
  <c r="N174" i="1"/>
  <c r="M174" i="1"/>
  <c r="L174" i="1"/>
  <c r="K174" i="1"/>
  <c r="J174" i="1"/>
  <c r="G174" i="1"/>
  <c r="U173" i="1"/>
  <c r="O173" i="1"/>
  <c r="N173" i="1"/>
  <c r="M173" i="1"/>
  <c r="L173" i="1"/>
  <c r="K173" i="1"/>
  <c r="J173" i="1"/>
  <c r="G173" i="1"/>
  <c r="U172" i="1"/>
  <c r="O172" i="1"/>
  <c r="N172" i="1"/>
  <c r="M172" i="1"/>
  <c r="L172" i="1"/>
  <c r="K172" i="1"/>
  <c r="J172" i="1"/>
  <c r="G172" i="1"/>
  <c r="U171" i="1"/>
  <c r="O171" i="1"/>
  <c r="N171" i="1"/>
  <c r="M171" i="1"/>
  <c r="L171" i="1"/>
  <c r="K171" i="1"/>
  <c r="J171" i="1"/>
  <c r="G171" i="1"/>
  <c r="U170" i="1"/>
  <c r="O170" i="1"/>
  <c r="N170" i="1"/>
  <c r="M170" i="1"/>
  <c r="L170" i="1"/>
  <c r="K170" i="1"/>
  <c r="J170" i="1"/>
  <c r="G170" i="1"/>
  <c r="U169" i="1"/>
  <c r="O169" i="1"/>
  <c r="N169" i="1"/>
  <c r="M169" i="1"/>
  <c r="L169" i="1"/>
  <c r="K169" i="1"/>
  <c r="J169" i="1"/>
  <c r="G169" i="1"/>
  <c r="U168" i="1"/>
  <c r="O168" i="1"/>
  <c r="N168" i="1"/>
  <c r="M168" i="1"/>
  <c r="L168" i="1"/>
  <c r="K168" i="1"/>
  <c r="J168" i="1"/>
  <c r="G168" i="1"/>
  <c r="U167" i="1"/>
  <c r="O167" i="1"/>
  <c r="N167" i="1"/>
  <c r="M167" i="1"/>
  <c r="L167" i="1"/>
  <c r="K167" i="1"/>
  <c r="J167" i="1"/>
  <c r="G167" i="1"/>
  <c r="U166" i="1"/>
  <c r="O166" i="1"/>
  <c r="N166" i="1"/>
  <c r="M166" i="1"/>
  <c r="L166" i="1"/>
  <c r="K166" i="1"/>
  <c r="J166" i="1"/>
  <c r="G166" i="1"/>
  <c r="U165" i="1"/>
  <c r="O165" i="1"/>
  <c r="N165" i="1"/>
  <c r="M165" i="1"/>
  <c r="L165" i="1"/>
  <c r="K165" i="1"/>
  <c r="J165" i="1"/>
  <c r="G165" i="1"/>
  <c r="U164" i="1"/>
  <c r="O164" i="1"/>
  <c r="N164" i="1"/>
  <c r="M164" i="1"/>
  <c r="L164" i="1"/>
  <c r="K164" i="1"/>
  <c r="J164" i="1"/>
  <c r="G164" i="1"/>
  <c r="U163" i="1"/>
  <c r="O163" i="1"/>
  <c r="N163" i="1"/>
  <c r="M163" i="1"/>
  <c r="L163" i="1"/>
  <c r="K163" i="1"/>
  <c r="J163" i="1"/>
  <c r="G163" i="1"/>
  <c r="U162" i="1"/>
  <c r="O162" i="1"/>
  <c r="N162" i="1"/>
  <c r="M162" i="1"/>
  <c r="L162" i="1"/>
  <c r="K162" i="1"/>
  <c r="J162" i="1"/>
  <c r="G162" i="1"/>
  <c r="U161" i="1"/>
  <c r="O161" i="1"/>
  <c r="N161" i="1"/>
  <c r="M161" i="1"/>
  <c r="L161" i="1"/>
  <c r="K161" i="1"/>
  <c r="J161" i="1"/>
  <c r="G161" i="1"/>
  <c r="U160" i="1"/>
  <c r="O160" i="1"/>
  <c r="N160" i="1"/>
  <c r="M160" i="1"/>
  <c r="L160" i="1"/>
  <c r="K160" i="1"/>
  <c r="J160" i="1"/>
  <c r="G160" i="1"/>
  <c r="U159" i="1"/>
  <c r="O159" i="1"/>
  <c r="N159" i="1"/>
  <c r="M159" i="1"/>
  <c r="L159" i="1"/>
  <c r="K159" i="1"/>
  <c r="J159" i="1"/>
  <c r="G159" i="1"/>
  <c r="U158" i="1"/>
  <c r="O158" i="1"/>
  <c r="N158" i="1"/>
  <c r="M158" i="1"/>
  <c r="L158" i="1"/>
  <c r="K158" i="1"/>
  <c r="J158" i="1"/>
  <c r="G158" i="1"/>
  <c r="U157" i="1"/>
  <c r="O157" i="1"/>
  <c r="N157" i="1"/>
  <c r="M157" i="1"/>
  <c r="L157" i="1"/>
  <c r="K157" i="1"/>
  <c r="J157" i="1"/>
  <c r="G157" i="1"/>
  <c r="U156" i="1"/>
  <c r="O156" i="1"/>
  <c r="N156" i="1"/>
  <c r="M156" i="1"/>
  <c r="L156" i="1"/>
  <c r="K156" i="1"/>
  <c r="J156" i="1"/>
  <c r="G156" i="1"/>
  <c r="U155" i="1"/>
  <c r="O155" i="1"/>
  <c r="N155" i="1"/>
  <c r="M155" i="1"/>
  <c r="L155" i="1"/>
  <c r="K155" i="1"/>
  <c r="J155" i="1"/>
  <c r="G155" i="1"/>
  <c r="U154" i="1"/>
  <c r="O154" i="1"/>
  <c r="N154" i="1"/>
  <c r="M154" i="1"/>
  <c r="L154" i="1"/>
  <c r="K154" i="1"/>
  <c r="J154" i="1"/>
  <c r="G154" i="1"/>
  <c r="U153" i="1"/>
  <c r="O153" i="1"/>
  <c r="N153" i="1"/>
  <c r="M153" i="1"/>
  <c r="L153" i="1"/>
  <c r="K153" i="1"/>
  <c r="J153" i="1"/>
  <c r="G153" i="1"/>
  <c r="U152" i="1"/>
  <c r="O152" i="1"/>
  <c r="N152" i="1"/>
  <c r="M152" i="1"/>
  <c r="L152" i="1"/>
  <c r="K152" i="1"/>
  <c r="J152" i="1"/>
  <c r="G152" i="1"/>
  <c r="U151" i="1"/>
  <c r="O151" i="1"/>
  <c r="N151" i="1"/>
  <c r="M151" i="1"/>
  <c r="L151" i="1"/>
  <c r="K151" i="1"/>
  <c r="J151" i="1"/>
  <c r="G151" i="1"/>
  <c r="U150" i="1"/>
  <c r="O150" i="1"/>
  <c r="N150" i="1"/>
  <c r="M150" i="1"/>
  <c r="L150" i="1"/>
  <c r="K150" i="1"/>
  <c r="J150" i="1"/>
  <c r="G150" i="1"/>
  <c r="U149" i="1"/>
  <c r="O149" i="1"/>
  <c r="N149" i="1"/>
  <c r="M149" i="1"/>
  <c r="L149" i="1"/>
  <c r="K149" i="1"/>
  <c r="J149" i="1"/>
  <c r="G149" i="1"/>
  <c r="U148" i="1"/>
  <c r="O148" i="1"/>
  <c r="N148" i="1"/>
  <c r="M148" i="1"/>
  <c r="L148" i="1"/>
  <c r="K148" i="1"/>
  <c r="J148" i="1"/>
  <c r="G148" i="1"/>
  <c r="U147" i="1"/>
  <c r="O147" i="1"/>
  <c r="N147" i="1"/>
  <c r="M147" i="1"/>
  <c r="L147" i="1"/>
  <c r="K147" i="1"/>
  <c r="J147" i="1"/>
  <c r="G147" i="1"/>
  <c r="U146" i="1"/>
  <c r="O146" i="1"/>
  <c r="N146" i="1"/>
  <c r="M146" i="1"/>
  <c r="L146" i="1"/>
  <c r="K146" i="1"/>
  <c r="J146" i="1"/>
  <c r="G146" i="1"/>
  <c r="U145" i="1"/>
  <c r="O145" i="1"/>
  <c r="N145" i="1"/>
  <c r="M145" i="1"/>
  <c r="L145" i="1"/>
  <c r="K145" i="1"/>
  <c r="J145" i="1"/>
  <c r="G145" i="1"/>
  <c r="U144" i="1"/>
  <c r="O144" i="1"/>
  <c r="N144" i="1"/>
  <c r="M144" i="1"/>
  <c r="L144" i="1"/>
  <c r="K144" i="1"/>
  <c r="J144" i="1"/>
  <c r="G144" i="1"/>
  <c r="U143" i="1"/>
  <c r="O143" i="1"/>
  <c r="N143" i="1"/>
  <c r="M143" i="1"/>
  <c r="L143" i="1"/>
  <c r="K143" i="1"/>
  <c r="J143" i="1"/>
  <c r="G143" i="1"/>
  <c r="U142" i="1"/>
  <c r="O142" i="1"/>
  <c r="N142" i="1"/>
  <c r="M142" i="1"/>
  <c r="L142" i="1"/>
  <c r="K142" i="1"/>
  <c r="J142" i="1"/>
  <c r="G142" i="1"/>
  <c r="U141" i="1"/>
  <c r="O141" i="1"/>
  <c r="N141" i="1"/>
  <c r="M141" i="1"/>
  <c r="L141" i="1"/>
  <c r="K141" i="1"/>
  <c r="J141" i="1"/>
  <c r="G141" i="1"/>
  <c r="U140" i="1"/>
  <c r="O140" i="1"/>
  <c r="N140" i="1"/>
  <c r="M140" i="1"/>
  <c r="L140" i="1"/>
  <c r="K140" i="1"/>
  <c r="J140" i="1"/>
  <c r="G140" i="1"/>
  <c r="U139" i="1"/>
  <c r="O139" i="1"/>
  <c r="N139" i="1"/>
  <c r="M139" i="1"/>
  <c r="L139" i="1"/>
  <c r="K139" i="1"/>
  <c r="J139" i="1"/>
  <c r="G139" i="1"/>
  <c r="U138" i="1"/>
  <c r="O138" i="1"/>
  <c r="N138" i="1"/>
  <c r="M138" i="1"/>
  <c r="L138" i="1"/>
  <c r="K138" i="1"/>
  <c r="J138" i="1"/>
  <c r="G138" i="1"/>
  <c r="U137" i="1"/>
  <c r="O137" i="1"/>
  <c r="N137" i="1"/>
  <c r="M137" i="1"/>
  <c r="L137" i="1"/>
  <c r="K137" i="1"/>
  <c r="J137" i="1"/>
  <c r="G137" i="1"/>
  <c r="U136" i="1"/>
  <c r="O136" i="1"/>
  <c r="N136" i="1"/>
  <c r="M136" i="1"/>
  <c r="L136" i="1"/>
  <c r="K136" i="1"/>
  <c r="J136" i="1"/>
  <c r="G136" i="1"/>
  <c r="U135" i="1"/>
  <c r="O135" i="1"/>
  <c r="N135" i="1"/>
  <c r="M135" i="1"/>
  <c r="L135" i="1"/>
  <c r="K135" i="1"/>
  <c r="J135" i="1"/>
  <c r="G135" i="1"/>
  <c r="U134" i="1"/>
  <c r="O134" i="1"/>
  <c r="N134" i="1"/>
  <c r="M134" i="1"/>
  <c r="L134" i="1"/>
  <c r="K134" i="1"/>
  <c r="J134" i="1"/>
  <c r="G134" i="1"/>
  <c r="U133" i="1"/>
  <c r="O133" i="1"/>
  <c r="N133" i="1"/>
  <c r="M133" i="1"/>
  <c r="L133" i="1"/>
  <c r="K133" i="1"/>
  <c r="J133" i="1"/>
  <c r="G133" i="1"/>
  <c r="U132" i="1"/>
  <c r="O132" i="1"/>
  <c r="N132" i="1"/>
  <c r="M132" i="1"/>
  <c r="L132" i="1"/>
  <c r="K132" i="1"/>
  <c r="J132" i="1"/>
  <c r="G132" i="1"/>
  <c r="U131" i="1"/>
  <c r="O131" i="1"/>
  <c r="N131" i="1"/>
  <c r="M131" i="1"/>
  <c r="L131" i="1"/>
  <c r="K131" i="1"/>
  <c r="J131" i="1"/>
  <c r="G131" i="1"/>
  <c r="U130" i="1"/>
  <c r="O130" i="1"/>
  <c r="N130" i="1"/>
  <c r="M130" i="1"/>
  <c r="L130" i="1"/>
  <c r="K130" i="1"/>
  <c r="J130" i="1"/>
  <c r="G130" i="1"/>
  <c r="U129" i="1"/>
  <c r="O129" i="1"/>
  <c r="N129" i="1"/>
  <c r="M129" i="1"/>
  <c r="L129" i="1"/>
  <c r="K129" i="1"/>
  <c r="J129" i="1"/>
  <c r="G129" i="1"/>
  <c r="U128" i="1"/>
  <c r="O128" i="1"/>
  <c r="N128" i="1"/>
  <c r="M128" i="1"/>
  <c r="L128" i="1"/>
  <c r="K128" i="1"/>
  <c r="J128" i="1"/>
  <c r="G128" i="1"/>
  <c r="U127" i="1"/>
  <c r="O127" i="1"/>
  <c r="N127" i="1"/>
  <c r="M127" i="1"/>
  <c r="L127" i="1"/>
  <c r="K127" i="1"/>
  <c r="J127" i="1"/>
  <c r="G127" i="1"/>
  <c r="U126" i="1"/>
  <c r="O126" i="1"/>
  <c r="N126" i="1"/>
  <c r="M126" i="1"/>
  <c r="L126" i="1"/>
  <c r="K126" i="1"/>
  <c r="J126" i="1"/>
  <c r="G126" i="1"/>
  <c r="U125" i="1"/>
  <c r="O125" i="1"/>
  <c r="N125" i="1"/>
  <c r="M125" i="1"/>
  <c r="L125" i="1"/>
  <c r="K125" i="1"/>
  <c r="J125" i="1"/>
  <c r="G125" i="1"/>
  <c r="U124" i="1"/>
  <c r="O124" i="1"/>
  <c r="N124" i="1"/>
  <c r="M124" i="1"/>
  <c r="L124" i="1"/>
  <c r="K124" i="1"/>
  <c r="J124" i="1"/>
  <c r="G124" i="1"/>
  <c r="U123" i="1"/>
  <c r="O123" i="1"/>
  <c r="N123" i="1"/>
  <c r="M123" i="1"/>
  <c r="L123" i="1"/>
  <c r="K123" i="1"/>
  <c r="J123" i="1"/>
  <c r="G123" i="1"/>
  <c r="U122" i="1"/>
  <c r="O122" i="1"/>
  <c r="N122" i="1"/>
  <c r="M122" i="1"/>
  <c r="L122" i="1"/>
  <c r="K122" i="1"/>
  <c r="J122" i="1"/>
  <c r="G122" i="1"/>
  <c r="U121" i="1"/>
  <c r="O121" i="1"/>
  <c r="N121" i="1"/>
  <c r="M121" i="1"/>
  <c r="L121" i="1"/>
  <c r="K121" i="1"/>
  <c r="J121" i="1"/>
  <c r="G121" i="1"/>
  <c r="U120" i="1"/>
  <c r="O120" i="1"/>
  <c r="N120" i="1"/>
  <c r="M120" i="1"/>
  <c r="L120" i="1"/>
  <c r="K120" i="1"/>
  <c r="J120" i="1"/>
  <c r="G120" i="1"/>
  <c r="U119" i="1"/>
  <c r="O119" i="1"/>
  <c r="N119" i="1"/>
  <c r="M119" i="1"/>
  <c r="L119" i="1"/>
  <c r="K119" i="1"/>
  <c r="J119" i="1"/>
  <c r="G119" i="1"/>
  <c r="U118" i="1"/>
  <c r="O118" i="1"/>
  <c r="N118" i="1"/>
  <c r="M118" i="1"/>
  <c r="L118" i="1"/>
  <c r="K118" i="1"/>
  <c r="J118" i="1"/>
  <c r="G118" i="1"/>
  <c r="U117" i="1"/>
  <c r="O117" i="1"/>
  <c r="N117" i="1"/>
  <c r="M117" i="1"/>
  <c r="L117" i="1"/>
  <c r="K117" i="1"/>
  <c r="J117" i="1"/>
  <c r="G117" i="1"/>
  <c r="U116" i="1"/>
  <c r="O116" i="1"/>
  <c r="N116" i="1"/>
  <c r="M116" i="1"/>
  <c r="L116" i="1"/>
  <c r="K116" i="1"/>
  <c r="J116" i="1"/>
  <c r="G116" i="1"/>
  <c r="U115" i="1"/>
  <c r="O115" i="1"/>
  <c r="N115" i="1"/>
  <c r="M115" i="1"/>
  <c r="L115" i="1"/>
  <c r="K115" i="1"/>
  <c r="J115" i="1"/>
  <c r="G115" i="1"/>
  <c r="U114" i="1"/>
  <c r="O114" i="1"/>
  <c r="N114" i="1"/>
  <c r="M114" i="1"/>
  <c r="L114" i="1"/>
  <c r="K114" i="1"/>
  <c r="J114" i="1"/>
  <c r="G114" i="1"/>
  <c r="U113" i="1"/>
  <c r="O113" i="1"/>
  <c r="N113" i="1"/>
  <c r="M113" i="1"/>
  <c r="L113" i="1"/>
  <c r="K113" i="1"/>
  <c r="J113" i="1"/>
  <c r="G113" i="1"/>
  <c r="U112" i="1"/>
  <c r="O112" i="1"/>
  <c r="N112" i="1"/>
  <c r="M112" i="1"/>
  <c r="L112" i="1"/>
  <c r="K112" i="1"/>
  <c r="J112" i="1"/>
  <c r="G112" i="1"/>
  <c r="U111" i="1"/>
  <c r="O111" i="1"/>
  <c r="N111" i="1"/>
  <c r="M111" i="1"/>
  <c r="L111" i="1"/>
  <c r="K111" i="1"/>
  <c r="J111" i="1"/>
  <c r="G111" i="1"/>
  <c r="U110" i="1"/>
  <c r="O110" i="1"/>
  <c r="N110" i="1"/>
  <c r="M110" i="1"/>
  <c r="L110" i="1"/>
  <c r="K110" i="1"/>
  <c r="J110" i="1"/>
  <c r="G110" i="1"/>
  <c r="U109" i="1"/>
  <c r="O109" i="1"/>
  <c r="N109" i="1"/>
  <c r="M109" i="1"/>
  <c r="L109" i="1"/>
  <c r="K109" i="1"/>
  <c r="J109" i="1"/>
  <c r="G109" i="1"/>
  <c r="U108" i="1"/>
  <c r="O108" i="1"/>
  <c r="N108" i="1"/>
  <c r="M108" i="1"/>
  <c r="L108" i="1"/>
  <c r="K108" i="1"/>
  <c r="J108" i="1"/>
  <c r="G108" i="1"/>
  <c r="U107" i="1"/>
  <c r="O107" i="1"/>
  <c r="N107" i="1"/>
  <c r="M107" i="1"/>
  <c r="L107" i="1"/>
  <c r="K107" i="1"/>
  <c r="J107" i="1"/>
  <c r="G107" i="1"/>
  <c r="U106" i="1"/>
  <c r="O106" i="1"/>
  <c r="N106" i="1"/>
  <c r="M106" i="1"/>
  <c r="L106" i="1"/>
  <c r="K106" i="1"/>
  <c r="J106" i="1"/>
  <c r="G106" i="1"/>
  <c r="U105" i="1"/>
  <c r="O105" i="1"/>
  <c r="N105" i="1"/>
  <c r="M105" i="1"/>
  <c r="L105" i="1"/>
  <c r="K105" i="1"/>
  <c r="J105" i="1"/>
  <c r="G105" i="1"/>
  <c r="U104" i="1"/>
  <c r="O104" i="1"/>
  <c r="N104" i="1"/>
  <c r="M104" i="1"/>
  <c r="L104" i="1"/>
  <c r="K104" i="1"/>
  <c r="J104" i="1"/>
  <c r="G104" i="1"/>
  <c r="U103" i="1"/>
  <c r="O103" i="1"/>
  <c r="N103" i="1"/>
  <c r="M103" i="1"/>
  <c r="L103" i="1"/>
  <c r="K103" i="1"/>
  <c r="J103" i="1"/>
  <c r="G103" i="1"/>
  <c r="U102" i="1"/>
  <c r="O102" i="1"/>
  <c r="N102" i="1"/>
  <c r="M102" i="1"/>
  <c r="L102" i="1"/>
  <c r="K102" i="1"/>
  <c r="J102" i="1"/>
  <c r="G102" i="1"/>
  <c r="U101" i="1"/>
  <c r="O101" i="1"/>
  <c r="N101" i="1"/>
  <c r="M101" i="1"/>
  <c r="L101" i="1"/>
  <c r="K101" i="1"/>
  <c r="J101" i="1"/>
  <c r="G101" i="1"/>
  <c r="U100" i="1"/>
  <c r="O100" i="1"/>
  <c r="N100" i="1"/>
  <c r="M100" i="1"/>
  <c r="L100" i="1"/>
  <c r="K100" i="1"/>
  <c r="J100" i="1"/>
  <c r="G100" i="1"/>
  <c r="U99" i="1"/>
  <c r="O99" i="1"/>
  <c r="N99" i="1"/>
  <c r="M99" i="1"/>
  <c r="L99" i="1"/>
  <c r="K99" i="1"/>
  <c r="J99" i="1"/>
  <c r="G99" i="1"/>
  <c r="U98" i="1"/>
  <c r="O98" i="1"/>
  <c r="N98" i="1"/>
  <c r="M98" i="1"/>
  <c r="L98" i="1"/>
  <c r="K98" i="1"/>
  <c r="J98" i="1"/>
  <c r="G98" i="1"/>
  <c r="U97" i="1"/>
  <c r="O97" i="1"/>
  <c r="N97" i="1"/>
  <c r="M97" i="1"/>
  <c r="L97" i="1"/>
  <c r="K97" i="1"/>
  <c r="J97" i="1"/>
  <c r="G97" i="1"/>
  <c r="U96" i="1"/>
  <c r="O96" i="1"/>
  <c r="N96" i="1"/>
  <c r="M96" i="1"/>
  <c r="L96" i="1"/>
  <c r="K96" i="1"/>
  <c r="J96" i="1"/>
  <c r="G96" i="1"/>
  <c r="U95" i="1"/>
  <c r="O95" i="1"/>
  <c r="N95" i="1"/>
  <c r="M95" i="1"/>
  <c r="L95" i="1"/>
  <c r="K95" i="1"/>
  <c r="J95" i="1"/>
  <c r="G95" i="1"/>
  <c r="U94" i="1"/>
  <c r="O94" i="1"/>
  <c r="N94" i="1"/>
  <c r="M94" i="1"/>
  <c r="L94" i="1"/>
  <c r="K94" i="1"/>
  <c r="J94" i="1"/>
  <c r="G94" i="1"/>
  <c r="U93" i="1"/>
  <c r="O93" i="1"/>
  <c r="N93" i="1"/>
  <c r="M93" i="1"/>
  <c r="L93" i="1"/>
  <c r="K93" i="1"/>
  <c r="J93" i="1"/>
  <c r="G93" i="1"/>
  <c r="U92" i="1"/>
  <c r="O92" i="1"/>
  <c r="N92" i="1"/>
  <c r="M92" i="1"/>
  <c r="L92" i="1"/>
  <c r="K92" i="1"/>
  <c r="J92" i="1"/>
  <c r="G92" i="1"/>
  <c r="U91" i="1"/>
  <c r="O91" i="1"/>
  <c r="N91" i="1"/>
  <c r="M91" i="1"/>
  <c r="L91" i="1"/>
  <c r="K91" i="1"/>
  <c r="J91" i="1"/>
  <c r="G91" i="1"/>
  <c r="U90" i="1"/>
  <c r="O90" i="1"/>
  <c r="N90" i="1"/>
  <c r="M90" i="1"/>
  <c r="L90" i="1"/>
  <c r="K90" i="1"/>
  <c r="J90" i="1"/>
  <c r="G90" i="1"/>
  <c r="U89" i="1"/>
  <c r="O89" i="1"/>
  <c r="N89" i="1"/>
  <c r="M89" i="1"/>
  <c r="L89" i="1"/>
  <c r="K89" i="1"/>
  <c r="J89" i="1"/>
  <c r="G89" i="1"/>
  <c r="U88" i="1"/>
  <c r="O88" i="1"/>
  <c r="N88" i="1"/>
  <c r="M88" i="1"/>
  <c r="L88" i="1"/>
  <c r="K88" i="1"/>
  <c r="J88" i="1"/>
  <c r="G88" i="1"/>
  <c r="U87" i="1"/>
  <c r="O87" i="1"/>
  <c r="N87" i="1"/>
  <c r="M87" i="1"/>
  <c r="L87" i="1"/>
  <c r="K87" i="1"/>
  <c r="J87" i="1"/>
  <c r="G87" i="1"/>
  <c r="U86" i="1"/>
  <c r="O86" i="1"/>
  <c r="N86" i="1"/>
  <c r="M86" i="1"/>
  <c r="L86" i="1"/>
  <c r="K86" i="1"/>
  <c r="J86" i="1"/>
  <c r="G86" i="1"/>
  <c r="U85" i="1"/>
  <c r="O85" i="1"/>
  <c r="N85" i="1"/>
  <c r="M85" i="1"/>
  <c r="L85" i="1"/>
  <c r="K85" i="1"/>
  <c r="J85" i="1"/>
  <c r="G85" i="1"/>
  <c r="U84" i="1"/>
  <c r="O84" i="1"/>
  <c r="N84" i="1"/>
  <c r="M84" i="1"/>
  <c r="L84" i="1"/>
  <c r="K84" i="1"/>
  <c r="J84" i="1"/>
  <c r="G84" i="1"/>
  <c r="U83" i="1"/>
  <c r="O83" i="1"/>
  <c r="N83" i="1"/>
  <c r="M83" i="1"/>
  <c r="L83" i="1"/>
  <c r="K83" i="1"/>
  <c r="J83" i="1"/>
  <c r="G83" i="1"/>
  <c r="U82" i="1"/>
  <c r="O82" i="1"/>
  <c r="N82" i="1"/>
  <c r="M82" i="1"/>
  <c r="L82" i="1"/>
  <c r="K82" i="1"/>
  <c r="J82" i="1"/>
  <c r="G82" i="1"/>
  <c r="U81" i="1"/>
  <c r="O81" i="1"/>
  <c r="N81" i="1"/>
  <c r="M81" i="1"/>
  <c r="L81" i="1"/>
  <c r="K81" i="1"/>
  <c r="J81" i="1"/>
  <c r="G81" i="1"/>
  <c r="U80" i="1"/>
  <c r="O80" i="1"/>
  <c r="N80" i="1"/>
  <c r="M80" i="1"/>
  <c r="L80" i="1"/>
  <c r="K80" i="1"/>
  <c r="J80" i="1"/>
  <c r="G80" i="1"/>
  <c r="U79" i="1"/>
  <c r="O79" i="1"/>
  <c r="N79" i="1"/>
  <c r="M79" i="1"/>
  <c r="L79" i="1"/>
  <c r="K79" i="1"/>
  <c r="J79" i="1"/>
  <c r="G79" i="1"/>
  <c r="U78" i="1"/>
  <c r="O78" i="1"/>
  <c r="N78" i="1"/>
  <c r="M78" i="1"/>
  <c r="L78" i="1"/>
  <c r="K78" i="1"/>
  <c r="J78" i="1"/>
  <c r="G78" i="1"/>
  <c r="U77" i="1"/>
  <c r="O77" i="1"/>
  <c r="N77" i="1"/>
  <c r="M77" i="1"/>
  <c r="L77" i="1"/>
  <c r="K77" i="1"/>
  <c r="J77" i="1"/>
  <c r="G77" i="1"/>
  <c r="U76" i="1"/>
  <c r="O76" i="1"/>
  <c r="N76" i="1"/>
  <c r="M76" i="1"/>
  <c r="L76" i="1"/>
  <c r="K76" i="1"/>
  <c r="J76" i="1"/>
  <c r="G76" i="1"/>
  <c r="U75" i="1"/>
  <c r="O75" i="1"/>
  <c r="N75" i="1"/>
  <c r="M75" i="1"/>
  <c r="L75" i="1"/>
  <c r="K75" i="1"/>
  <c r="J75" i="1"/>
  <c r="G75" i="1"/>
  <c r="U74" i="1"/>
  <c r="O74" i="1"/>
  <c r="N74" i="1"/>
  <c r="M74" i="1"/>
  <c r="L74" i="1"/>
  <c r="K74" i="1"/>
  <c r="J74" i="1"/>
  <c r="G74" i="1"/>
  <c r="U73" i="1"/>
  <c r="O73" i="1"/>
  <c r="N73" i="1"/>
  <c r="M73" i="1"/>
  <c r="L73" i="1"/>
  <c r="K73" i="1"/>
  <c r="J73" i="1"/>
  <c r="G73" i="1"/>
  <c r="U72" i="1"/>
  <c r="O72" i="1"/>
  <c r="N72" i="1"/>
  <c r="M72" i="1"/>
  <c r="L72" i="1"/>
  <c r="K72" i="1"/>
  <c r="J72" i="1"/>
  <c r="G72" i="1"/>
  <c r="U71" i="1"/>
  <c r="O71" i="1"/>
  <c r="N71" i="1"/>
  <c r="M71" i="1"/>
  <c r="L71" i="1"/>
  <c r="K71" i="1"/>
  <c r="J71" i="1"/>
  <c r="G71" i="1"/>
  <c r="U70" i="1"/>
  <c r="O70" i="1"/>
  <c r="N70" i="1"/>
  <c r="M70" i="1"/>
  <c r="L70" i="1"/>
  <c r="K70" i="1"/>
  <c r="J70" i="1"/>
  <c r="G70" i="1"/>
  <c r="U69" i="1"/>
  <c r="O69" i="1"/>
  <c r="N69" i="1"/>
  <c r="M69" i="1"/>
  <c r="L69" i="1"/>
  <c r="K69" i="1"/>
  <c r="J69" i="1"/>
  <c r="G69" i="1"/>
  <c r="U68" i="1"/>
  <c r="O68" i="1"/>
  <c r="N68" i="1"/>
  <c r="M68" i="1"/>
  <c r="L68" i="1"/>
  <c r="K68" i="1"/>
  <c r="J68" i="1"/>
  <c r="G68" i="1"/>
  <c r="U67" i="1"/>
  <c r="O67" i="1"/>
  <c r="N67" i="1"/>
  <c r="M67" i="1"/>
  <c r="L67" i="1"/>
  <c r="K67" i="1"/>
  <c r="J67" i="1"/>
  <c r="G67" i="1"/>
  <c r="U66" i="1"/>
  <c r="O66" i="1"/>
  <c r="N66" i="1"/>
  <c r="M66" i="1"/>
  <c r="L66" i="1"/>
  <c r="K66" i="1"/>
  <c r="J66" i="1"/>
  <c r="G66" i="1"/>
  <c r="U65" i="1"/>
  <c r="O65" i="1"/>
  <c r="N65" i="1"/>
  <c r="M65" i="1"/>
  <c r="L65" i="1"/>
  <c r="K65" i="1"/>
  <c r="J65" i="1"/>
  <c r="G65" i="1"/>
  <c r="U64" i="1"/>
  <c r="O64" i="1"/>
  <c r="N64" i="1"/>
  <c r="M64" i="1"/>
  <c r="L64" i="1"/>
  <c r="K64" i="1"/>
  <c r="J64" i="1"/>
  <c r="G64" i="1"/>
  <c r="U63" i="1"/>
  <c r="O63" i="1"/>
  <c r="N63" i="1"/>
  <c r="M63" i="1"/>
  <c r="L63" i="1"/>
  <c r="K63" i="1"/>
  <c r="J63" i="1"/>
  <c r="G63" i="1"/>
  <c r="U62" i="1"/>
  <c r="O62" i="1"/>
  <c r="N62" i="1"/>
  <c r="M62" i="1"/>
  <c r="L62" i="1"/>
  <c r="K62" i="1"/>
  <c r="J62" i="1"/>
  <c r="G62" i="1"/>
  <c r="U61" i="1"/>
  <c r="O61" i="1"/>
  <c r="N61" i="1"/>
  <c r="M61" i="1"/>
  <c r="L61" i="1"/>
  <c r="K61" i="1"/>
  <c r="J61" i="1"/>
  <c r="G61" i="1"/>
  <c r="U60" i="1"/>
  <c r="O60" i="1"/>
  <c r="N60" i="1"/>
  <c r="M60" i="1"/>
  <c r="L60" i="1"/>
  <c r="K60" i="1"/>
  <c r="J60" i="1"/>
  <c r="G60" i="1"/>
  <c r="U59" i="1"/>
  <c r="O59" i="1"/>
  <c r="N59" i="1"/>
  <c r="M59" i="1"/>
  <c r="L59" i="1"/>
  <c r="K59" i="1"/>
  <c r="J59" i="1"/>
  <c r="G59" i="1"/>
  <c r="U58" i="1"/>
  <c r="O58" i="1"/>
  <c r="N58" i="1"/>
  <c r="M58" i="1"/>
  <c r="L58" i="1"/>
  <c r="K58" i="1"/>
  <c r="J58" i="1"/>
  <c r="G58" i="1"/>
  <c r="U57" i="1"/>
  <c r="O57" i="1"/>
  <c r="N57" i="1"/>
  <c r="M57" i="1"/>
  <c r="L57" i="1"/>
  <c r="K57" i="1"/>
  <c r="J57" i="1"/>
  <c r="G57" i="1"/>
  <c r="U56" i="1"/>
  <c r="O56" i="1"/>
  <c r="N56" i="1"/>
  <c r="M56" i="1"/>
  <c r="L56" i="1"/>
  <c r="K56" i="1"/>
  <c r="J56" i="1"/>
  <c r="G56" i="1"/>
  <c r="U55" i="1"/>
  <c r="O55" i="1"/>
  <c r="N55" i="1"/>
  <c r="M55" i="1"/>
  <c r="L55" i="1"/>
  <c r="K55" i="1"/>
  <c r="J55" i="1"/>
  <c r="G55" i="1"/>
  <c r="U54" i="1"/>
  <c r="O54" i="1"/>
  <c r="N54" i="1"/>
  <c r="M54" i="1"/>
  <c r="L54" i="1"/>
  <c r="K54" i="1"/>
  <c r="J54" i="1"/>
  <c r="G54" i="1"/>
  <c r="U53" i="1"/>
  <c r="O53" i="1"/>
  <c r="N53" i="1"/>
  <c r="M53" i="1"/>
  <c r="L53" i="1"/>
  <c r="K53" i="1"/>
  <c r="J53" i="1"/>
  <c r="G53" i="1"/>
  <c r="U52" i="1"/>
  <c r="O52" i="1"/>
  <c r="N52" i="1"/>
  <c r="M52" i="1"/>
  <c r="L52" i="1"/>
  <c r="K52" i="1"/>
  <c r="J52" i="1"/>
  <c r="G52" i="1"/>
  <c r="U51" i="1"/>
  <c r="O51" i="1"/>
  <c r="N51" i="1"/>
  <c r="M51" i="1"/>
  <c r="L51" i="1"/>
  <c r="K51" i="1"/>
  <c r="J51" i="1"/>
  <c r="G51" i="1"/>
  <c r="U50" i="1"/>
  <c r="O50" i="1"/>
  <c r="N50" i="1"/>
  <c r="M50" i="1"/>
  <c r="L50" i="1"/>
  <c r="K50" i="1"/>
  <c r="J50" i="1"/>
  <c r="G50" i="1"/>
  <c r="U49" i="1"/>
  <c r="O49" i="1"/>
  <c r="N49" i="1"/>
  <c r="M49" i="1"/>
  <c r="L49" i="1"/>
  <c r="K49" i="1"/>
  <c r="J49" i="1"/>
  <c r="G49" i="1"/>
  <c r="U48" i="1"/>
  <c r="O48" i="1"/>
  <c r="N48" i="1"/>
  <c r="M48" i="1"/>
  <c r="L48" i="1"/>
  <c r="K48" i="1"/>
  <c r="J48" i="1"/>
  <c r="G48" i="1"/>
  <c r="U47" i="1"/>
  <c r="O47" i="1"/>
  <c r="N47" i="1"/>
  <c r="M47" i="1"/>
  <c r="L47" i="1"/>
  <c r="K47" i="1"/>
  <c r="J47" i="1"/>
  <c r="G47" i="1"/>
  <c r="U46" i="1"/>
  <c r="O46" i="1"/>
  <c r="N46" i="1"/>
  <c r="M46" i="1"/>
  <c r="L46" i="1"/>
  <c r="K46" i="1"/>
  <c r="J46" i="1"/>
  <c r="G46" i="1"/>
  <c r="U45" i="1"/>
  <c r="O45" i="1"/>
  <c r="N45" i="1"/>
  <c r="M45" i="1"/>
  <c r="L45" i="1"/>
  <c r="K45" i="1"/>
  <c r="J45" i="1"/>
  <c r="G45" i="1"/>
  <c r="U44" i="1"/>
  <c r="O44" i="1"/>
  <c r="N44" i="1"/>
  <c r="M44" i="1"/>
  <c r="L44" i="1"/>
  <c r="K44" i="1"/>
  <c r="J44" i="1"/>
  <c r="G44" i="1"/>
  <c r="U43" i="1"/>
  <c r="O43" i="1"/>
  <c r="N43" i="1"/>
  <c r="M43" i="1"/>
  <c r="L43" i="1"/>
  <c r="K43" i="1"/>
  <c r="J43" i="1"/>
  <c r="G43" i="1"/>
  <c r="U42" i="1"/>
  <c r="O42" i="1"/>
  <c r="N42" i="1"/>
  <c r="M42" i="1"/>
  <c r="L42" i="1"/>
  <c r="K42" i="1"/>
  <c r="J42" i="1"/>
  <c r="G42" i="1"/>
  <c r="U41" i="1"/>
  <c r="O41" i="1"/>
  <c r="N41" i="1"/>
  <c r="M41" i="1"/>
  <c r="L41" i="1"/>
  <c r="K41" i="1"/>
  <c r="J41" i="1"/>
  <c r="G41" i="1"/>
  <c r="U40" i="1"/>
  <c r="O40" i="1"/>
  <c r="N40" i="1"/>
  <c r="M40" i="1"/>
  <c r="L40" i="1"/>
  <c r="K40" i="1"/>
  <c r="J40" i="1"/>
  <c r="G40" i="1"/>
  <c r="U39" i="1"/>
  <c r="O39" i="1"/>
  <c r="N39" i="1"/>
  <c r="M39" i="1"/>
  <c r="L39" i="1"/>
  <c r="K39" i="1"/>
  <c r="J39" i="1"/>
  <c r="G39" i="1"/>
  <c r="U38" i="1"/>
  <c r="O38" i="1"/>
  <c r="N38" i="1"/>
  <c r="M38" i="1"/>
  <c r="L38" i="1"/>
  <c r="K38" i="1"/>
  <c r="J38" i="1"/>
  <c r="G38" i="1"/>
  <c r="U37" i="1"/>
  <c r="O37" i="1"/>
  <c r="N37" i="1"/>
  <c r="M37" i="1"/>
  <c r="L37" i="1"/>
  <c r="K37" i="1"/>
  <c r="J37" i="1"/>
  <c r="G37" i="1"/>
  <c r="U36" i="1"/>
  <c r="O36" i="1"/>
  <c r="N36" i="1"/>
  <c r="M36" i="1"/>
  <c r="L36" i="1"/>
  <c r="K36" i="1"/>
  <c r="J36" i="1"/>
  <c r="G36" i="1"/>
  <c r="U35" i="1"/>
  <c r="O35" i="1"/>
  <c r="N35" i="1"/>
  <c r="M35" i="1"/>
  <c r="L35" i="1"/>
  <c r="K35" i="1"/>
  <c r="J35" i="1"/>
  <c r="G35" i="1"/>
  <c r="U34" i="1"/>
  <c r="O34" i="1"/>
  <c r="N34" i="1"/>
  <c r="M34" i="1"/>
  <c r="L34" i="1"/>
  <c r="K34" i="1"/>
  <c r="J34" i="1"/>
  <c r="G34" i="1"/>
  <c r="U33" i="1"/>
  <c r="O33" i="1"/>
  <c r="N33" i="1"/>
  <c r="M33" i="1"/>
  <c r="L33" i="1"/>
  <c r="K33" i="1"/>
  <c r="J33" i="1"/>
  <c r="G33" i="1"/>
  <c r="U32" i="1"/>
  <c r="O32" i="1"/>
  <c r="N32" i="1"/>
  <c r="M32" i="1"/>
  <c r="L32" i="1"/>
  <c r="K32" i="1"/>
  <c r="J32" i="1"/>
  <c r="G32" i="1"/>
  <c r="U31" i="1"/>
  <c r="O31" i="1"/>
  <c r="N31" i="1"/>
  <c r="M31" i="1"/>
  <c r="L31" i="1"/>
  <c r="K31" i="1"/>
  <c r="J31" i="1"/>
  <c r="G31" i="1"/>
  <c r="U30" i="1"/>
  <c r="O30" i="1"/>
  <c r="N30" i="1"/>
  <c r="M30" i="1"/>
  <c r="L30" i="1"/>
  <c r="K30" i="1"/>
  <c r="J30" i="1"/>
  <c r="G30" i="1"/>
  <c r="U29" i="1"/>
  <c r="O29" i="1"/>
  <c r="N29" i="1"/>
  <c r="M29" i="1"/>
  <c r="L29" i="1"/>
  <c r="K29" i="1"/>
  <c r="J29" i="1"/>
  <c r="G29" i="1"/>
  <c r="U28" i="1"/>
  <c r="O28" i="1"/>
  <c r="N28" i="1"/>
  <c r="M28" i="1"/>
  <c r="L28" i="1"/>
  <c r="K28" i="1"/>
  <c r="J28" i="1"/>
  <c r="G28" i="1"/>
  <c r="U27" i="1"/>
  <c r="O27" i="1"/>
  <c r="N27" i="1"/>
  <c r="M27" i="1"/>
  <c r="L27" i="1"/>
  <c r="K27" i="1"/>
  <c r="J27" i="1"/>
  <c r="G27" i="1"/>
  <c r="U26" i="1"/>
  <c r="O26" i="1"/>
  <c r="N26" i="1"/>
  <c r="M26" i="1"/>
  <c r="L26" i="1"/>
  <c r="K26" i="1"/>
  <c r="J26" i="1"/>
  <c r="G26" i="1"/>
  <c r="U25" i="1"/>
  <c r="O25" i="1"/>
  <c r="N25" i="1"/>
  <c r="M25" i="1"/>
  <c r="L25" i="1"/>
  <c r="K25" i="1"/>
  <c r="J25" i="1"/>
  <c r="G25" i="1"/>
  <c r="U24" i="1"/>
  <c r="O24" i="1"/>
  <c r="N24" i="1"/>
  <c r="M24" i="1"/>
  <c r="L24" i="1"/>
  <c r="K24" i="1"/>
  <c r="J24" i="1"/>
  <c r="G24" i="1"/>
  <c r="U23" i="1"/>
  <c r="O23" i="1"/>
  <c r="N23" i="1"/>
  <c r="M23" i="1"/>
  <c r="L23" i="1"/>
  <c r="K23" i="1"/>
  <c r="J23" i="1"/>
  <c r="G23" i="1"/>
  <c r="U22" i="1"/>
  <c r="O22" i="1"/>
  <c r="N22" i="1"/>
  <c r="M22" i="1"/>
  <c r="L22" i="1"/>
  <c r="K22" i="1"/>
  <c r="J22" i="1"/>
  <c r="G22" i="1"/>
  <c r="U21" i="1"/>
  <c r="O21" i="1"/>
  <c r="N21" i="1"/>
  <c r="M21" i="1"/>
  <c r="L21" i="1"/>
  <c r="K21" i="1"/>
  <c r="J21" i="1"/>
  <c r="G21" i="1"/>
  <c r="U20" i="1"/>
  <c r="O20" i="1"/>
  <c r="N20" i="1"/>
  <c r="M20" i="1"/>
  <c r="L20" i="1"/>
  <c r="K20" i="1"/>
  <c r="J20" i="1"/>
  <c r="G20" i="1"/>
  <c r="U19" i="1"/>
  <c r="O19" i="1"/>
  <c r="N19" i="1"/>
  <c r="M19" i="1"/>
  <c r="L19" i="1"/>
  <c r="K19" i="1"/>
  <c r="J19" i="1"/>
  <c r="G19" i="1"/>
  <c r="U18" i="1"/>
  <c r="O18" i="1"/>
  <c r="N18" i="1"/>
  <c r="M18" i="1"/>
  <c r="L18" i="1"/>
  <c r="K18" i="1"/>
  <c r="J18" i="1"/>
  <c r="G18" i="1"/>
  <c r="U17" i="1"/>
  <c r="O17" i="1"/>
  <c r="N17" i="1"/>
  <c r="M17" i="1"/>
  <c r="L17" i="1"/>
  <c r="K17" i="1"/>
  <c r="J17" i="1"/>
  <c r="G17" i="1"/>
  <c r="U16" i="1"/>
  <c r="O16" i="1"/>
  <c r="N16" i="1"/>
  <c r="M16" i="1"/>
  <c r="L16" i="1"/>
  <c r="K16" i="1"/>
  <c r="J16" i="1"/>
  <c r="G16" i="1"/>
  <c r="U15" i="1"/>
  <c r="O15" i="1"/>
  <c r="N15" i="1"/>
  <c r="M15" i="1"/>
  <c r="L15" i="1"/>
  <c r="K15" i="1"/>
  <c r="J15" i="1"/>
  <c r="G15" i="1"/>
  <c r="U14" i="1"/>
  <c r="O14" i="1"/>
  <c r="N14" i="1"/>
  <c r="M14" i="1"/>
  <c r="L14" i="1"/>
  <c r="K14" i="1"/>
  <c r="J14" i="1"/>
  <c r="G14" i="1"/>
  <c r="V13" i="1"/>
  <c r="U13" i="1"/>
  <c r="O13" i="1"/>
  <c r="N13" i="1"/>
  <c r="M13" i="1"/>
  <c r="L13" i="1"/>
  <c r="K13" i="1"/>
  <c r="J13" i="1"/>
  <c r="G13" i="1"/>
  <c r="U12" i="1"/>
  <c r="O12" i="1"/>
  <c r="N12" i="1"/>
  <c r="M12" i="1"/>
  <c r="L12" i="1"/>
  <c r="K12" i="1"/>
  <c r="J12" i="1"/>
  <c r="G12" i="1"/>
  <c r="U11" i="1"/>
  <c r="O11" i="1"/>
  <c r="N11" i="1"/>
  <c r="M11" i="1"/>
  <c r="L11" i="1"/>
  <c r="K11" i="1"/>
  <c r="J11" i="1"/>
  <c r="G11" i="1"/>
  <c r="U10" i="1"/>
  <c r="O10" i="1"/>
  <c r="N10" i="1"/>
  <c r="M10" i="1"/>
  <c r="L10" i="1"/>
  <c r="K10" i="1"/>
  <c r="J10" i="1"/>
  <c r="G10" i="1"/>
  <c r="U9" i="1"/>
  <c r="O9" i="1"/>
  <c r="N9" i="1"/>
  <c r="M9" i="1"/>
  <c r="L9" i="1"/>
  <c r="K9" i="1"/>
  <c r="J9" i="1"/>
  <c r="G9" i="1"/>
  <c r="U8" i="1"/>
  <c r="O8" i="1"/>
  <c r="N8" i="1"/>
  <c r="M8" i="1"/>
  <c r="L8" i="1"/>
  <c r="K8" i="1"/>
  <c r="J8" i="1"/>
  <c r="G8" i="1"/>
  <c r="U7" i="1"/>
  <c r="O7" i="1"/>
  <c r="N7" i="1"/>
  <c r="M7" i="1"/>
  <c r="L7" i="1"/>
  <c r="K7" i="1"/>
  <c r="J7" i="1"/>
  <c r="G7" i="1"/>
  <c r="U6" i="1"/>
  <c r="O6" i="1"/>
  <c r="N6" i="1"/>
  <c r="M6" i="1"/>
  <c r="L6" i="1"/>
  <c r="K6" i="1"/>
  <c r="J6" i="1"/>
  <c r="G6" i="1"/>
  <c r="U5" i="1"/>
  <c r="O5" i="1"/>
  <c r="N5" i="1"/>
  <c r="M5" i="1"/>
  <c r="L5" i="1"/>
  <c r="K5" i="1"/>
  <c r="J5" i="1"/>
  <c r="G5" i="1"/>
  <c r="U4" i="1"/>
  <c r="O4" i="1"/>
  <c r="N4" i="1"/>
  <c r="M4" i="1"/>
  <c r="L4" i="1"/>
  <c r="K4" i="1"/>
  <c r="J4" i="1"/>
  <c r="G4" i="1"/>
  <c r="U3" i="1"/>
  <c r="O3" i="1"/>
  <c r="N3" i="1"/>
  <c r="M3" i="1"/>
  <c r="L3" i="1"/>
  <c r="K3" i="1"/>
  <c r="J3" i="1"/>
  <c r="G3" i="1"/>
  <c r="U2" i="1"/>
  <c r="O2" i="1"/>
  <c r="N2" i="1"/>
  <c r="M2" i="1"/>
  <c r="L2" i="1"/>
  <c r="J2" i="1"/>
  <c r="G2" i="1"/>
  <c r="I3" i="2"/>
  <c r="G3" i="2"/>
  <c r="E3" i="2"/>
  <c r="C3" i="2"/>
</calcChain>
</file>

<file path=xl/sharedStrings.xml><?xml version="1.0" encoding="utf-8"?>
<sst xmlns="http://schemas.openxmlformats.org/spreadsheetml/2006/main" count="7309" uniqueCount="108">
  <si>
    <t>Product_ID</t>
  </si>
  <si>
    <t>Sale_Date</t>
  </si>
  <si>
    <t>Sales_Rep</t>
  </si>
  <si>
    <t>Region</t>
  </si>
  <si>
    <t>Quantity_Sold</t>
  </si>
  <si>
    <t>Product_Category</t>
  </si>
  <si>
    <t>Unit_Cost</t>
  </si>
  <si>
    <t>Customer_Type</t>
  </si>
  <si>
    <t>Discount</t>
  </si>
  <si>
    <t>Payment_Method</t>
  </si>
  <si>
    <t>Sales_Channel</t>
  </si>
  <si>
    <t>Region_and_Sales_Rep</t>
  </si>
  <si>
    <t>Bob</t>
  </si>
  <si>
    <t>North</t>
  </si>
  <si>
    <t>Furniture</t>
  </si>
  <si>
    <t>Returning</t>
  </si>
  <si>
    <t>Cash</t>
  </si>
  <si>
    <t>Online</t>
  </si>
  <si>
    <t>North-Bob</t>
  </si>
  <si>
    <t>West</t>
  </si>
  <si>
    <t>Retail</t>
  </si>
  <si>
    <t>West-Bob</t>
  </si>
  <si>
    <t>David</t>
  </si>
  <si>
    <t>South</t>
  </si>
  <si>
    <t>Food</t>
  </si>
  <si>
    <t>Bank Transfer</t>
  </si>
  <si>
    <t>South-David</t>
  </si>
  <si>
    <t>Clothing</t>
  </si>
  <si>
    <t>New</t>
  </si>
  <si>
    <t>Credit Card</t>
  </si>
  <si>
    <t>South-Bob</t>
  </si>
  <si>
    <t>Charlie</t>
  </si>
  <si>
    <t>East</t>
  </si>
  <si>
    <t>Electronics</t>
  </si>
  <si>
    <t>East-Charlie</t>
  </si>
  <si>
    <t>West-Charlie</t>
  </si>
  <si>
    <t>Eve</t>
  </si>
  <si>
    <t>South-Eve</t>
  </si>
  <si>
    <t>North-Eve</t>
  </si>
  <si>
    <t>West-Eve</t>
  </si>
  <si>
    <t>Alice</t>
  </si>
  <si>
    <t>South-Alice</t>
  </si>
  <si>
    <t>South-Charlie</t>
  </si>
  <si>
    <t>North-David</t>
  </si>
  <si>
    <t>East-Bob</t>
  </si>
  <si>
    <t>West-David</t>
  </si>
  <si>
    <t>East-Eve</t>
  </si>
  <si>
    <t>North-Alice</t>
  </si>
  <si>
    <t>East-David</t>
  </si>
  <si>
    <t>West-Alice</t>
  </si>
  <si>
    <t>East-Alice</t>
  </si>
  <si>
    <t>North-Charlie</t>
  </si>
  <si>
    <t>Sales Amount</t>
  </si>
  <si>
    <t>Total Cost</t>
  </si>
  <si>
    <t>Profit</t>
  </si>
  <si>
    <t>Selling Price after Discount</t>
  </si>
  <si>
    <t>Profit margin</t>
  </si>
  <si>
    <t>Profit status</t>
  </si>
  <si>
    <t>Row Labels</t>
  </si>
  <si>
    <t>Grand Total</t>
  </si>
  <si>
    <t>Sum of Sales Amount</t>
  </si>
  <si>
    <t>Count of Customer_Type</t>
  </si>
  <si>
    <t>2023</t>
  </si>
  <si>
    <t>Qtr1</t>
  </si>
  <si>
    <t>Qtr2</t>
  </si>
  <si>
    <t>Qtr3</t>
  </si>
  <si>
    <t>Qtr4</t>
  </si>
  <si>
    <t>2024</t>
  </si>
  <si>
    <t>Jan</t>
  </si>
  <si>
    <t>Feb</t>
  </si>
  <si>
    <t>Mar</t>
  </si>
  <si>
    <t>Apr</t>
  </si>
  <si>
    <t>May</t>
  </si>
  <si>
    <t>Jun</t>
  </si>
  <si>
    <t>Jul</t>
  </si>
  <si>
    <t>Aug</t>
  </si>
  <si>
    <t>Sep</t>
  </si>
  <si>
    <t>Oct</t>
  </si>
  <si>
    <t>Nov</t>
  </si>
  <si>
    <t>Dec</t>
  </si>
  <si>
    <t>Average of Sales Amount</t>
  </si>
  <si>
    <t xml:space="preserve">AVERAGE REVENUE PER PRODUCT SOLD  </t>
  </si>
  <si>
    <t>SUM OF UNIT SOLD PER SALES REP</t>
  </si>
  <si>
    <t>Sum of Quantity_Sold</t>
  </si>
  <si>
    <t>Average of Profit margin</t>
  </si>
  <si>
    <t>Column Labels</t>
  </si>
  <si>
    <t>Sum of Profit</t>
  </si>
  <si>
    <t>MOST PROFITABLE PRODUCT</t>
  </si>
  <si>
    <t>QUARTERLY SALES TREND</t>
  </si>
  <si>
    <t>Sum of Total Cost</t>
  </si>
  <si>
    <t>Total Product Ordered</t>
  </si>
  <si>
    <t>Total Sales Amount</t>
  </si>
  <si>
    <t>Total Profit</t>
  </si>
  <si>
    <t>Sales performance</t>
  </si>
  <si>
    <t>Sales Rep Analysis</t>
  </si>
  <si>
    <t>Regional Insights</t>
  </si>
  <si>
    <t>Average of Unit_Cost</t>
  </si>
  <si>
    <t>Product and Inventory Metrics</t>
  </si>
  <si>
    <t>EVOLVEHQ SALES DATA  DASHBOARD (REGIONAL SALES AND PRODUCT ANALYSIS)</t>
  </si>
  <si>
    <t>Count of Profit status</t>
  </si>
  <si>
    <t xml:space="preserve">Order </t>
  </si>
  <si>
    <t>Sum of Order Count</t>
  </si>
  <si>
    <t xml:space="preserve"> Average Order Value</t>
  </si>
  <si>
    <t>Cost Category</t>
  </si>
  <si>
    <t>Unit Price</t>
  </si>
  <si>
    <t>High-Cost</t>
  </si>
  <si>
    <t>Low-Cost</t>
  </si>
  <si>
    <t>Sum of Unit_Cost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</si>
</sst>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43" formatCode="_(* #,##0.00_);_(* \(#,##0.00\);_(* &quot;-&quot;??_);_(@_)"/>
    <numFmt numFmtId="164" formatCode="_(* #,##0_);_(* \(#,##0\);_(* &quot;-&quot;??_);_(@_)"/>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Calibri"/>
      <family val="2"/>
      <scheme val="minor"/>
    </font>
    <font>
      <b/>
      <sz val="14"/>
      <color theme="1"/>
      <name val="Calibri"/>
      <family val="2"/>
      <scheme val="minor"/>
    </font>
    <font>
      <sz val="22"/>
      <color theme="1"/>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
      <patternFill patternType="solid">
        <fgColor theme="4" tint="0.79998168889431442"/>
        <bgColor theme="4" tint="0.79998168889431442"/>
      </patternFill>
    </fill>
  </fills>
  <borders count="2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
      <left/>
      <right/>
      <top/>
      <bottom style="thin">
        <color theme="4" tint="0.39997558519241921"/>
      </bottom>
      <diagonal/>
    </border>
  </borders>
  <cellStyleXfs count="44">
    <xf numFmtId="0" fontId="0" fillId="0" borderId="0"/>
    <xf numFmtId="43" fontId="1" fillId="0" borderId="0" applyFont="0" applyFill="0" applyBorder="0" applyAlignment="0" applyProtection="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42">
    <xf numFmtId="0" fontId="0" fillId="0" borderId="0" xfId="0"/>
    <xf numFmtId="14" fontId="0" fillId="0" borderId="0" xfId="0" applyNumberFormat="1"/>
    <xf numFmtId="0" fontId="0" fillId="0" borderId="0" xfId="0" applyNumberFormat="1"/>
    <xf numFmtId="1" fontId="0" fillId="0" borderId="0" xfId="0" applyNumberFormat="1"/>
    <xf numFmtId="9" fontId="0" fillId="0" borderId="0" xfId="2" applyFont="1"/>
    <xf numFmtId="0" fontId="0" fillId="0" borderId="0" xfId="0" pivotButton="1"/>
    <xf numFmtId="0" fontId="0" fillId="0" borderId="0" xfId="0" applyAlignment="1">
      <alignment horizontal="left"/>
    </xf>
    <xf numFmtId="164" fontId="0" fillId="0" borderId="0" xfId="0" applyNumberFormat="1"/>
    <xf numFmtId="1" fontId="0" fillId="0" borderId="0" xfId="1" applyNumberFormat="1" applyFont="1"/>
    <xf numFmtId="14" fontId="0" fillId="0" borderId="0" xfId="0" applyNumberFormat="1" applyAlignment="1">
      <alignment horizontal="left" indent="1"/>
    </xf>
    <xf numFmtId="10" fontId="0" fillId="0" borderId="0" xfId="0" applyNumberFormat="1"/>
    <xf numFmtId="43" fontId="18" fillId="0" borderId="0" xfId="0" pivotButton="1" applyNumberFormat="1" applyFont="1"/>
    <xf numFmtId="43" fontId="18" fillId="0" borderId="0" xfId="0" applyNumberFormat="1" applyFont="1"/>
    <xf numFmtId="43" fontId="18" fillId="0" borderId="0" xfId="0" applyNumberFormat="1" applyFont="1" applyAlignment="1">
      <alignment horizontal="left"/>
    </xf>
    <xf numFmtId="10" fontId="18" fillId="0" borderId="0" xfId="0" applyNumberFormat="1" applyFont="1"/>
    <xf numFmtId="164" fontId="18" fillId="0" borderId="0" xfId="0" applyNumberFormat="1" applyFont="1"/>
    <xf numFmtId="164" fontId="18" fillId="0" borderId="0" xfId="0" pivotButton="1" applyNumberFormat="1" applyFont="1"/>
    <xf numFmtId="164" fontId="18" fillId="0" borderId="0" xfId="0" applyNumberFormat="1" applyFont="1" applyAlignment="1">
      <alignment horizontal="left"/>
    </xf>
    <xf numFmtId="1" fontId="18" fillId="0" borderId="0" xfId="0" applyNumberFormat="1" applyFont="1"/>
    <xf numFmtId="0" fontId="16" fillId="0" borderId="0" xfId="0" applyFont="1" applyAlignment="1">
      <alignment horizontal="center"/>
    </xf>
    <xf numFmtId="0" fontId="0" fillId="0" borderId="0" xfId="0" applyAlignment="1">
      <alignment horizontal="center"/>
    </xf>
    <xf numFmtId="0" fontId="0" fillId="0" borderId="0" xfId="0" applyAlignment="1"/>
    <xf numFmtId="0" fontId="19" fillId="0" borderId="0" xfId="0" applyFont="1" applyAlignment="1"/>
    <xf numFmtId="0" fontId="0" fillId="0" borderId="11" xfId="0" applyBorder="1"/>
    <xf numFmtId="0" fontId="0" fillId="0" borderId="12" xfId="0" applyBorder="1"/>
    <xf numFmtId="0" fontId="0" fillId="0" borderId="13" xfId="0" applyBorder="1"/>
    <xf numFmtId="0" fontId="0" fillId="0" borderId="0" xfId="0" applyAlignment="1">
      <alignment horizontal="left" indent="1"/>
    </xf>
    <xf numFmtId="164" fontId="0" fillId="0" borderId="14" xfId="0" applyNumberFormat="1" applyBorder="1"/>
    <xf numFmtId="164" fontId="0" fillId="0" borderId="15" xfId="0" applyNumberFormat="1" applyBorder="1"/>
    <xf numFmtId="164" fontId="0" fillId="0" borderId="16" xfId="0" applyNumberFormat="1" applyBorder="1"/>
    <xf numFmtId="164" fontId="0" fillId="0" borderId="17" xfId="0" applyNumberFormat="1" applyBorder="1"/>
    <xf numFmtId="164" fontId="0" fillId="0" borderId="18" xfId="0" applyNumberFormat="1" applyBorder="1"/>
    <xf numFmtId="164" fontId="0" fillId="0" borderId="19" xfId="0" applyNumberFormat="1" applyBorder="1"/>
    <xf numFmtId="0" fontId="16" fillId="0" borderId="0" xfId="0" applyFont="1" applyAlignment="1">
      <alignment horizontal="center"/>
    </xf>
    <xf numFmtId="0" fontId="0" fillId="0" borderId="0" xfId="0" applyAlignment="1">
      <alignment horizontal="center"/>
    </xf>
    <xf numFmtId="0" fontId="20" fillId="33" borderId="0" xfId="0" applyFont="1" applyFill="1" applyAlignment="1">
      <alignment horizontal="center"/>
    </xf>
    <xf numFmtId="0" fontId="16" fillId="0" borderId="10" xfId="0" applyFont="1" applyBorder="1" applyAlignment="1">
      <alignment horizontal="center"/>
    </xf>
    <xf numFmtId="0" fontId="0" fillId="0" borderId="10" xfId="0" applyBorder="1" applyAlignment="1">
      <alignment horizontal="center"/>
    </xf>
    <xf numFmtId="164" fontId="0" fillId="0" borderId="10" xfId="1" applyNumberFormat="1" applyFont="1" applyBorder="1" applyAlignment="1">
      <alignment horizontal="center"/>
    </xf>
    <xf numFmtId="0" fontId="19" fillId="0" borderId="0" xfId="0" applyFont="1" applyAlignment="1">
      <alignment horizontal="center"/>
    </xf>
    <xf numFmtId="0" fontId="16" fillId="34" borderId="20" xfId="0" applyFont="1" applyFill="1" applyBorder="1"/>
    <xf numFmtId="2" fontId="0" fillId="0" borderId="0" xfId="0" applyNumberFormat="1"/>
  </cellXfs>
  <cellStyles count="44">
    <cellStyle name="20% - Accent1" xfId="21" builtinId="30" customBuiltin="1"/>
    <cellStyle name="20% - Accent2" xfId="25" builtinId="34" customBuiltin="1"/>
    <cellStyle name="20% - Accent3" xfId="29" builtinId="38" customBuiltin="1"/>
    <cellStyle name="20% - Accent4" xfId="33" builtinId="42" customBuiltin="1"/>
    <cellStyle name="20% - Accent5" xfId="37" builtinId="46" customBuiltin="1"/>
    <cellStyle name="20% - Accent6" xfId="41" builtinId="50" customBuiltin="1"/>
    <cellStyle name="40% - Accent1" xfId="22" builtinId="31" customBuiltin="1"/>
    <cellStyle name="40% - Accent2" xfId="26" builtinId="35" customBuiltin="1"/>
    <cellStyle name="40% - Accent3" xfId="30" builtinId="39" customBuiltin="1"/>
    <cellStyle name="40% - Accent4" xfId="34" builtinId="43" customBuiltin="1"/>
    <cellStyle name="40% - Accent5" xfId="38" builtinId="47" customBuiltin="1"/>
    <cellStyle name="40% - Accent6" xfId="42" builtinId="51" customBuiltin="1"/>
    <cellStyle name="60% - Accent1" xfId="23" builtinId="32" customBuiltin="1"/>
    <cellStyle name="60% - Accent2" xfId="27" builtinId="36" customBuiltin="1"/>
    <cellStyle name="60% - Accent3" xfId="31" builtinId="40" customBuiltin="1"/>
    <cellStyle name="60% - Accent4" xfId="35" builtinId="44" customBuiltin="1"/>
    <cellStyle name="60% - Accent5" xfId="39" builtinId="48" customBuiltin="1"/>
    <cellStyle name="60% - Accent6" xfId="43" builtinId="52" customBuiltin="1"/>
    <cellStyle name="Accent1" xfId="20" builtinId="29" customBuiltin="1"/>
    <cellStyle name="Accent2" xfId="24" builtinId="33" customBuiltin="1"/>
    <cellStyle name="Accent3" xfId="28" builtinId="37" customBuiltin="1"/>
    <cellStyle name="Accent4" xfId="32" builtinId="41" customBuiltin="1"/>
    <cellStyle name="Accent5" xfId="36" builtinId="45" customBuiltin="1"/>
    <cellStyle name="Accent6" xfId="40" builtinId="49" customBuiltin="1"/>
    <cellStyle name="Bad" xfId="9" builtinId="27" customBuiltin="1"/>
    <cellStyle name="Calculation" xfId="13" builtinId="22" customBuiltin="1"/>
    <cellStyle name="Check Cell" xfId="15" builtinId="23" customBuiltin="1"/>
    <cellStyle name="Comma" xfId="1" builtinId="3"/>
    <cellStyle name="Explanatory Text" xfId="18"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Input" xfId="11" builtinId="20" customBuiltin="1"/>
    <cellStyle name="Linked Cell" xfId="14" builtinId="24" customBuiltin="1"/>
    <cellStyle name="Neutral" xfId="10" builtinId="28" customBuiltin="1"/>
    <cellStyle name="Normal" xfId="0" builtinId="0"/>
    <cellStyle name="Note" xfId="17" builtinId="10" customBuiltin="1"/>
    <cellStyle name="Output" xfId="12" builtinId="21" customBuiltin="1"/>
    <cellStyle name="Percent" xfId="2" builtinId="5"/>
    <cellStyle name="Title" xfId="3" builtinId="15" customBuiltin="1"/>
    <cellStyle name="Total" xfId="19" builtinId="25" customBuiltin="1"/>
    <cellStyle name="Warning Text" xfId="16" builtinId="11" customBuiltin="1"/>
  </cellStyles>
  <dxfs count="2358">
    <dxf>
      <numFmt numFmtId="14" formatCode="0.00%"/>
    </dxf>
    <dxf>
      <numFmt numFmtId="166" formatCode="0.0"/>
    </dxf>
    <dxf>
      <numFmt numFmtId="1" formatCode="0"/>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165" formatCode="_(* #,##0.0_);_(* \(#,##0.0\);_(* &quot;-&quot;??_);_(@_)"/>
    </dxf>
    <dxf>
      <numFmt numFmtId="165" formatCode="_(* #,##0.0_);_(* \(#,##0.0\);_(* &quot;-&quot;??_);_(@_)"/>
    </dxf>
    <dxf>
      <numFmt numFmtId="165" formatCode="_(* #,##0.0_);_(* \(#,##0.0\);_(* &quot;-&quot;??_);_(@_)"/>
    </dxf>
    <dxf>
      <numFmt numFmtId="164" formatCode="_(* #,##0_);_(* \(#,##0\);_(* &quot;-&quot;??_);_(@_)"/>
    </dxf>
    <dxf>
      <numFmt numFmtId="164" formatCode="_(* #,##0_);_(* \(#,##0\);_(* &quot;-&quot;??_);_(@_)"/>
    </dxf>
    <dxf>
      <numFmt numFmtId="164" formatCode="_(* #,##0_);_(* \(#,##0\);_(* &quot;-&quot;??_);_(@_)"/>
    </dxf>
    <dxf>
      <numFmt numFmtId="14" formatCode="0.00%"/>
    </dxf>
    <dxf>
      <numFmt numFmtId="166" formatCode="0.0"/>
    </dxf>
    <dxf>
      <numFmt numFmtId="1" formatCode="0"/>
    </dxf>
    <dxf>
      <numFmt numFmtId="35" formatCode="_(* #,##0.00_);_(* \(#,##0.00\);_(* &quot;-&quot;??_);_(@_)"/>
    </dxf>
    <dxf>
      <numFmt numFmtId="165" formatCode="_(* #,##0.0_);_(* \(#,##0.0\);_(* &quot;-&quot;??_);_(@_)"/>
    </dxf>
    <dxf>
      <numFmt numFmtId="164" formatCode="_(* #,##0_);_(* \(#,##0\);_(* &quot;-&quot;??_);_(@_)"/>
    </dxf>
    <dxf>
      <numFmt numFmtId="166" formatCode="0.0"/>
    </dxf>
    <dxf>
      <numFmt numFmtId="1" formatCode="0"/>
    </dxf>
    <dxf>
      <numFmt numFmtId="35" formatCode="_(* #,##0.00_);_(* \(#,##0.00\);_(* &quot;-&quot;??_);_(@_)"/>
    </dxf>
    <dxf>
      <numFmt numFmtId="165" formatCode="_(* #,##0.0_);_(* \(#,##0.0\);_(* &quot;-&quot;??_);_(@_)"/>
    </dxf>
    <dxf>
      <numFmt numFmtId="164" formatCode="_(* #,##0_);_(* \(#,##0\);_(* &quot;-&quot;??_);_(@_)"/>
    </dxf>
    <dxf>
      <numFmt numFmtId="166" formatCode="0.0"/>
    </dxf>
    <dxf>
      <numFmt numFmtId="1" formatCode="0"/>
    </dxf>
    <dxf>
      <numFmt numFmtId="35" formatCode="_(* #,##0.00_);_(* \(#,##0.00\);_(* &quot;-&quot;??_);_(@_)"/>
    </dxf>
    <dxf>
      <numFmt numFmtId="165" formatCode="_(* #,##0.0_);_(* \(#,##0.0\);_(* &quot;-&quot;??_);_(@_)"/>
    </dxf>
    <dxf>
      <numFmt numFmtId="164" formatCode="_(* #,##0_);_(* \(#,##0\);_(* &quot;-&quot;??_);_(@_)"/>
    </dxf>
    <dxf>
      <numFmt numFmtId="166" formatCode="0.0"/>
    </dxf>
    <dxf>
      <numFmt numFmtId="1" formatCode="0"/>
    </dxf>
    <dxf>
      <numFmt numFmtId="35" formatCode="_(* #,##0.00_);_(* \(#,##0.00\);_(* &quot;-&quot;??_);_(@_)"/>
    </dxf>
    <dxf>
      <numFmt numFmtId="165" formatCode="_(* #,##0.0_);_(* \(#,##0.0\);_(* &quot;-&quot;??_);_(@_)"/>
    </dxf>
    <dxf>
      <numFmt numFmtId="164" formatCode="_(* #,##0_);_(* \(#,##0\);_(* &quot;-&quot;??_);_(@_)"/>
    </dxf>
    <dxf>
      <numFmt numFmtId="166" formatCode="0.0"/>
    </dxf>
    <dxf>
      <numFmt numFmtId="1" formatCode="0"/>
    </dxf>
    <dxf>
      <numFmt numFmtId="35" formatCode="_(* #,##0.00_);_(* \(#,##0.00\);_(* &quot;-&quot;??_);_(@_)"/>
    </dxf>
    <dxf>
      <numFmt numFmtId="165" formatCode="_(* #,##0.0_);_(* \(#,##0.0\);_(* &quot;-&quot;??_);_(@_)"/>
    </dxf>
    <dxf>
      <numFmt numFmtId="164" formatCode="_(* #,##0_);_(* \(#,##0\);_(* &quot;-&quot;??_);_(@_)"/>
    </dxf>
    <dxf>
      <numFmt numFmtId="166" formatCode="0.0"/>
    </dxf>
    <dxf>
      <numFmt numFmtId="1" formatCode="0"/>
    </dxf>
    <dxf>
      <numFmt numFmtId="35" formatCode="_(* #,##0.00_);_(* \(#,##0.00\);_(* &quot;-&quot;??_);_(@_)"/>
    </dxf>
    <dxf>
      <numFmt numFmtId="165" formatCode="_(* #,##0.0_);_(* \(#,##0.0\);_(* &quot;-&quot;??_);_(@_)"/>
    </dxf>
    <dxf>
      <numFmt numFmtId="164" formatCode="_(* #,##0_);_(* \(#,##0\);_(* &quot;-&quot;??_);_(@_)"/>
    </dxf>
    <dxf>
      <numFmt numFmtId="166" formatCode="0.0"/>
    </dxf>
    <dxf>
      <numFmt numFmtId="1" formatCode="0"/>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165" formatCode="_(* #,##0.0_);_(* \(#,##0.0\);_(* &quot;-&quot;??_);_(@_)"/>
    </dxf>
    <dxf>
      <numFmt numFmtId="165" formatCode="_(* #,##0.0_);_(* \(#,##0.0\);_(* &quot;-&quot;??_);_(@_)"/>
    </dxf>
    <dxf>
      <numFmt numFmtId="165" formatCode="_(* #,##0.0_);_(* \(#,##0.0\);_(* &quot;-&quot;??_);_(@_)"/>
    </dxf>
    <dxf>
      <numFmt numFmtId="164" formatCode="_(* #,##0_);_(* \(#,##0\);_(* &quot;-&quot;??_);_(@_)"/>
    </dxf>
    <dxf>
      <numFmt numFmtId="164" formatCode="_(* #,##0_);_(* \(#,##0\);_(* &quot;-&quot;??_);_(@_)"/>
    </dxf>
    <dxf>
      <numFmt numFmtId="164" formatCode="_(* #,##0_);_(* \(#,##0\);_(* &quot;-&quot;??_);_(@_)"/>
    </dxf>
    <dxf>
      <numFmt numFmtId="166" formatCode="0.0"/>
    </dxf>
    <dxf>
      <numFmt numFmtId="1" formatCode="0"/>
    </dxf>
    <dxf>
      <numFmt numFmtId="35" formatCode="_(* #,##0.00_);_(* \(#,##0.00\);_(* &quot;-&quot;??_);_(@_)"/>
    </dxf>
    <dxf>
      <numFmt numFmtId="165" formatCode="_(* #,##0.0_);_(* \(#,##0.0\);_(* &quot;-&quot;??_);_(@_)"/>
    </dxf>
    <dxf>
      <numFmt numFmtId="164" formatCode="_(* #,##0_);_(* \(#,##0\);_(* &quot;-&quot;??_);_(@_)"/>
    </dxf>
    <dxf>
      <numFmt numFmtId="166" formatCode="0.0"/>
    </dxf>
    <dxf>
      <numFmt numFmtId="1" formatCode="0"/>
    </dxf>
    <dxf>
      <numFmt numFmtId="35" formatCode="_(* #,##0.00_);_(* \(#,##0.00\);_(* &quot;-&quot;??_);_(@_)"/>
    </dxf>
    <dxf>
      <numFmt numFmtId="165" formatCode="_(* #,##0.0_);_(* \(#,##0.0\);_(* &quot;-&quot;??_);_(@_)"/>
    </dxf>
    <dxf>
      <numFmt numFmtId="164" formatCode="_(* #,##0_);_(* \(#,##0\);_(* &quot;-&quot;??_);_(@_)"/>
    </dxf>
    <dxf>
      <font>
        <sz val="10"/>
      </font>
    </dxf>
    <dxf>
      <font>
        <sz val="10"/>
      </font>
    </dxf>
    <dxf>
      <font>
        <sz val="10"/>
      </font>
    </dxf>
    <dxf>
      <font>
        <sz val="10"/>
      </font>
    </dxf>
    <dxf>
      <font>
        <sz val="10"/>
      </font>
    </dxf>
    <dxf>
      <font>
        <sz val="10"/>
      </font>
    </dxf>
    <dxf>
      <font>
        <sz val="10"/>
      </font>
    </dxf>
    <dxf>
      <font>
        <sz val="10"/>
      </font>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165" formatCode="_(* #,##0.0_);_(* \(#,##0.0\);_(* &quot;-&quot;??_);_(@_)"/>
    </dxf>
    <dxf>
      <numFmt numFmtId="165" formatCode="_(* #,##0.0_);_(* \(#,##0.0\);_(* &quot;-&quot;??_);_(@_)"/>
    </dxf>
    <dxf>
      <numFmt numFmtId="165" formatCode="_(* #,##0.0_);_(* \(#,##0.0\);_(* &quot;-&quot;??_);_(@_)"/>
    </dxf>
    <dxf>
      <numFmt numFmtId="165" formatCode="_(* #,##0.0_);_(* \(#,##0.0\);_(* &quot;-&quot;??_);_(@_)"/>
    </dxf>
    <dxf>
      <numFmt numFmtId="165" formatCode="_(* #,##0.0_);_(* \(#,##0.0\);_(* &quot;-&quot;??_);_(@_)"/>
    </dxf>
    <dxf>
      <numFmt numFmtId="165" formatCode="_(* #,##0.0_);_(* \(#,##0.0\);_(* &quot;-&quot;??_);_(@_)"/>
    </dxf>
    <dxf>
      <numFmt numFmtId="165" formatCode="_(* #,##0.0_);_(* \(#,##0.0\);_(* &quot;-&quot;??_);_(@_)"/>
    </dxf>
    <dxf>
      <numFmt numFmtId="165" formatCode="_(* #,##0.0_);_(* \(#,##0.0\);_(* &quot;-&quot;??_);_(@_)"/>
    </dxf>
    <dxf>
      <numFmt numFmtId="165" formatCode="_(* #,##0.0_);_(* \(#,##0.0\);_(* &quot;-&quot;??_);_(@_)"/>
    </dxf>
    <dxf>
      <numFmt numFmtId="165" formatCode="_(* #,##0.0_);_(* \(#,##0.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6" formatCode="0.0"/>
    </dxf>
    <dxf>
      <numFmt numFmtId="1" formatCode="0"/>
    </dxf>
    <dxf>
      <numFmt numFmtId="35" formatCode="_(* #,##0.00_);_(* \(#,##0.00\);_(* &quot;-&quot;??_);_(@_)"/>
    </dxf>
    <dxf>
      <numFmt numFmtId="165" formatCode="_(* #,##0.0_);_(* \(#,##0.0\);_(* &quot;-&quot;??_);_(@_)"/>
    </dxf>
    <dxf>
      <numFmt numFmtId="164" formatCode="_(* #,##0_);_(* \(#,##0\);_(* &quot;-&quot;??_);_(@_)"/>
    </dxf>
    <dxf>
      <numFmt numFmtId="166" formatCode="0.0"/>
    </dxf>
    <dxf>
      <numFmt numFmtId="1" formatCode="0"/>
    </dxf>
    <dxf>
      <numFmt numFmtId="35" formatCode="_(* #,##0.00_);_(* \(#,##0.00\);_(* &quot;-&quot;??_);_(@_)"/>
    </dxf>
    <dxf>
      <numFmt numFmtId="165" formatCode="_(* #,##0.0_);_(* \(#,##0.0\);_(* &quot;-&quot;??_);_(@_)"/>
    </dxf>
    <dxf>
      <numFmt numFmtId="164" formatCode="_(* #,##0_);_(* \(#,##0\);_(* &quot;-&quot;??_);_(@_)"/>
    </dxf>
    <dxf>
      <font>
        <sz val="10"/>
      </font>
    </dxf>
    <dxf>
      <font>
        <sz val="10"/>
      </font>
    </dxf>
    <dxf>
      <font>
        <sz val="10"/>
      </font>
    </dxf>
    <dxf>
      <font>
        <sz val="10"/>
      </font>
    </dxf>
    <dxf>
      <font>
        <sz val="10"/>
      </font>
    </dxf>
    <dxf>
      <font>
        <sz val="10"/>
      </font>
    </dxf>
    <dxf>
      <font>
        <sz val="10"/>
      </font>
    </dxf>
    <dxf>
      <font>
        <sz val="10"/>
      </font>
    </dxf>
    <dxf>
      <font>
        <sz val="10"/>
      </font>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14" formatCode="0.00%"/>
    </dxf>
    <dxf>
      <numFmt numFmtId="166" formatCode="0.0"/>
    </dxf>
    <dxf>
      <numFmt numFmtId="1" formatCode="0"/>
    </dxf>
    <dxf>
      <numFmt numFmtId="35" formatCode="_(* #,##0.00_);_(* \(#,##0.00\);_(* &quot;-&quot;??_);_(@_)"/>
    </dxf>
    <dxf>
      <numFmt numFmtId="165" formatCode="_(* #,##0.0_);_(* \(#,##0.0\);_(* &quot;-&quot;??_);_(@_)"/>
    </dxf>
    <dxf>
      <numFmt numFmtId="164" formatCode="_(* #,##0_);_(* \(#,##0\);_(* &quot;-&quot;??_);_(@_)"/>
    </dxf>
    <dxf>
      <numFmt numFmtId="166" formatCode="0.0"/>
    </dxf>
    <dxf>
      <numFmt numFmtId="1" formatCode="0"/>
    </dxf>
    <dxf>
      <numFmt numFmtId="166" formatCode="0.0"/>
    </dxf>
    <dxf>
      <numFmt numFmtId="1" formatCode="0"/>
    </dxf>
    <dxf>
      <numFmt numFmtId="35" formatCode="_(* #,##0.00_);_(* \(#,##0.00\);_(* &quot;-&quot;??_);_(@_)"/>
    </dxf>
    <dxf>
      <numFmt numFmtId="165" formatCode="_(* #,##0.0_);_(* \(#,##0.0\);_(* &quot;-&quot;??_);_(@_)"/>
    </dxf>
    <dxf>
      <numFmt numFmtId="164" formatCode="_(* #,##0_);_(* \(#,##0\);_(* &quot;-&quot;??_);_(@_)"/>
    </dxf>
    <dxf>
      <numFmt numFmtId="166" formatCode="0.0"/>
    </dxf>
    <dxf>
      <numFmt numFmtId="1" formatCode="0"/>
    </dxf>
    <dxf>
      <numFmt numFmtId="35" formatCode="_(* #,##0.00_);_(* \(#,##0.00\);_(* &quot;-&quot;??_);_(@_)"/>
    </dxf>
    <dxf>
      <numFmt numFmtId="165" formatCode="_(* #,##0.0_);_(* \(#,##0.0\);_(* &quot;-&quot;??_);_(@_)"/>
    </dxf>
    <dxf>
      <numFmt numFmtId="164" formatCode="_(* #,##0_);_(* \(#,##0\);_(* &quot;-&quot;??_);_(@_)"/>
    </dxf>
    <dxf>
      <font>
        <sz val="10"/>
      </font>
    </dxf>
    <dxf>
      <font>
        <sz val="10"/>
      </font>
    </dxf>
    <dxf>
      <font>
        <sz val="10"/>
      </font>
    </dxf>
    <dxf>
      <font>
        <sz val="10"/>
      </font>
    </dxf>
    <dxf>
      <font>
        <sz val="10"/>
      </font>
    </dxf>
    <dxf>
      <font>
        <sz val="10"/>
      </font>
    </dxf>
    <dxf>
      <font>
        <sz val="10"/>
      </font>
    </dxf>
    <dxf>
      <font>
        <sz val="10"/>
      </font>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165" formatCode="_(* #,##0.0_);_(* \(#,##0.0\);_(* &quot;-&quot;??_);_(@_)"/>
    </dxf>
    <dxf>
      <numFmt numFmtId="165" formatCode="_(* #,##0.0_);_(* \(#,##0.0\);_(* &quot;-&quot;??_);_(@_)"/>
    </dxf>
    <dxf>
      <numFmt numFmtId="165" formatCode="_(* #,##0.0_);_(* \(#,##0.0\);_(* &quot;-&quot;??_);_(@_)"/>
    </dxf>
    <dxf>
      <numFmt numFmtId="165" formatCode="_(* #,##0.0_);_(* \(#,##0.0\);_(* &quot;-&quot;??_);_(@_)"/>
    </dxf>
    <dxf>
      <numFmt numFmtId="165" formatCode="_(* #,##0.0_);_(* \(#,##0.0\);_(* &quot;-&quot;??_);_(@_)"/>
    </dxf>
    <dxf>
      <numFmt numFmtId="165" formatCode="_(* #,##0.0_);_(* \(#,##0.0\);_(* &quot;-&quot;??_);_(@_)"/>
    </dxf>
    <dxf>
      <numFmt numFmtId="165" formatCode="_(* #,##0.0_);_(* \(#,##0.0\);_(* &quot;-&quot;??_);_(@_)"/>
    </dxf>
    <dxf>
      <numFmt numFmtId="165" formatCode="_(* #,##0.0_);_(* \(#,##0.0\);_(* &quot;-&quot;??_);_(@_)"/>
    </dxf>
    <dxf>
      <numFmt numFmtId="165" formatCode="_(* #,##0.0_);_(* \(#,##0.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6" formatCode="0.0"/>
    </dxf>
    <dxf>
      <numFmt numFmtId="1" formatCode="0"/>
    </dxf>
    <dxf>
      <numFmt numFmtId="14" formatCode="0.00%"/>
    </dxf>
    <dxf>
      <numFmt numFmtId="166" formatCode="0.0"/>
    </dxf>
    <dxf>
      <numFmt numFmtId="1" formatCode="0"/>
    </dxf>
    <dxf>
      <numFmt numFmtId="14" formatCode="0.00%"/>
    </dxf>
    <dxf>
      <numFmt numFmtId="35" formatCode="_(* #,##0.00_);_(* \(#,##0.00\);_(* &quot;-&quot;??_);_(@_)"/>
    </dxf>
    <dxf>
      <numFmt numFmtId="165" formatCode="_(* #,##0.0_);_(* \(#,##0.0\);_(* &quot;-&quot;??_);_(@_)"/>
    </dxf>
    <dxf>
      <numFmt numFmtId="164" formatCode="_(* #,##0_);_(* \(#,##0\);_(* &quot;-&quot;??_);_(@_)"/>
    </dxf>
    <dxf>
      <numFmt numFmtId="0" formatCode="General"/>
    </dxf>
    <dxf>
      <numFmt numFmtId="2" formatCode="0.00"/>
    </dxf>
    <dxf>
      <numFmt numFmtId="166" formatCode="0.0"/>
    </dxf>
    <dxf>
      <numFmt numFmtId="1" formatCode="0"/>
    </dxf>
    <dxf>
      <numFmt numFmtId="166" formatCode="0.0"/>
    </dxf>
    <dxf>
      <numFmt numFmtId="1" formatCode="0"/>
    </dxf>
    <dxf>
      <numFmt numFmtId="35" formatCode="_(* #,##0.00_);_(* \(#,##0.00\);_(* &quot;-&quot;??_);_(@_)"/>
    </dxf>
    <dxf>
      <numFmt numFmtId="165" formatCode="_(* #,##0.0_);_(* \(#,##0.0\);_(* &quot;-&quot;??_);_(@_)"/>
    </dxf>
    <dxf>
      <numFmt numFmtId="164" formatCode="_(* #,##0_);_(* \(#,##0\);_(* &quot;-&quot;??_);_(@_)"/>
    </dxf>
    <dxf>
      <font>
        <sz val="10"/>
      </font>
    </dxf>
    <dxf>
      <font>
        <sz val="10"/>
      </font>
    </dxf>
    <dxf>
      <font>
        <sz val="10"/>
      </font>
    </dxf>
    <dxf>
      <font>
        <sz val="10"/>
      </font>
    </dxf>
    <dxf>
      <font>
        <sz val="10"/>
      </font>
    </dxf>
    <dxf>
      <font>
        <sz val="10"/>
      </font>
    </dxf>
    <dxf>
      <font>
        <sz val="10"/>
      </font>
    </dxf>
    <dxf>
      <font>
        <sz val="10"/>
      </font>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165" formatCode="_(* #,##0.0_);_(* \(#,##0.0\);_(* &quot;-&quot;??_);_(@_)"/>
    </dxf>
    <dxf>
      <numFmt numFmtId="165" formatCode="_(* #,##0.0_);_(* \(#,##0.0\);_(* &quot;-&quot;??_);_(@_)"/>
    </dxf>
    <dxf>
      <numFmt numFmtId="165" formatCode="_(* #,##0.0_);_(* \(#,##0.0\);_(* &quot;-&quot;??_);_(@_)"/>
    </dxf>
    <dxf>
      <numFmt numFmtId="165" formatCode="_(* #,##0.0_);_(* \(#,##0.0\);_(* &quot;-&quot;??_);_(@_)"/>
    </dxf>
    <dxf>
      <numFmt numFmtId="165" formatCode="_(* #,##0.0_);_(* \(#,##0.0\);_(* &quot;-&quot;??_);_(@_)"/>
    </dxf>
    <dxf>
      <numFmt numFmtId="165" formatCode="_(* #,##0.0_);_(* \(#,##0.0\);_(* &quot;-&quot;??_);_(@_)"/>
    </dxf>
    <dxf>
      <numFmt numFmtId="165" formatCode="_(* #,##0.0_);_(* \(#,##0.0\);_(* &quot;-&quot;??_);_(@_)"/>
    </dxf>
    <dxf>
      <numFmt numFmtId="165" formatCode="_(* #,##0.0_);_(* \(#,##0.0\);_(* &quot;-&quot;??_);_(@_)"/>
    </dxf>
    <dxf>
      <numFmt numFmtId="165" formatCode="_(* #,##0.0_);_(* \(#,##0.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2" formatCode="0.00"/>
    </dxf>
    <dxf>
      <numFmt numFmtId="166" formatCode="0.0"/>
    </dxf>
    <dxf>
      <numFmt numFmtId="1" formatCode="0"/>
    </dxf>
    <dxf>
      <numFmt numFmtId="166" formatCode="0.0"/>
    </dxf>
    <dxf>
      <numFmt numFmtId="1" formatCode="0"/>
    </dxf>
    <dxf>
      <numFmt numFmtId="35" formatCode="_(* #,##0.00_);_(* \(#,##0.00\);_(* &quot;-&quot;??_);_(@_)"/>
    </dxf>
    <dxf>
      <numFmt numFmtId="165" formatCode="_(* #,##0.0_);_(* \(#,##0.0\);_(* &quot;-&quot;??_);_(@_)"/>
    </dxf>
    <dxf>
      <numFmt numFmtId="164" formatCode="_(* #,##0_);_(* \(#,##0\);_(* &quot;-&quot;??_);_(@_)"/>
    </dxf>
    <dxf>
      <numFmt numFmtId="166" formatCode="0.0"/>
    </dxf>
    <dxf>
      <numFmt numFmtId="1" formatCode="0"/>
    </dxf>
    <dxf>
      <numFmt numFmtId="35" formatCode="_(* #,##0.00_);_(* \(#,##0.00\);_(* &quot;-&quot;??_);_(@_)"/>
    </dxf>
    <dxf>
      <numFmt numFmtId="165" formatCode="_(* #,##0.0_);_(* \(#,##0.0\);_(* &quot;-&quot;??_);_(@_)"/>
    </dxf>
    <dxf>
      <numFmt numFmtId="164" formatCode="_(* #,##0_);_(* \(#,##0\);_(* &quot;-&quot;??_);_(@_)"/>
    </dxf>
    <dxf>
      <numFmt numFmtId="166" formatCode="0.0"/>
    </dxf>
    <dxf>
      <numFmt numFmtId="1" formatCode="0"/>
    </dxf>
    <dxf>
      <numFmt numFmtId="35" formatCode="_(* #,##0.00_);_(* \(#,##0.00\);_(* &quot;-&quot;??_);_(@_)"/>
    </dxf>
    <dxf>
      <numFmt numFmtId="165" formatCode="_(* #,##0.0_);_(* \(#,##0.0\);_(* &quot;-&quot;??_);_(@_)"/>
    </dxf>
    <dxf>
      <numFmt numFmtId="164" formatCode="_(* #,##0_);_(* \(#,##0\);_(* &quot;-&quot;??_);_(@_)"/>
    </dxf>
    <dxf>
      <numFmt numFmtId="14" formatCode="0.00%"/>
    </dxf>
    <dxf>
      <numFmt numFmtId="166" formatCode="0.0"/>
    </dxf>
    <dxf>
      <numFmt numFmtId="1" formatCode="0"/>
    </dxf>
    <dxf>
      <numFmt numFmtId="35" formatCode="_(* #,##0.00_);_(* \(#,##0.00\);_(* &quot;-&quot;??_);_(@_)"/>
    </dxf>
    <dxf>
      <numFmt numFmtId="165" formatCode="_(* #,##0.0_);_(* \(#,##0.0\);_(* &quot;-&quot;??_);_(@_)"/>
    </dxf>
    <dxf>
      <numFmt numFmtId="164" formatCode="_(* #,##0_);_(* \(#,##0\);_(* &quot;-&quot;??_);_(@_)"/>
    </dxf>
    <dxf>
      <numFmt numFmtId="166" formatCode="0.0"/>
    </dxf>
    <dxf>
      <numFmt numFmtId="1" formatCode="0"/>
    </dxf>
    <dxf>
      <numFmt numFmtId="35" formatCode="_(* #,##0.00_);_(* \(#,##0.00\);_(* &quot;-&quot;??_);_(@_)"/>
    </dxf>
    <dxf>
      <numFmt numFmtId="165" formatCode="_(* #,##0.0_);_(* \(#,##0.0\);_(* &quot;-&quot;??_);_(@_)"/>
    </dxf>
    <dxf>
      <numFmt numFmtId="164" formatCode="_(* #,##0_);_(* \(#,##0\);_(* &quot;-&quot;??_);_(@_)"/>
    </dxf>
    <dxf>
      <font>
        <sz val="10"/>
      </font>
    </dxf>
    <dxf>
      <font>
        <sz val="10"/>
      </font>
    </dxf>
    <dxf>
      <font>
        <sz val="10"/>
      </font>
    </dxf>
    <dxf>
      <font>
        <sz val="10"/>
      </font>
    </dxf>
    <dxf>
      <font>
        <sz val="10"/>
      </font>
    </dxf>
    <dxf>
      <font>
        <sz val="10"/>
      </font>
    </dxf>
    <dxf>
      <font>
        <sz val="10"/>
      </font>
    </dxf>
    <dxf>
      <font>
        <sz val="10"/>
      </font>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165" formatCode="_(* #,##0.0_);_(* \(#,##0.0\);_(* &quot;-&quot;??_);_(@_)"/>
    </dxf>
    <dxf>
      <numFmt numFmtId="165" formatCode="_(* #,##0.0_);_(* \(#,##0.0\);_(* &quot;-&quot;??_);_(@_)"/>
    </dxf>
    <dxf>
      <numFmt numFmtId="165" formatCode="_(* #,##0.0_);_(* \(#,##0.0\);_(* &quot;-&quot;??_);_(@_)"/>
    </dxf>
    <dxf>
      <numFmt numFmtId="165" formatCode="_(* #,##0.0_);_(* \(#,##0.0\);_(* &quot;-&quot;??_);_(@_)"/>
    </dxf>
    <dxf>
      <numFmt numFmtId="165" formatCode="_(* #,##0.0_);_(* \(#,##0.0\);_(* &quot;-&quot;??_);_(@_)"/>
    </dxf>
    <dxf>
      <numFmt numFmtId="165" formatCode="_(* #,##0.0_);_(* \(#,##0.0\);_(* &quot;-&quot;??_);_(@_)"/>
    </dxf>
    <dxf>
      <numFmt numFmtId="165" formatCode="_(* #,##0.0_);_(* \(#,##0.0\);_(* &quot;-&quot;??_);_(@_)"/>
    </dxf>
    <dxf>
      <numFmt numFmtId="165" formatCode="_(* #,##0.0_);_(* \(#,##0.0\);_(* &quot;-&quot;??_);_(@_)"/>
    </dxf>
    <dxf>
      <numFmt numFmtId="165" formatCode="_(* #,##0.0_);_(* \(#,##0.0\);_(* &quot;-&quot;??_);_(@_)"/>
    </dxf>
    <dxf>
      <numFmt numFmtId="165" formatCode="_(* #,##0.0_);_(* \(#,##0.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6" formatCode="0.0"/>
    </dxf>
    <dxf>
      <numFmt numFmtId="1" formatCode="0"/>
    </dxf>
    <dxf>
      <numFmt numFmtId="35" formatCode="_(* #,##0.00_);_(* \(#,##0.00\);_(* &quot;-&quot;??_);_(@_)"/>
    </dxf>
    <dxf>
      <numFmt numFmtId="165" formatCode="_(* #,##0.0_);_(* \(#,##0.0\);_(* &quot;-&quot;??_);_(@_)"/>
    </dxf>
    <dxf>
      <numFmt numFmtId="164" formatCode="_(* #,##0_);_(* \(#,##0\);_(* &quot;-&quot;??_);_(@_)"/>
    </dxf>
    <dxf>
      <numFmt numFmtId="166" formatCode="0.0"/>
    </dxf>
    <dxf>
      <numFmt numFmtId="1" formatCode="0"/>
    </dxf>
    <dxf>
      <numFmt numFmtId="35" formatCode="_(* #,##0.00_);_(* \(#,##0.00\);_(* &quot;-&quot;??_);_(@_)"/>
    </dxf>
    <dxf>
      <numFmt numFmtId="165" formatCode="_(* #,##0.0_);_(* \(#,##0.0\);_(* &quot;-&quot;??_);_(@_)"/>
    </dxf>
    <dxf>
      <numFmt numFmtId="164" formatCode="_(* #,##0_);_(* \(#,##0\);_(* &quot;-&quot;??_);_(@_)"/>
    </dxf>
    <dxf>
      <numFmt numFmtId="14" formatCode="0.00%"/>
    </dxf>
    <dxf>
      <numFmt numFmtId="166" formatCode="0.0"/>
    </dxf>
    <dxf>
      <numFmt numFmtId="1" formatCode="0"/>
    </dxf>
    <dxf>
      <numFmt numFmtId="166" formatCode="0.0"/>
    </dxf>
    <dxf>
      <numFmt numFmtId="1" formatCode="0"/>
    </dxf>
    <dxf>
      <numFmt numFmtId="35" formatCode="_(* #,##0.00_);_(* \(#,##0.00\);_(* &quot;-&quot;??_);_(@_)"/>
    </dxf>
    <dxf>
      <numFmt numFmtId="165" formatCode="_(* #,##0.0_);_(* \(#,##0.0\);_(* &quot;-&quot;??_);_(@_)"/>
    </dxf>
    <dxf>
      <numFmt numFmtId="164" formatCode="_(* #,##0_);_(* \(#,##0\);_(* &quot;-&quot;??_);_(@_)"/>
    </dxf>
    <dxf>
      <font>
        <sz val="10"/>
      </font>
    </dxf>
    <dxf>
      <font>
        <sz val="10"/>
      </font>
    </dxf>
    <dxf>
      <font>
        <sz val="10"/>
      </font>
    </dxf>
    <dxf>
      <font>
        <sz val="10"/>
      </font>
    </dxf>
    <dxf>
      <font>
        <sz val="10"/>
      </font>
    </dxf>
    <dxf>
      <font>
        <sz val="10"/>
      </font>
    </dxf>
    <dxf>
      <font>
        <sz val="10"/>
      </font>
    </dxf>
    <dxf>
      <font>
        <sz val="10"/>
      </font>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165" formatCode="_(* #,##0.0_);_(* \(#,##0.0\);_(* &quot;-&quot;??_);_(@_)"/>
    </dxf>
    <dxf>
      <numFmt numFmtId="165" formatCode="_(* #,##0.0_);_(* \(#,##0.0\);_(* &quot;-&quot;??_);_(@_)"/>
    </dxf>
    <dxf>
      <numFmt numFmtId="165" formatCode="_(* #,##0.0_);_(* \(#,##0.0\);_(* &quot;-&quot;??_);_(@_)"/>
    </dxf>
    <dxf>
      <numFmt numFmtId="165" formatCode="_(* #,##0.0_);_(* \(#,##0.0\);_(* &quot;-&quot;??_);_(@_)"/>
    </dxf>
    <dxf>
      <numFmt numFmtId="165" formatCode="_(* #,##0.0_);_(* \(#,##0.0\);_(* &quot;-&quot;??_);_(@_)"/>
    </dxf>
    <dxf>
      <numFmt numFmtId="165" formatCode="_(* #,##0.0_);_(* \(#,##0.0\);_(* &quot;-&quot;??_);_(@_)"/>
    </dxf>
    <dxf>
      <numFmt numFmtId="165" formatCode="_(* #,##0.0_);_(* \(#,##0.0\);_(* &quot;-&quot;??_);_(@_)"/>
    </dxf>
    <dxf>
      <numFmt numFmtId="165" formatCode="_(* #,##0.0_);_(* \(#,##0.0\);_(* &quot;-&quot;??_);_(@_)"/>
    </dxf>
    <dxf>
      <numFmt numFmtId="165" formatCode="_(* #,##0.0_);_(* \(#,##0.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6" formatCode="0.0"/>
    </dxf>
    <dxf>
      <numFmt numFmtId="1" formatCode="0"/>
    </dxf>
    <dxf>
      <numFmt numFmtId="35" formatCode="_(* #,##0.00_);_(* \(#,##0.00\);_(* &quot;-&quot;??_);_(@_)"/>
    </dxf>
    <dxf>
      <numFmt numFmtId="165" formatCode="_(* #,##0.0_);_(* \(#,##0.0\);_(* &quot;-&quot;??_);_(@_)"/>
    </dxf>
    <dxf>
      <numFmt numFmtId="164" formatCode="_(* #,##0_);_(* \(#,##0\);_(* &quot;-&quot;??_);_(@_)"/>
    </dxf>
    <dxf>
      <numFmt numFmtId="166" formatCode="0.0"/>
    </dxf>
    <dxf>
      <numFmt numFmtId="1" formatCode="0"/>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165" formatCode="_(* #,##0.0_);_(* \(#,##0.0\);_(* &quot;-&quot;??_);_(@_)"/>
    </dxf>
    <dxf>
      <numFmt numFmtId="165" formatCode="_(* #,##0.0_);_(* \(#,##0.0\);_(* &quot;-&quot;??_);_(@_)"/>
    </dxf>
    <dxf>
      <numFmt numFmtId="165" formatCode="_(* #,##0.0_);_(* \(#,##0.0\);_(* &quot;-&quot;??_);_(@_)"/>
    </dxf>
    <dxf>
      <numFmt numFmtId="164" formatCode="_(* #,##0_);_(* \(#,##0\);_(* &quot;-&quot;??_);_(@_)"/>
    </dxf>
    <dxf>
      <numFmt numFmtId="164" formatCode="_(* #,##0_);_(* \(#,##0\);_(* &quot;-&quot;??_);_(@_)"/>
    </dxf>
    <dxf>
      <numFmt numFmtId="164" formatCode="_(* #,##0_);_(* \(#,##0\);_(* &quot;-&quot;??_);_(@_)"/>
    </dxf>
    <dxf>
      <numFmt numFmtId="166" formatCode="0.0"/>
    </dxf>
    <dxf>
      <numFmt numFmtId="1" formatCode="0"/>
    </dxf>
    <dxf>
      <numFmt numFmtId="35" formatCode="_(* #,##0.00_);_(* \(#,##0.00\);_(* &quot;-&quot;??_);_(@_)"/>
    </dxf>
    <dxf>
      <numFmt numFmtId="165" formatCode="_(* #,##0.0_);_(* \(#,##0.0\);_(* &quot;-&quot;??_);_(@_)"/>
    </dxf>
    <dxf>
      <numFmt numFmtId="164" formatCode="_(* #,##0_);_(* \(#,##0\);_(* &quot;-&quot;??_);_(@_)"/>
    </dxf>
    <dxf>
      <numFmt numFmtId="166" formatCode="0.0"/>
    </dxf>
    <dxf>
      <numFmt numFmtId="1" formatCode="0"/>
    </dxf>
    <dxf>
      <numFmt numFmtId="35" formatCode="_(* #,##0.00_);_(* \(#,##0.00\);_(* &quot;-&quot;??_);_(@_)"/>
    </dxf>
    <dxf>
      <numFmt numFmtId="165" formatCode="_(* #,##0.0_);_(* \(#,##0.0\);_(* &quot;-&quot;??_);_(@_)"/>
    </dxf>
    <dxf>
      <numFmt numFmtId="164" formatCode="_(* #,##0_);_(* \(#,##0\);_(* &quot;-&quot;??_);_(@_)"/>
    </dxf>
    <dxf>
      <font>
        <sz val="10"/>
      </font>
    </dxf>
    <dxf>
      <font>
        <sz val="10"/>
      </font>
    </dxf>
    <dxf>
      <font>
        <sz val="10"/>
      </font>
    </dxf>
    <dxf>
      <font>
        <sz val="10"/>
      </font>
    </dxf>
    <dxf>
      <font>
        <sz val="10"/>
      </font>
    </dxf>
    <dxf>
      <font>
        <sz val="10"/>
      </font>
    </dxf>
    <dxf>
      <font>
        <sz val="10"/>
      </font>
    </dxf>
    <dxf>
      <font>
        <sz val="10"/>
      </font>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165" formatCode="_(* #,##0.0_);_(* \(#,##0.0\);_(* &quot;-&quot;??_);_(@_)"/>
    </dxf>
    <dxf>
      <numFmt numFmtId="165" formatCode="_(* #,##0.0_);_(* \(#,##0.0\);_(* &quot;-&quot;??_);_(@_)"/>
    </dxf>
    <dxf>
      <numFmt numFmtId="165" formatCode="_(* #,##0.0_);_(* \(#,##0.0\);_(* &quot;-&quot;??_);_(@_)"/>
    </dxf>
    <dxf>
      <numFmt numFmtId="165" formatCode="_(* #,##0.0_);_(* \(#,##0.0\);_(* &quot;-&quot;??_);_(@_)"/>
    </dxf>
    <dxf>
      <numFmt numFmtId="165" formatCode="_(* #,##0.0_);_(* \(#,##0.0\);_(* &quot;-&quot;??_);_(@_)"/>
    </dxf>
    <dxf>
      <numFmt numFmtId="165" formatCode="_(* #,##0.0_);_(* \(#,##0.0\);_(* &quot;-&quot;??_);_(@_)"/>
    </dxf>
    <dxf>
      <numFmt numFmtId="165" formatCode="_(* #,##0.0_);_(* \(#,##0.0\);_(* &quot;-&quot;??_);_(@_)"/>
    </dxf>
    <dxf>
      <numFmt numFmtId="165" formatCode="_(* #,##0.0_);_(* \(#,##0.0\);_(* &quot;-&quot;??_);_(@_)"/>
    </dxf>
    <dxf>
      <numFmt numFmtId="165" formatCode="_(* #,##0.0_);_(* \(#,##0.0\);_(* &quot;-&quot;??_);_(@_)"/>
    </dxf>
    <dxf>
      <numFmt numFmtId="165" formatCode="_(* #,##0.0_);_(* \(#,##0.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6" formatCode="0.0"/>
    </dxf>
    <dxf>
      <numFmt numFmtId="1" formatCode="0"/>
    </dxf>
    <dxf>
      <numFmt numFmtId="35" formatCode="_(* #,##0.00_);_(* \(#,##0.00\);_(* &quot;-&quot;??_);_(@_)"/>
    </dxf>
    <dxf>
      <numFmt numFmtId="165" formatCode="_(* #,##0.0_);_(* \(#,##0.0\);_(* &quot;-&quot;??_);_(@_)"/>
    </dxf>
    <dxf>
      <numFmt numFmtId="164" formatCode="_(* #,##0_);_(* \(#,##0\);_(* &quot;-&quot;??_);_(@_)"/>
    </dxf>
    <dxf>
      <numFmt numFmtId="166" formatCode="0.0"/>
    </dxf>
    <dxf>
      <numFmt numFmtId="1" formatCode="0"/>
    </dxf>
    <dxf>
      <numFmt numFmtId="35" formatCode="_(* #,##0.00_);_(* \(#,##0.00\);_(* &quot;-&quot;??_);_(@_)"/>
    </dxf>
    <dxf>
      <numFmt numFmtId="165" formatCode="_(* #,##0.0_);_(* \(#,##0.0\);_(* &quot;-&quot;??_);_(@_)"/>
    </dxf>
    <dxf>
      <numFmt numFmtId="164" formatCode="_(* #,##0_);_(* \(#,##0\);_(* &quot;-&quot;??_);_(@_)"/>
    </dxf>
    <dxf>
      <font>
        <sz val="10"/>
      </font>
    </dxf>
    <dxf>
      <font>
        <sz val="10"/>
      </font>
    </dxf>
    <dxf>
      <font>
        <sz val="10"/>
      </font>
    </dxf>
    <dxf>
      <font>
        <sz val="10"/>
      </font>
    </dxf>
    <dxf>
      <font>
        <sz val="10"/>
      </font>
    </dxf>
    <dxf>
      <font>
        <sz val="10"/>
      </font>
    </dxf>
    <dxf>
      <font>
        <sz val="10"/>
      </font>
    </dxf>
    <dxf>
      <font>
        <sz val="10"/>
      </font>
    </dxf>
    <dxf>
      <font>
        <sz val="10"/>
      </font>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14" formatCode="0.00%"/>
    </dxf>
    <dxf>
      <numFmt numFmtId="166" formatCode="0.0"/>
    </dxf>
    <dxf>
      <numFmt numFmtId="1" formatCode="0"/>
    </dxf>
    <dxf>
      <numFmt numFmtId="35" formatCode="_(* #,##0.00_);_(* \(#,##0.00\);_(* &quot;-&quot;??_);_(@_)"/>
    </dxf>
    <dxf>
      <numFmt numFmtId="165" formatCode="_(* #,##0.0_);_(* \(#,##0.0\);_(* &quot;-&quot;??_);_(@_)"/>
    </dxf>
    <dxf>
      <numFmt numFmtId="164" formatCode="_(* #,##0_);_(* \(#,##0\);_(* &quot;-&quot;??_);_(@_)"/>
    </dxf>
    <dxf>
      <numFmt numFmtId="166" formatCode="0.0"/>
    </dxf>
    <dxf>
      <numFmt numFmtId="1" formatCode="0"/>
    </dxf>
    <dxf>
      <numFmt numFmtId="166" formatCode="0.0"/>
    </dxf>
    <dxf>
      <numFmt numFmtId="1" formatCode="0"/>
    </dxf>
    <dxf>
      <numFmt numFmtId="35" formatCode="_(* #,##0.00_);_(* \(#,##0.00\);_(* &quot;-&quot;??_);_(@_)"/>
    </dxf>
    <dxf>
      <numFmt numFmtId="165" formatCode="_(* #,##0.0_);_(* \(#,##0.0\);_(* &quot;-&quot;??_);_(@_)"/>
    </dxf>
    <dxf>
      <numFmt numFmtId="164" formatCode="_(* #,##0_);_(* \(#,##0\);_(* &quot;-&quot;??_);_(@_)"/>
    </dxf>
    <dxf>
      <numFmt numFmtId="166" formatCode="0.0"/>
    </dxf>
    <dxf>
      <numFmt numFmtId="1" formatCode="0"/>
    </dxf>
    <dxf>
      <numFmt numFmtId="35" formatCode="_(* #,##0.00_);_(* \(#,##0.00\);_(* &quot;-&quot;??_);_(@_)"/>
    </dxf>
    <dxf>
      <numFmt numFmtId="165" formatCode="_(* #,##0.0_);_(* \(#,##0.0\);_(* &quot;-&quot;??_);_(@_)"/>
    </dxf>
    <dxf>
      <numFmt numFmtId="164" formatCode="_(* #,##0_);_(* \(#,##0\);_(* &quot;-&quot;??_);_(@_)"/>
    </dxf>
    <dxf>
      <font>
        <sz val="10"/>
      </font>
    </dxf>
    <dxf>
      <font>
        <sz val="10"/>
      </font>
    </dxf>
    <dxf>
      <font>
        <sz val="10"/>
      </font>
    </dxf>
    <dxf>
      <font>
        <sz val="10"/>
      </font>
    </dxf>
    <dxf>
      <font>
        <sz val="10"/>
      </font>
    </dxf>
    <dxf>
      <font>
        <sz val="10"/>
      </font>
    </dxf>
    <dxf>
      <font>
        <sz val="10"/>
      </font>
    </dxf>
    <dxf>
      <font>
        <sz val="10"/>
      </font>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165" formatCode="_(* #,##0.0_);_(* \(#,##0.0\);_(* &quot;-&quot;??_);_(@_)"/>
    </dxf>
    <dxf>
      <numFmt numFmtId="165" formatCode="_(* #,##0.0_);_(* \(#,##0.0\);_(* &quot;-&quot;??_);_(@_)"/>
    </dxf>
    <dxf>
      <numFmt numFmtId="165" formatCode="_(* #,##0.0_);_(* \(#,##0.0\);_(* &quot;-&quot;??_);_(@_)"/>
    </dxf>
    <dxf>
      <numFmt numFmtId="165" formatCode="_(* #,##0.0_);_(* \(#,##0.0\);_(* &quot;-&quot;??_);_(@_)"/>
    </dxf>
    <dxf>
      <numFmt numFmtId="165" formatCode="_(* #,##0.0_);_(* \(#,##0.0\);_(* &quot;-&quot;??_);_(@_)"/>
    </dxf>
    <dxf>
      <numFmt numFmtId="165" formatCode="_(* #,##0.0_);_(* \(#,##0.0\);_(* &quot;-&quot;??_);_(@_)"/>
    </dxf>
    <dxf>
      <numFmt numFmtId="165" formatCode="_(* #,##0.0_);_(* \(#,##0.0\);_(* &quot;-&quot;??_);_(@_)"/>
    </dxf>
    <dxf>
      <numFmt numFmtId="165" formatCode="_(* #,##0.0_);_(* \(#,##0.0\);_(* &quot;-&quot;??_);_(@_)"/>
    </dxf>
    <dxf>
      <numFmt numFmtId="165" formatCode="_(* #,##0.0_);_(* \(#,##0.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6" formatCode="0.0"/>
    </dxf>
    <dxf>
      <numFmt numFmtId="1" formatCode="0"/>
    </dxf>
    <dxf>
      <numFmt numFmtId="14" formatCode="0.00%"/>
    </dxf>
    <dxf>
      <numFmt numFmtId="166" formatCode="0.0"/>
    </dxf>
    <dxf>
      <numFmt numFmtId="1" formatCode="0"/>
    </dxf>
    <dxf>
      <numFmt numFmtId="14" formatCode="0.00%"/>
    </dxf>
    <dxf>
      <numFmt numFmtId="35" formatCode="_(* #,##0.00_);_(* \(#,##0.00\);_(* &quot;-&quot;??_);_(@_)"/>
    </dxf>
    <dxf>
      <numFmt numFmtId="165" formatCode="_(* #,##0.0_);_(* \(#,##0.0\);_(* &quot;-&quot;??_);_(@_)"/>
    </dxf>
    <dxf>
      <numFmt numFmtId="164" formatCode="_(* #,##0_);_(* \(#,##0\);_(* &quot;-&quot;??_);_(@_)"/>
    </dxf>
    <dxf>
      <numFmt numFmtId="0" formatCode="General"/>
    </dxf>
    <dxf>
      <numFmt numFmtId="2" formatCode="0.00"/>
    </dxf>
    <dxf>
      <numFmt numFmtId="166" formatCode="0.0"/>
    </dxf>
    <dxf>
      <numFmt numFmtId="1" formatCode="0"/>
    </dxf>
    <dxf>
      <numFmt numFmtId="166" formatCode="0.0"/>
    </dxf>
    <dxf>
      <numFmt numFmtId="1" formatCode="0"/>
    </dxf>
    <dxf>
      <numFmt numFmtId="35" formatCode="_(* #,##0.00_);_(* \(#,##0.00\);_(* &quot;-&quot;??_);_(@_)"/>
    </dxf>
    <dxf>
      <numFmt numFmtId="165" formatCode="_(* #,##0.0_);_(* \(#,##0.0\);_(* &quot;-&quot;??_);_(@_)"/>
    </dxf>
    <dxf>
      <numFmt numFmtId="164" formatCode="_(* #,##0_);_(* \(#,##0\);_(* &quot;-&quot;??_);_(@_)"/>
    </dxf>
    <dxf>
      <font>
        <sz val="10"/>
      </font>
    </dxf>
    <dxf>
      <font>
        <sz val="10"/>
      </font>
    </dxf>
    <dxf>
      <font>
        <sz val="10"/>
      </font>
    </dxf>
    <dxf>
      <font>
        <sz val="10"/>
      </font>
    </dxf>
    <dxf>
      <font>
        <sz val="10"/>
      </font>
    </dxf>
    <dxf>
      <font>
        <sz val="10"/>
      </font>
    </dxf>
    <dxf>
      <font>
        <sz val="10"/>
      </font>
    </dxf>
    <dxf>
      <font>
        <sz val="10"/>
      </font>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165" formatCode="_(* #,##0.0_);_(* \(#,##0.0\);_(* &quot;-&quot;??_);_(@_)"/>
    </dxf>
    <dxf>
      <numFmt numFmtId="165" formatCode="_(* #,##0.0_);_(* \(#,##0.0\);_(* &quot;-&quot;??_);_(@_)"/>
    </dxf>
    <dxf>
      <numFmt numFmtId="165" formatCode="_(* #,##0.0_);_(* \(#,##0.0\);_(* &quot;-&quot;??_);_(@_)"/>
    </dxf>
    <dxf>
      <numFmt numFmtId="165" formatCode="_(* #,##0.0_);_(* \(#,##0.0\);_(* &quot;-&quot;??_);_(@_)"/>
    </dxf>
    <dxf>
      <numFmt numFmtId="165" formatCode="_(* #,##0.0_);_(* \(#,##0.0\);_(* &quot;-&quot;??_);_(@_)"/>
    </dxf>
    <dxf>
      <numFmt numFmtId="165" formatCode="_(* #,##0.0_);_(* \(#,##0.0\);_(* &quot;-&quot;??_);_(@_)"/>
    </dxf>
    <dxf>
      <numFmt numFmtId="165" formatCode="_(* #,##0.0_);_(* \(#,##0.0\);_(* &quot;-&quot;??_);_(@_)"/>
    </dxf>
    <dxf>
      <numFmt numFmtId="165" formatCode="_(* #,##0.0_);_(* \(#,##0.0\);_(* &quot;-&quot;??_);_(@_)"/>
    </dxf>
    <dxf>
      <numFmt numFmtId="165" formatCode="_(* #,##0.0_);_(* \(#,##0.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2" formatCode="0.00"/>
    </dxf>
    <dxf>
      <numFmt numFmtId="166" formatCode="0.0"/>
    </dxf>
    <dxf>
      <numFmt numFmtId="1" formatCode="0"/>
    </dxf>
    <dxf>
      <numFmt numFmtId="166" formatCode="0.0"/>
    </dxf>
    <dxf>
      <numFmt numFmtId="1" formatCode="0"/>
    </dxf>
    <dxf>
      <numFmt numFmtId="35" formatCode="_(* #,##0.00_);_(* \(#,##0.00\);_(* &quot;-&quot;??_);_(@_)"/>
    </dxf>
    <dxf>
      <numFmt numFmtId="165" formatCode="_(* #,##0.0_);_(* \(#,##0.0\);_(* &quot;-&quot;??_);_(@_)"/>
    </dxf>
    <dxf>
      <numFmt numFmtId="164" formatCode="_(* #,##0_);_(* \(#,##0\);_(* &quot;-&quot;??_);_(@_)"/>
    </dxf>
    <dxf>
      <numFmt numFmtId="166" formatCode="0.0"/>
    </dxf>
    <dxf>
      <numFmt numFmtId="1" formatCode="0"/>
    </dxf>
    <dxf>
      <numFmt numFmtId="35" formatCode="_(* #,##0.00_);_(* \(#,##0.00\);_(* &quot;-&quot;??_);_(@_)"/>
    </dxf>
    <dxf>
      <numFmt numFmtId="165" formatCode="_(* #,##0.0_);_(* \(#,##0.0\);_(* &quot;-&quot;??_);_(@_)"/>
    </dxf>
    <dxf>
      <numFmt numFmtId="164" formatCode="_(* #,##0_);_(* \(#,##0\);_(* &quot;-&quot;??_);_(@_)"/>
    </dxf>
    <dxf>
      <numFmt numFmtId="166" formatCode="0.0"/>
    </dxf>
    <dxf>
      <numFmt numFmtId="1" formatCode="0"/>
    </dxf>
    <dxf>
      <numFmt numFmtId="35" formatCode="_(* #,##0.00_);_(* \(#,##0.00\);_(* &quot;-&quot;??_);_(@_)"/>
    </dxf>
    <dxf>
      <numFmt numFmtId="165" formatCode="_(* #,##0.0_);_(* \(#,##0.0\);_(* &quot;-&quot;??_);_(@_)"/>
    </dxf>
    <dxf>
      <numFmt numFmtId="164" formatCode="_(* #,##0_);_(* \(#,##0\);_(* &quot;-&quot;??_);_(@_)"/>
    </dxf>
    <dxf>
      <numFmt numFmtId="14" formatCode="0.00%"/>
    </dxf>
    <dxf>
      <numFmt numFmtId="166" formatCode="0.0"/>
    </dxf>
    <dxf>
      <numFmt numFmtId="1" formatCode="0"/>
    </dxf>
    <dxf>
      <numFmt numFmtId="35" formatCode="_(* #,##0.00_);_(* \(#,##0.00\);_(* &quot;-&quot;??_);_(@_)"/>
    </dxf>
    <dxf>
      <numFmt numFmtId="165" formatCode="_(* #,##0.0_);_(* \(#,##0.0\);_(* &quot;-&quot;??_);_(@_)"/>
    </dxf>
    <dxf>
      <numFmt numFmtId="164" formatCode="_(* #,##0_);_(* \(#,##0\);_(* &quot;-&quot;??_);_(@_)"/>
    </dxf>
    <dxf>
      <numFmt numFmtId="166" formatCode="0.0"/>
    </dxf>
    <dxf>
      <numFmt numFmtId="1" formatCode="0"/>
    </dxf>
    <dxf>
      <numFmt numFmtId="35" formatCode="_(* #,##0.00_);_(* \(#,##0.00\);_(* &quot;-&quot;??_);_(@_)"/>
    </dxf>
    <dxf>
      <numFmt numFmtId="165" formatCode="_(* #,##0.0_);_(* \(#,##0.0\);_(* &quot;-&quot;??_);_(@_)"/>
    </dxf>
    <dxf>
      <numFmt numFmtId="164" formatCode="_(* #,##0_);_(* \(#,##0\);_(* &quot;-&quot;??_);_(@_)"/>
    </dxf>
    <dxf>
      <font>
        <sz val="10"/>
      </font>
    </dxf>
    <dxf>
      <font>
        <sz val="10"/>
      </font>
    </dxf>
    <dxf>
      <font>
        <sz val="10"/>
      </font>
    </dxf>
    <dxf>
      <font>
        <sz val="10"/>
      </font>
    </dxf>
    <dxf>
      <font>
        <sz val="10"/>
      </font>
    </dxf>
    <dxf>
      <font>
        <sz val="10"/>
      </font>
    </dxf>
    <dxf>
      <font>
        <sz val="10"/>
      </font>
    </dxf>
    <dxf>
      <font>
        <sz val="10"/>
      </font>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165" formatCode="_(* #,##0.0_);_(* \(#,##0.0\);_(* &quot;-&quot;??_);_(@_)"/>
    </dxf>
    <dxf>
      <numFmt numFmtId="165" formatCode="_(* #,##0.0_);_(* \(#,##0.0\);_(* &quot;-&quot;??_);_(@_)"/>
    </dxf>
    <dxf>
      <numFmt numFmtId="165" formatCode="_(* #,##0.0_);_(* \(#,##0.0\);_(* &quot;-&quot;??_);_(@_)"/>
    </dxf>
    <dxf>
      <numFmt numFmtId="165" formatCode="_(* #,##0.0_);_(* \(#,##0.0\);_(* &quot;-&quot;??_);_(@_)"/>
    </dxf>
    <dxf>
      <numFmt numFmtId="165" formatCode="_(* #,##0.0_);_(* \(#,##0.0\);_(* &quot;-&quot;??_);_(@_)"/>
    </dxf>
    <dxf>
      <numFmt numFmtId="165" formatCode="_(* #,##0.0_);_(* \(#,##0.0\);_(* &quot;-&quot;??_);_(@_)"/>
    </dxf>
    <dxf>
      <numFmt numFmtId="165" formatCode="_(* #,##0.0_);_(* \(#,##0.0\);_(* &quot;-&quot;??_);_(@_)"/>
    </dxf>
    <dxf>
      <numFmt numFmtId="165" formatCode="_(* #,##0.0_);_(* \(#,##0.0\);_(* &quot;-&quot;??_);_(@_)"/>
    </dxf>
    <dxf>
      <numFmt numFmtId="165" formatCode="_(* #,##0.0_);_(* \(#,##0.0\);_(* &quot;-&quot;??_);_(@_)"/>
    </dxf>
    <dxf>
      <numFmt numFmtId="165" formatCode="_(* #,##0.0_);_(* \(#,##0.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6" formatCode="0.0"/>
    </dxf>
    <dxf>
      <numFmt numFmtId="1" formatCode="0"/>
    </dxf>
    <dxf>
      <numFmt numFmtId="35" formatCode="_(* #,##0.00_);_(* \(#,##0.00\);_(* &quot;-&quot;??_);_(@_)"/>
    </dxf>
    <dxf>
      <numFmt numFmtId="165" formatCode="_(* #,##0.0_);_(* \(#,##0.0\);_(* &quot;-&quot;??_);_(@_)"/>
    </dxf>
    <dxf>
      <numFmt numFmtId="164" formatCode="_(* #,##0_);_(* \(#,##0\);_(* &quot;-&quot;??_);_(@_)"/>
    </dxf>
    <dxf>
      <numFmt numFmtId="166" formatCode="0.0"/>
    </dxf>
    <dxf>
      <numFmt numFmtId="1" formatCode="0"/>
    </dxf>
    <dxf>
      <numFmt numFmtId="35" formatCode="_(* #,##0.00_);_(* \(#,##0.00\);_(* &quot;-&quot;??_);_(@_)"/>
    </dxf>
    <dxf>
      <numFmt numFmtId="165" formatCode="_(* #,##0.0_);_(* \(#,##0.0\);_(* &quot;-&quot;??_);_(@_)"/>
    </dxf>
    <dxf>
      <numFmt numFmtId="164" formatCode="_(* #,##0_);_(* \(#,##0\);_(* &quot;-&quot;??_);_(@_)"/>
    </dxf>
    <dxf>
      <numFmt numFmtId="14" formatCode="0.00%"/>
    </dxf>
    <dxf>
      <numFmt numFmtId="166" formatCode="0.0"/>
    </dxf>
    <dxf>
      <numFmt numFmtId="1" formatCode="0"/>
    </dxf>
    <dxf>
      <numFmt numFmtId="166" formatCode="0.0"/>
    </dxf>
    <dxf>
      <numFmt numFmtId="1" formatCode="0"/>
    </dxf>
    <dxf>
      <numFmt numFmtId="35" formatCode="_(* #,##0.00_);_(* \(#,##0.00\);_(* &quot;-&quot;??_);_(@_)"/>
    </dxf>
    <dxf>
      <numFmt numFmtId="165" formatCode="_(* #,##0.0_);_(* \(#,##0.0\);_(* &quot;-&quot;??_);_(@_)"/>
    </dxf>
    <dxf>
      <numFmt numFmtId="164" formatCode="_(* #,##0_);_(* \(#,##0\);_(* &quot;-&quot;??_);_(@_)"/>
    </dxf>
    <dxf>
      <font>
        <sz val="10"/>
      </font>
    </dxf>
    <dxf>
      <font>
        <sz val="10"/>
      </font>
    </dxf>
    <dxf>
      <font>
        <sz val="10"/>
      </font>
    </dxf>
    <dxf>
      <font>
        <sz val="10"/>
      </font>
    </dxf>
    <dxf>
      <font>
        <sz val="10"/>
      </font>
    </dxf>
    <dxf>
      <font>
        <sz val="10"/>
      </font>
    </dxf>
    <dxf>
      <font>
        <sz val="10"/>
      </font>
    </dxf>
    <dxf>
      <font>
        <sz val="10"/>
      </font>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165" formatCode="_(* #,##0.0_);_(* \(#,##0.0\);_(* &quot;-&quot;??_);_(@_)"/>
    </dxf>
    <dxf>
      <numFmt numFmtId="165" formatCode="_(* #,##0.0_);_(* \(#,##0.0\);_(* &quot;-&quot;??_);_(@_)"/>
    </dxf>
    <dxf>
      <numFmt numFmtId="165" formatCode="_(* #,##0.0_);_(* \(#,##0.0\);_(* &quot;-&quot;??_);_(@_)"/>
    </dxf>
    <dxf>
      <numFmt numFmtId="165" formatCode="_(* #,##0.0_);_(* \(#,##0.0\);_(* &quot;-&quot;??_);_(@_)"/>
    </dxf>
    <dxf>
      <numFmt numFmtId="165" formatCode="_(* #,##0.0_);_(* \(#,##0.0\);_(* &quot;-&quot;??_);_(@_)"/>
    </dxf>
    <dxf>
      <numFmt numFmtId="165" formatCode="_(* #,##0.0_);_(* \(#,##0.0\);_(* &quot;-&quot;??_);_(@_)"/>
    </dxf>
    <dxf>
      <numFmt numFmtId="165" formatCode="_(* #,##0.0_);_(* \(#,##0.0\);_(* &quot;-&quot;??_);_(@_)"/>
    </dxf>
    <dxf>
      <numFmt numFmtId="165" formatCode="_(* #,##0.0_);_(* \(#,##0.0\);_(* &quot;-&quot;??_);_(@_)"/>
    </dxf>
    <dxf>
      <numFmt numFmtId="165" formatCode="_(* #,##0.0_);_(* \(#,##0.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6" formatCode="0.0"/>
    </dxf>
    <dxf>
      <numFmt numFmtId="1" formatCode="0"/>
    </dxf>
    <dxf>
      <numFmt numFmtId="35" formatCode="_(* #,##0.00_);_(* \(#,##0.00\);_(* &quot;-&quot;??_);_(@_)"/>
    </dxf>
    <dxf>
      <numFmt numFmtId="165" formatCode="_(* #,##0.0_);_(* \(#,##0.0\);_(* &quot;-&quot;??_);_(@_)"/>
    </dxf>
    <dxf>
      <numFmt numFmtId="164" formatCode="_(* #,##0_);_(* \(#,##0\);_(* &quot;-&quot;??_);_(@_)"/>
    </dxf>
    <dxf>
      <font>
        <sz val="10"/>
      </font>
    </dxf>
    <dxf>
      <font>
        <sz val="10"/>
      </font>
    </dxf>
    <dxf>
      <font>
        <sz val="10"/>
      </font>
    </dxf>
    <dxf>
      <font>
        <sz val="10"/>
      </font>
    </dxf>
    <dxf>
      <font>
        <sz val="10"/>
      </font>
    </dxf>
    <dxf>
      <font>
        <sz val="10"/>
      </font>
    </dxf>
    <dxf>
      <font>
        <sz val="10"/>
      </font>
    </dxf>
    <dxf>
      <font>
        <sz val="10"/>
      </font>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165" formatCode="_(* #,##0.0_);_(* \(#,##0.0\);_(* &quot;-&quot;??_);_(@_)"/>
    </dxf>
    <dxf>
      <numFmt numFmtId="165" formatCode="_(* #,##0.0_);_(* \(#,##0.0\);_(* &quot;-&quot;??_);_(@_)"/>
    </dxf>
    <dxf>
      <numFmt numFmtId="165" formatCode="_(* #,##0.0_);_(* \(#,##0.0\);_(* &quot;-&quot;??_);_(@_)"/>
    </dxf>
    <dxf>
      <numFmt numFmtId="165" formatCode="_(* #,##0.0_);_(* \(#,##0.0\);_(* &quot;-&quot;??_);_(@_)"/>
    </dxf>
    <dxf>
      <numFmt numFmtId="165" formatCode="_(* #,##0.0_);_(* \(#,##0.0\);_(* &quot;-&quot;??_);_(@_)"/>
    </dxf>
    <dxf>
      <numFmt numFmtId="165" formatCode="_(* #,##0.0_);_(* \(#,##0.0\);_(* &quot;-&quot;??_);_(@_)"/>
    </dxf>
    <dxf>
      <numFmt numFmtId="165" formatCode="_(* #,##0.0_);_(* \(#,##0.0\);_(* &quot;-&quot;??_);_(@_)"/>
    </dxf>
    <dxf>
      <numFmt numFmtId="165" formatCode="_(* #,##0.0_);_(* \(#,##0.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6" formatCode="0.0"/>
    </dxf>
    <dxf>
      <numFmt numFmtId="1" formatCode="0"/>
    </dxf>
    <dxf>
      <numFmt numFmtId="35" formatCode="_(* #,##0.00_);_(* \(#,##0.00\);_(* &quot;-&quot;??_);_(@_)"/>
    </dxf>
    <dxf>
      <numFmt numFmtId="165" formatCode="_(* #,##0.0_);_(* \(#,##0.0\);_(* &quot;-&quot;??_);_(@_)"/>
    </dxf>
    <dxf>
      <numFmt numFmtId="164" formatCode="_(* #,##0_);_(* \(#,##0\);_(* &quot;-&quot;??_);_(@_)"/>
    </dxf>
    <dxf>
      <numFmt numFmtId="166" formatCode="0.0"/>
    </dxf>
    <dxf>
      <numFmt numFmtId="1" formatCode="0"/>
    </dxf>
    <dxf>
      <numFmt numFmtId="35" formatCode="_(* #,##0.00_);_(* \(#,##0.00\);_(* &quot;-&quot;??_);_(@_)"/>
    </dxf>
    <dxf>
      <numFmt numFmtId="165" formatCode="_(* #,##0.0_);_(* \(#,##0.0\);_(* &quot;-&quot;??_);_(@_)"/>
    </dxf>
    <dxf>
      <numFmt numFmtId="164" formatCode="_(* #,##0_);_(* \(#,##0\);_(* &quot;-&quot;??_);_(@_)"/>
    </dxf>
    <dxf>
      <numFmt numFmtId="166" formatCode="0.0"/>
    </dxf>
    <dxf>
      <numFmt numFmtId="1" formatCode="0"/>
    </dxf>
    <dxf>
      <numFmt numFmtId="166" formatCode="0.0"/>
    </dxf>
    <dxf>
      <numFmt numFmtId="1" formatCode="0"/>
    </dxf>
    <dxf>
      <numFmt numFmtId="35" formatCode="_(* #,##0.00_);_(* \(#,##0.00\);_(* &quot;-&quot;??_);_(@_)"/>
    </dxf>
    <dxf>
      <numFmt numFmtId="165" formatCode="_(* #,##0.0_);_(* \(#,##0.0\);_(* &quot;-&quot;??_);_(@_)"/>
    </dxf>
    <dxf>
      <numFmt numFmtId="164" formatCode="_(* #,##0_);_(* \(#,##0\);_(* &quot;-&quot;??_);_(@_)"/>
    </dxf>
    <dxf>
      <numFmt numFmtId="35" formatCode="_(* #,##0.00_);_(* \(#,##0.00\);_(* &quot;-&quot;??_);_(@_)"/>
    </dxf>
    <dxf>
      <numFmt numFmtId="165" formatCode="_(* #,##0.0_);_(* \(#,##0.0\);_(* &quot;-&quot;??_);_(@_)"/>
    </dxf>
    <dxf>
      <numFmt numFmtId="164" formatCode="_(* #,##0_);_(* \(#,##0\);_(* &quot;-&quot;??_);_(@_)"/>
    </dxf>
    <dxf>
      <numFmt numFmtId="166" formatCode="0.0"/>
    </dxf>
    <dxf>
      <numFmt numFmtId="1" formatCode="0"/>
    </dxf>
    <dxf>
      <numFmt numFmtId="35" formatCode="_(* #,##0.00_);_(* \(#,##0.00\);_(* &quot;-&quot;??_);_(@_)"/>
    </dxf>
    <dxf>
      <numFmt numFmtId="165" formatCode="_(* #,##0.0_);_(* \(#,##0.0\);_(* &quot;-&quot;??_);_(@_)"/>
    </dxf>
    <dxf>
      <numFmt numFmtId="164" formatCode="_(* #,##0_);_(* \(#,##0\);_(* &quot;-&quot;??_);_(@_)"/>
    </dxf>
    <dxf>
      <numFmt numFmtId="14" formatCode="0.00%"/>
    </dxf>
    <dxf>
      <numFmt numFmtId="166" formatCode="0.0"/>
    </dxf>
    <dxf>
      <numFmt numFmtId="1" formatCode="0"/>
    </dxf>
    <dxf>
      <numFmt numFmtId="166" formatCode="0.0"/>
    </dxf>
    <dxf>
      <numFmt numFmtId="1" formatCode="0"/>
    </dxf>
    <dxf>
      <numFmt numFmtId="35" formatCode="_(* #,##0.00_);_(* \(#,##0.00\);_(* &quot;-&quot;??_);_(@_)"/>
    </dxf>
    <dxf>
      <numFmt numFmtId="165" formatCode="_(* #,##0.0_);_(* \(#,##0.0\);_(* &quot;-&quot;??_);_(@_)"/>
    </dxf>
    <dxf>
      <numFmt numFmtId="164" formatCode="_(* #,##0_);_(* \(#,##0\);_(* &quot;-&quot;??_);_(@_)"/>
    </dxf>
    <dxf>
      <font>
        <sz val="10"/>
      </font>
    </dxf>
    <dxf>
      <font>
        <sz val="10"/>
      </font>
    </dxf>
    <dxf>
      <font>
        <sz val="10"/>
      </font>
    </dxf>
    <dxf>
      <font>
        <sz val="10"/>
      </font>
    </dxf>
    <dxf>
      <font>
        <sz val="10"/>
      </font>
    </dxf>
    <dxf>
      <font>
        <sz val="10"/>
      </font>
    </dxf>
    <dxf>
      <font>
        <sz val="10"/>
      </font>
    </dxf>
    <dxf>
      <font>
        <sz val="10"/>
      </font>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165" formatCode="_(* #,##0.0_);_(* \(#,##0.0\);_(* &quot;-&quot;??_);_(@_)"/>
    </dxf>
    <dxf>
      <numFmt numFmtId="165" formatCode="_(* #,##0.0_);_(* \(#,##0.0\);_(* &quot;-&quot;??_);_(@_)"/>
    </dxf>
    <dxf>
      <numFmt numFmtId="165" formatCode="_(* #,##0.0_);_(* \(#,##0.0\);_(* &quot;-&quot;??_);_(@_)"/>
    </dxf>
    <dxf>
      <numFmt numFmtId="165" formatCode="_(* #,##0.0_);_(* \(#,##0.0\);_(* &quot;-&quot;??_);_(@_)"/>
    </dxf>
    <dxf>
      <numFmt numFmtId="165" formatCode="_(* #,##0.0_);_(* \(#,##0.0\);_(* &quot;-&quot;??_);_(@_)"/>
    </dxf>
    <dxf>
      <numFmt numFmtId="165" formatCode="_(* #,##0.0_);_(* \(#,##0.0\);_(* &quot;-&quot;??_);_(@_)"/>
    </dxf>
    <dxf>
      <numFmt numFmtId="165" formatCode="_(* #,##0.0_);_(* \(#,##0.0\);_(* &quot;-&quot;??_);_(@_)"/>
    </dxf>
    <dxf>
      <numFmt numFmtId="165" formatCode="_(* #,##0.0_);_(* \(#,##0.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6" formatCode="0.0"/>
    </dxf>
    <dxf>
      <numFmt numFmtId="1" formatCode="0"/>
    </dxf>
    <dxf>
      <numFmt numFmtId="35" formatCode="_(* #,##0.00_);_(* \(#,##0.00\);_(* &quot;-&quot;??_);_(@_)"/>
    </dxf>
    <dxf>
      <numFmt numFmtId="165" formatCode="_(* #,##0.0_);_(* \(#,##0.0\);_(* &quot;-&quot;??_);_(@_)"/>
    </dxf>
    <dxf>
      <numFmt numFmtId="164" formatCode="_(* #,##0_);_(* \(#,##0\);_(* &quot;-&quot;??_);_(@_)"/>
    </dxf>
    <dxf>
      <numFmt numFmtId="166" formatCode="0.0"/>
    </dxf>
    <dxf>
      <numFmt numFmtId="1" formatCode="0"/>
    </dxf>
    <dxf>
      <numFmt numFmtId="35" formatCode="_(* #,##0.00_);_(* \(#,##0.00\);_(* &quot;-&quot;??_);_(@_)"/>
    </dxf>
    <dxf>
      <numFmt numFmtId="165" formatCode="_(* #,##0.0_);_(* \(#,##0.0\);_(* &quot;-&quot;??_);_(@_)"/>
    </dxf>
    <dxf>
      <numFmt numFmtId="164" formatCode="_(* #,##0_);_(* \(#,##0\);_(* &quot;-&quot;??_);_(@_)"/>
    </dxf>
    <dxf>
      <font>
        <sz val="10"/>
      </font>
    </dxf>
    <dxf>
      <font>
        <sz val="10"/>
      </font>
    </dxf>
    <dxf>
      <font>
        <sz val="10"/>
      </font>
    </dxf>
    <dxf>
      <font>
        <sz val="10"/>
      </font>
    </dxf>
    <dxf>
      <font>
        <sz val="10"/>
      </font>
    </dxf>
    <dxf>
      <font>
        <sz val="10"/>
      </font>
    </dxf>
    <dxf>
      <font>
        <sz val="10"/>
      </font>
    </dxf>
    <dxf>
      <font>
        <sz val="10"/>
      </font>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165" formatCode="_(* #,##0.0_);_(* \(#,##0.0\);_(* &quot;-&quot;??_);_(@_)"/>
    </dxf>
    <dxf>
      <numFmt numFmtId="165" formatCode="_(* #,##0.0_);_(* \(#,##0.0\);_(* &quot;-&quot;??_);_(@_)"/>
    </dxf>
    <dxf>
      <numFmt numFmtId="165" formatCode="_(* #,##0.0_);_(* \(#,##0.0\);_(* &quot;-&quot;??_);_(@_)"/>
    </dxf>
    <dxf>
      <numFmt numFmtId="165" formatCode="_(* #,##0.0_);_(* \(#,##0.0\);_(* &quot;-&quot;??_);_(@_)"/>
    </dxf>
    <dxf>
      <numFmt numFmtId="165" formatCode="_(* #,##0.0_);_(* \(#,##0.0\);_(* &quot;-&quot;??_);_(@_)"/>
    </dxf>
    <dxf>
      <numFmt numFmtId="165" formatCode="_(* #,##0.0_);_(* \(#,##0.0\);_(* &quot;-&quot;??_);_(@_)"/>
    </dxf>
    <dxf>
      <numFmt numFmtId="165" formatCode="_(* #,##0.0_);_(* \(#,##0.0\);_(* &quot;-&quot;??_);_(@_)"/>
    </dxf>
    <dxf>
      <numFmt numFmtId="165" formatCode="_(* #,##0.0_);_(* \(#,##0.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6" formatCode="0.0"/>
    </dxf>
    <dxf>
      <numFmt numFmtId="1" formatCode="0"/>
    </dxf>
    <dxf>
      <numFmt numFmtId="35" formatCode="_(* #,##0.00_);_(* \(#,##0.00\);_(* &quot;-&quot;??_);_(@_)"/>
    </dxf>
    <dxf>
      <numFmt numFmtId="165" formatCode="_(* #,##0.0_);_(* \(#,##0.0\);_(* &quot;-&quot;??_);_(@_)"/>
    </dxf>
    <dxf>
      <numFmt numFmtId="164" formatCode="_(* #,##0_);_(* \(#,##0\);_(* &quot;-&quot;??_);_(@_)"/>
    </dxf>
    <dxf>
      <numFmt numFmtId="166" formatCode="0.0"/>
    </dxf>
    <dxf>
      <numFmt numFmtId="1" formatCode="0"/>
    </dxf>
    <dxf>
      <numFmt numFmtId="166" formatCode="0.0"/>
    </dxf>
    <dxf>
      <numFmt numFmtId="1" formatCode="0"/>
    </dxf>
    <dxf>
      <numFmt numFmtId="35" formatCode="_(* #,##0.00_);_(* \(#,##0.00\);_(* &quot;-&quot;??_);_(@_)"/>
    </dxf>
    <dxf>
      <numFmt numFmtId="165" formatCode="_(* #,##0.0_);_(* \(#,##0.0\);_(* &quot;-&quot;??_);_(@_)"/>
    </dxf>
    <dxf>
      <numFmt numFmtId="164" formatCode="_(* #,##0_);_(* \(#,##0\);_(* &quot;-&quot;??_);_(@_)"/>
    </dxf>
    <dxf>
      <font>
        <sz val="10"/>
      </font>
    </dxf>
    <dxf>
      <font>
        <sz val="10"/>
      </font>
    </dxf>
    <dxf>
      <font>
        <sz val="10"/>
      </font>
    </dxf>
    <dxf>
      <font>
        <sz val="10"/>
      </font>
    </dxf>
    <dxf>
      <font>
        <sz val="10"/>
      </font>
    </dxf>
    <dxf>
      <font>
        <sz val="10"/>
      </font>
    </dxf>
    <dxf>
      <font>
        <sz val="10"/>
      </font>
    </dxf>
    <dxf>
      <font>
        <sz val="10"/>
      </font>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165" formatCode="_(* #,##0.0_);_(* \(#,##0.0\);_(* &quot;-&quot;??_);_(@_)"/>
    </dxf>
    <dxf>
      <numFmt numFmtId="165" formatCode="_(* #,##0.0_);_(* \(#,##0.0\);_(* &quot;-&quot;??_);_(@_)"/>
    </dxf>
    <dxf>
      <numFmt numFmtId="165" formatCode="_(* #,##0.0_);_(* \(#,##0.0\);_(* &quot;-&quot;??_);_(@_)"/>
    </dxf>
    <dxf>
      <numFmt numFmtId="165" formatCode="_(* #,##0.0_);_(* \(#,##0.0\);_(* &quot;-&quot;??_);_(@_)"/>
    </dxf>
    <dxf>
      <numFmt numFmtId="165" formatCode="_(* #,##0.0_);_(* \(#,##0.0\);_(* &quot;-&quot;??_);_(@_)"/>
    </dxf>
    <dxf>
      <numFmt numFmtId="165" formatCode="_(* #,##0.0_);_(* \(#,##0.0\);_(* &quot;-&quot;??_);_(@_)"/>
    </dxf>
    <dxf>
      <numFmt numFmtId="165" formatCode="_(* #,##0.0_);_(* \(#,##0.0\);_(* &quot;-&quot;??_);_(@_)"/>
    </dxf>
    <dxf>
      <numFmt numFmtId="165" formatCode="_(* #,##0.0_);_(* \(#,##0.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6" formatCode="0.0"/>
    </dxf>
    <dxf>
      <numFmt numFmtId="1" formatCode="0"/>
    </dxf>
    <dxf>
      <numFmt numFmtId="35" formatCode="_(* #,##0.00_);_(* \(#,##0.00\);_(* &quot;-&quot;??_);_(@_)"/>
    </dxf>
    <dxf>
      <numFmt numFmtId="165" formatCode="_(* #,##0.0_);_(* \(#,##0.0\);_(* &quot;-&quot;??_);_(@_)"/>
    </dxf>
    <dxf>
      <numFmt numFmtId="164" formatCode="_(* #,##0_);_(* \(#,##0\);_(* &quot;-&quot;??_);_(@_)"/>
    </dxf>
    <dxf>
      <numFmt numFmtId="166" formatCode="0.0"/>
    </dxf>
    <dxf>
      <numFmt numFmtId="1" formatCode="0"/>
    </dxf>
    <dxf>
      <numFmt numFmtId="35" formatCode="_(* #,##0.00_);_(* \(#,##0.00\);_(* &quot;-&quot;??_);_(@_)"/>
    </dxf>
    <dxf>
      <numFmt numFmtId="165" formatCode="_(* #,##0.0_);_(* \(#,##0.0\);_(* &quot;-&quot;??_);_(@_)"/>
    </dxf>
    <dxf>
      <numFmt numFmtId="164" formatCode="_(* #,##0_);_(* \(#,##0\);_(* &quot;-&quot;??_);_(@_)"/>
    </dxf>
    <dxf>
      <numFmt numFmtId="166" formatCode="0.0"/>
    </dxf>
    <dxf>
      <numFmt numFmtId="1" formatCode="0"/>
    </dxf>
    <dxf>
      <numFmt numFmtId="35" formatCode="_(* #,##0.00_);_(* \(#,##0.00\);_(* &quot;-&quot;??_);_(@_)"/>
    </dxf>
    <dxf>
      <numFmt numFmtId="165" formatCode="_(* #,##0.0_);_(* \(#,##0.0\);_(* &quot;-&quot;??_);_(@_)"/>
    </dxf>
    <dxf>
      <numFmt numFmtId="164" formatCode="_(* #,##0_);_(* \(#,##0\);_(* &quot;-&quot;??_);_(@_)"/>
    </dxf>
    <dxf>
      <numFmt numFmtId="166" formatCode="0.0"/>
    </dxf>
    <dxf>
      <numFmt numFmtId="1" formatCode="0"/>
    </dxf>
    <dxf>
      <numFmt numFmtId="35" formatCode="_(* #,##0.00_);_(* \(#,##0.00\);_(* &quot;-&quot;??_);_(@_)"/>
    </dxf>
    <dxf>
      <numFmt numFmtId="165" formatCode="_(* #,##0.0_);_(* \(#,##0.0\);_(* &quot;-&quot;??_);_(@_)"/>
    </dxf>
    <dxf>
      <numFmt numFmtId="164" formatCode="_(* #,##0_);_(* \(#,##0\);_(* &quot;-&quot;??_);_(@_)"/>
    </dxf>
    <dxf>
      <numFmt numFmtId="166" formatCode="0.0"/>
    </dxf>
    <dxf>
      <numFmt numFmtId="1" formatCode="0"/>
    </dxf>
    <dxf>
      <numFmt numFmtId="35" formatCode="_(* #,##0.00_);_(* \(#,##0.00\);_(* &quot;-&quot;??_);_(@_)"/>
    </dxf>
    <dxf>
      <numFmt numFmtId="165" formatCode="_(* #,##0.0_);_(* \(#,##0.0\);_(* &quot;-&quot;??_);_(@_)"/>
    </dxf>
    <dxf>
      <numFmt numFmtId="164" formatCode="_(* #,##0_);_(* \(#,##0\);_(* &quot;-&quot;??_);_(@_)"/>
    </dxf>
    <dxf>
      <font>
        <sz val="10"/>
      </font>
    </dxf>
    <dxf>
      <font>
        <sz val="10"/>
      </font>
    </dxf>
    <dxf>
      <font>
        <sz val="10"/>
      </font>
    </dxf>
    <dxf>
      <font>
        <sz val="10"/>
      </font>
    </dxf>
    <dxf>
      <font>
        <sz val="10"/>
      </font>
    </dxf>
    <dxf>
      <font>
        <sz val="10"/>
      </font>
    </dxf>
    <dxf>
      <font>
        <sz val="10"/>
      </font>
    </dxf>
    <dxf>
      <font>
        <sz val="10"/>
      </font>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165" formatCode="_(* #,##0.0_);_(* \(#,##0.0\);_(* &quot;-&quot;??_);_(@_)"/>
    </dxf>
    <dxf>
      <numFmt numFmtId="165" formatCode="_(* #,##0.0_);_(* \(#,##0.0\);_(* &quot;-&quot;??_);_(@_)"/>
    </dxf>
    <dxf>
      <numFmt numFmtId="165" formatCode="_(* #,##0.0_);_(* \(#,##0.0\);_(* &quot;-&quot;??_);_(@_)"/>
    </dxf>
    <dxf>
      <numFmt numFmtId="165" formatCode="_(* #,##0.0_);_(* \(#,##0.0\);_(* &quot;-&quot;??_);_(@_)"/>
    </dxf>
    <dxf>
      <numFmt numFmtId="165" formatCode="_(* #,##0.0_);_(* \(#,##0.0\);_(* &quot;-&quot;??_);_(@_)"/>
    </dxf>
    <dxf>
      <numFmt numFmtId="165" formatCode="_(* #,##0.0_);_(* \(#,##0.0\);_(* &quot;-&quot;??_);_(@_)"/>
    </dxf>
    <dxf>
      <numFmt numFmtId="165" formatCode="_(* #,##0.0_);_(* \(#,##0.0\);_(* &quot;-&quot;??_);_(@_)"/>
    </dxf>
    <dxf>
      <numFmt numFmtId="165" formatCode="_(* #,##0.0_);_(* \(#,##0.0\);_(* &quot;-&quot;??_);_(@_)"/>
    </dxf>
    <dxf>
      <numFmt numFmtId="165" formatCode="_(* #,##0.0_);_(* \(#,##0.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6" formatCode="0.0"/>
    </dxf>
    <dxf>
      <numFmt numFmtId="1" formatCode="0"/>
    </dxf>
    <dxf>
      <numFmt numFmtId="14" formatCode="0.00%"/>
    </dxf>
    <dxf>
      <numFmt numFmtId="166" formatCode="0.0"/>
    </dxf>
    <dxf>
      <numFmt numFmtId="1" formatCode="0"/>
    </dxf>
    <dxf>
      <numFmt numFmtId="35" formatCode="_(* #,##0.00_);_(* \(#,##0.00\);_(* &quot;-&quot;??_);_(@_)"/>
    </dxf>
    <dxf>
      <numFmt numFmtId="165" formatCode="_(* #,##0.0_);_(* \(#,##0.0\);_(* &quot;-&quot;??_);_(@_)"/>
    </dxf>
    <dxf>
      <numFmt numFmtId="164" formatCode="_(* #,##0_);_(* \(#,##0\);_(* &quot;-&quot;??_);_(@_)"/>
    </dxf>
    <dxf>
      <font>
        <sz val="10"/>
      </font>
    </dxf>
    <dxf>
      <font>
        <sz val="10"/>
      </font>
    </dxf>
    <dxf>
      <font>
        <sz val="10"/>
      </font>
    </dxf>
    <dxf>
      <font>
        <sz val="10"/>
      </font>
    </dxf>
    <dxf>
      <font>
        <sz val="10"/>
      </font>
    </dxf>
    <dxf>
      <font>
        <sz val="10"/>
      </font>
    </dxf>
    <dxf>
      <font>
        <sz val="10"/>
      </font>
    </dxf>
    <dxf>
      <font>
        <sz val="10"/>
      </font>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165" formatCode="_(* #,##0.0_);_(* \(#,##0.0\);_(* &quot;-&quot;??_);_(@_)"/>
    </dxf>
    <dxf>
      <numFmt numFmtId="165" formatCode="_(* #,##0.0_);_(* \(#,##0.0\);_(* &quot;-&quot;??_);_(@_)"/>
    </dxf>
    <dxf>
      <numFmt numFmtId="165" formatCode="_(* #,##0.0_);_(* \(#,##0.0\);_(* &quot;-&quot;??_);_(@_)"/>
    </dxf>
    <dxf>
      <numFmt numFmtId="165" formatCode="_(* #,##0.0_);_(* \(#,##0.0\);_(* &quot;-&quot;??_);_(@_)"/>
    </dxf>
    <dxf>
      <numFmt numFmtId="165" formatCode="_(* #,##0.0_);_(* \(#,##0.0\);_(* &quot;-&quot;??_);_(@_)"/>
    </dxf>
    <dxf>
      <numFmt numFmtId="165" formatCode="_(* #,##0.0_);_(* \(#,##0.0\);_(* &quot;-&quot;??_);_(@_)"/>
    </dxf>
    <dxf>
      <numFmt numFmtId="165" formatCode="_(* #,##0.0_);_(* \(#,##0.0\);_(* &quot;-&quot;??_);_(@_)"/>
    </dxf>
    <dxf>
      <numFmt numFmtId="165" formatCode="_(* #,##0.0_);_(* \(#,##0.0\);_(* &quot;-&quot;??_);_(@_)"/>
    </dxf>
    <dxf>
      <numFmt numFmtId="165" formatCode="_(* #,##0.0_);_(* \(#,##0.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6" formatCode="0.0"/>
    </dxf>
    <dxf>
      <numFmt numFmtId="1" formatCode="0"/>
    </dxf>
    <dxf>
      <numFmt numFmtId="35" formatCode="_(* #,##0.00_);_(* \(#,##0.00\);_(* &quot;-&quot;??_);_(@_)"/>
    </dxf>
    <dxf>
      <numFmt numFmtId="165" formatCode="_(* #,##0.0_);_(* \(#,##0.0\);_(* &quot;-&quot;??_);_(@_)"/>
    </dxf>
    <dxf>
      <numFmt numFmtId="164" formatCode="_(* #,##0_);_(* \(#,##0\);_(* &quot;-&quot;??_);_(@_)"/>
    </dxf>
    <dxf>
      <numFmt numFmtId="14" formatCode="0.00%"/>
    </dxf>
    <dxf>
      <numFmt numFmtId="166" formatCode="0.0"/>
    </dxf>
    <dxf>
      <numFmt numFmtId="1" formatCode="0"/>
    </dxf>
    <dxf>
      <numFmt numFmtId="35" formatCode="_(* #,##0.00_);_(* \(#,##0.00\);_(* &quot;-&quot;??_);_(@_)"/>
    </dxf>
    <dxf>
      <numFmt numFmtId="165" formatCode="_(* #,##0.0_);_(* \(#,##0.0\);_(* &quot;-&quot;??_);_(@_)"/>
    </dxf>
    <dxf>
      <numFmt numFmtId="164" formatCode="_(* #,##0_);_(* \(#,##0\);_(* &quot;-&quot;??_);_(@_)"/>
    </dxf>
    <dxf>
      <font>
        <sz val="10"/>
      </font>
    </dxf>
    <dxf>
      <font>
        <sz val="10"/>
      </font>
    </dxf>
    <dxf>
      <font>
        <sz val="10"/>
      </font>
    </dxf>
    <dxf>
      <font>
        <sz val="10"/>
      </font>
    </dxf>
    <dxf>
      <font>
        <sz val="10"/>
      </font>
    </dxf>
    <dxf>
      <font>
        <sz val="10"/>
      </font>
    </dxf>
    <dxf>
      <font>
        <sz val="10"/>
      </font>
    </dxf>
    <dxf>
      <font>
        <sz val="10"/>
      </font>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165" formatCode="_(* #,##0.0_);_(* \(#,##0.0\);_(* &quot;-&quot;??_);_(@_)"/>
    </dxf>
    <dxf>
      <numFmt numFmtId="165" formatCode="_(* #,##0.0_);_(* \(#,##0.0\);_(* &quot;-&quot;??_);_(@_)"/>
    </dxf>
    <dxf>
      <numFmt numFmtId="165" formatCode="_(* #,##0.0_);_(* \(#,##0.0\);_(* &quot;-&quot;??_);_(@_)"/>
    </dxf>
    <dxf>
      <numFmt numFmtId="165" formatCode="_(* #,##0.0_);_(* \(#,##0.0\);_(* &quot;-&quot;??_);_(@_)"/>
    </dxf>
    <dxf>
      <numFmt numFmtId="165" formatCode="_(* #,##0.0_);_(* \(#,##0.0\);_(* &quot;-&quot;??_);_(@_)"/>
    </dxf>
    <dxf>
      <numFmt numFmtId="165" formatCode="_(* #,##0.0_);_(* \(#,##0.0\);_(* &quot;-&quot;??_);_(@_)"/>
    </dxf>
    <dxf>
      <numFmt numFmtId="165" formatCode="_(* #,##0.0_);_(* \(#,##0.0\);_(* &quot;-&quot;??_);_(@_)"/>
    </dxf>
    <dxf>
      <numFmt numFmtId="165" formatCode="_(* #,##0.0_);_(* \(#,##0.0\);_(* &quot;-&quot;??_);_(@_)"/>
    </dxf>
    <dxf>
      <numFmt numFmtId="165" formatCode="_(* #,##0.0_);_(* \(#,##0.0\);_(* &quot;-&quot;??_);_(@_)"/>
    </dxf>
    <dxf>
      <numFmt numFmtId="165" formatCode="_(* #,##0.0_);_(* \(#,##0.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6" formatCode="0.0"/>
    </dxf>
    <dxf>
      <numFmt numFmtId="1" formatCode="0"/>
    </dxf>
    <dxf>
      <numFmt numFmtId="14" formatCode="0.00%"/>
    </dxf>
    <dxf>
      <numFmt numFmtId="35" formatCode="_(* #,##0.00_);_(* \(#,##0.00\);_(* &quot;-&quot;??_);_(@_)"/>
    </dxf>
    <dxf>
      <numFmt numFmtId="165" formatCode="_(* #,##0.0_);_(* \(#,##0.0\);_(* &quot;-&quot;??_);_(@_)"/>
    </dxf>
    <dxf>
      <numFmt numFmtId="164" formatCode="_(* #,##0_);_(* \(#,##0\);_(* &quot;-&quot;??_);_(@_)"/>
    </dxf>
    <dxf>
      <numFmt numFmtId="0" formatCode="General"/>
    </dxf>
    <dxf>
      <numFmt numFmtId="2" formatCode="0.00"/>
    </dxf>
    <dxf>
      <numFmt numFmtId="166" formatCode="0.0"/>
    </dxf>
    <dxf>
      <numFmt numFmtId="1" formatCode="0"/>
    </dxf>
    <dxf>
      <numFmt numFmtId="166" formatCode="0.0"/>
    </dxf>
    <dxf>
      <numFmt numFmtId="1" formatCode="0"/>
    </dxf>
    <dxf>
      <numFmt numFmtId="35" formatCode="_(* #,##0.00_);_(* \(#,##0.00\);_(* &quot;-&quot;??_);_(@_)"/>
    </dxf>
    <dxf>
      <numFmt numFmtId="165" formatCode="_(* #,##0.0_);_(* \(#,##0.0\);_(* &quot;-&quot;??_);_(@_)"/>
    </dxf>
    <dxf>
      <numFmt numFmtId="164" formatCode="_(* #,##0_);_(* \(#,##0\);_(* &quot;-&quot;??_);_(@_)"/>
    </dxf>
    <dxf>
      <numFmt numFmtId="166" formatCode="0.0"/>
    </dxf>
    <dxf>
      <numFmt numFmtId="1" formatCode="0"/>
    </dxf>
    <dxf>
      <numFmt numFmtId="35" formatCode="_(* #,##0.00_);_(* \(#,##0.00\);_(* &quot;-&quot;??_);_(@_)"/>
    </dxf>
    <dxf>
      <numFmt numFmtId="165" formatCode="_(* #,##0.0_);_(* \(#,##0.0\);_(* &quot;-&quot;??_);_(@_)"/>
    </dxf>
    <dxf>
      <numFmt numFmtId="164" formatCode="_(* #,##0_);_(* \(#,##0\);_(* &quot;-&quot;??_);_(@_)"/>
    </dxf>
    <dxf>
      <numFmt numFmtId="166" formatCode="0.0"/>
    </dxf>
    <dxf>
      <numFmt numFmtId="1" formatCode="0"/>
    </dxf>
    <dxf>
      <numFmt numFmtId="35" formatCode="_(* #,##0.00_);_(* \(#,##0.00\);_(* &quot;-&quot;??_);_(@_)"/>
    </dxf>
    <dxf>
      <numFmt numFmtId="165" formatCode="_(* #,##0.0_);_(* \(#,##0.0\);_(* &quot;-&quot;??_);_(@_)"/>
    </dxf>
    <dxf>
      <numFmt numFmtId="164" formatCode="_(* #,##0_);_(* \(#,##0\);_(* &quot;-&quot;??_);_(@_)"/>
    </dxf>
    <dxf>
      <numFmt numFmtId="166" formatCode="0.0"/>
    </dxf>
    <dxf>
      <numFmt numFmtId="1" formatCode="0"/>
    </dxf>
    <dxf>
      <numFmt numFmtId="35" formatCode="_(* #,##0.00_);_(* \(#,##0.00\);_(* &quot;-&quot;??_);_(@_)"/>
    </dxf>
    <dxf>
      <numFmt numFmtId="165" formatCode="_(* #,##0.0_);_(* \(#,##0.0\);_(* &quot;-&quot;??_);_(@_)"/>
    </dxf>
    <dxf>
      <numFmt numFmtId="164" formatCode="_(* #,##0_);_(* \(#,##0\);_(* &quot;-&quot;??_);_(@_)"/>
    </dxf>
    <dxf>
      <font>
        <sz val="10"/>
      </font>
    </dxf>
    <dxf>
      <font>
        <sz val="10"/>
      </font>
    </dxf>
    <dxf>
      <font>
        <sz val="10"/>
      </font>
    </dxf>
    <dxf>
      <font>
        <sz val="10"/>
      </font>
    </dxf>
    <dxf>
      <font>
        <sz val="10"/>
      </font>
    </dxf>
    <dxf>
      <font>
        <sz val="10"/>
      </font>
    </dxf>
    <dxf>
      <font>
        <sz val="10"/>
      </font>
    </dxf>
    <dxf>
      <font>
        <sz val="10"/>
      </font>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165" formatCode="_(* #,##0.0_);_(* \(#,##0.0\);_(* &quot;-&quot;??_);_(@_)"/>
    </dxf>
    <dxf>
      <numFmt numFmtId="165" formatCode="_(* #,##0.0_);_(* \(#,##0.0\);_(* &quot;-&quot;??_);_(@_)"/>
    </dxf>
    <dxf>
      <numFmt numFmtId="165" formatCode="_(* #,##0.0_);_(* \(#,##0.0\);_(* &quot;-&quot;??_);_(@_)"/>
    </dxf>
    <dxf>
      <numFmt numFmtId="165" formatCode="_(* #,##0.0_);_(* \(#,##0.0\);_(* &quot;-&quot;??_);_(@_)"/>
    </dxf>
    <dxf>
      <numFmt numFmtId="165" formatCode="_(* #,##0.0_);_(* \(#,##0.0\);_(* &quot;-&quot;??_);_(@_)"/>
    </dxf>
    <dxf>
      <numFmt numFmtId="165" formatCode="_(* #,##0.0_);_(* \(#,##0.0\);_(* &quot;-&quot;??_);_(@_)"/>
    </dxf>
    <dxf>
      <numFmt numFmtId="165" formatCode="_(* #,##0.0_);_(* \(#,##0.0\);_(* &quot;-&quot;??_);_(@_)"/>
    </dxf>
    <dxf>
      <numFmt numFmtId="165" formatCode="_(* #,##0.0_);_(* \(#,##0.0\);_(* &quot;-&quot;??_);_(@_)"/>
    </dxf>
    <dxf>
      <numFmt numFmtId="165" formatCode="_(* #,##0.0_);_(* \(#,##0.0\);_(* &quot;-&quot;??_);_(@_)"/>
    </dxf>
    <dxf>
      <numFmt numFmtId="165" formatCode="_(* #,##0.0_);_(* \(#,##0.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6" formatCode="0.0"/>
    </dxf>
    <dxf>
      <numFmt numFmtId="1" formatCode="0"/>
    </dxf>
    <dxf>
      <numFmt numFmtId="35" formatCode="_(* #,##0.00_);_(* \(#,##0.00\);_(* &quot;-&quot;??_);_(@_)"/>
    </dxf>
    <dxf>
      <numFmt numFmtId="165" formatCode="_(* #,##0.0_);_(* \(#,##0.0\);_(* &quot;-&quot;??_);_(@_)"/>
    </dxf>
    <dxf>
      <numFmt numFmtId="164" formatCode="_(* #,##0_);_(* \(#,##0\);_(* &quot;-&quot;??_);_(@_)"/>
    </dxf>
    <dxf>
      <numFmt numFmtId="14" formatCode="0.00%"/>
    </dxf>
    <dxf>
      <numFmt numFmtId="166" formatCode="0.0"/>
    </dxf>
    <dxf>
      <numFmt numFmtId="1" formatCode="0"/>
    </dxf>
    <dxf>
      <numFmt numFmtId="35" formatCode="_(* #,##0.00_);_(* \(#,##0.00\);_(* &quot;-&quot;??_);_(@_)"/>
    </dxf>
    <dxf>
      <numFmt numFmtId="165" formatCode="_(* #,##0.0_);_(* \(#,##0.0\);_(* &quot;-&quot;??_);_(@_)"/>
    </dxf>
    <dxf>
      <numFmt numFmtId="164" formatCode="_(* #,##0_);_(* \(#,##0\);_(* &quot;-&quot;??_);_(@_)"/>
    </dxf>
    <dxf>
      <numFmt numFmtId="166" formatCode="0.0"/>
    </dxf>
    <dxf>
      <numFmt numFmtId="1" formatCode="0"/>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165" formatCode="_(* #,##0.0_);_(* \(#,##0.0\);_(* &quot;-&quot;??_);_(@_)"/>
    </dxf>
    <dxf>
      <numFmt numFmtId="165" formatCode="_(* #,##0.0_);_(* \(#,##0.0\);_(* &quot;-&quot;??_);_(@_)"/>
    </dxf>
    <dxf>
      <numFmt numFmtId="165" formatCode="_(* #,##0.0_);_(* \(#,##0.0\);_(* &quot;-&quot;??_);_(@_)"/>
    </dxf>
    <dxf>
      <numFmt numFmtId="164" formatCode="_(* #,##0_);_(* \(#,##0\);_(* &quot;-&quot;??_);_(@_)"/>
    </dxf>
    <dxf>
      <numFmt numFmtId="164" formatCode="_(* #,##0_);_(* \(#,##0\);_(* &quot;-&quot;??_);_(@_)"/>
    </dxf>
    <dxf>
      <numFmt numFmtId="164" formatCode="_(* #,##0_);_(* \(#,##0\);_(* &quot;-&quot;??_);_(@_)"/>
    </dxf>
    <dxf>
      <numFmt numFmtId="166" formatCode="0.0"/>
    </dxf>
    <dxf>
      <numFmt numFmtId="1" formatCode="0"/>
    </dxf>
    <dxf>
      <numFmt numFmtId="166" formatCode="0.0"/>
    </dxf>
    <dxf>
      <numFmt numFmtId="1" formatCode="0"/>
    </dxf>
    <dxf>
      <numFmt numFmtId="166" formatCode="0.0"/>
    </dxf>
    <dxf>
      <numFmt numFmtId="1" formatCode="0"/>
    </dxf>
    <dxf>
      <numFmt numFmtId="35" formatCode="_(* #,##0.00_);_(* \(#,##0.00\);_(* &quot;-&quot;??_);_(@_)"/>
    </dxf>
    <dxf>
      <numFmt numFmtId="165" formatCode="_(* #,##0.0_);_(* \(#,##0.0\);_(* &quot;-&quot;??_);_(@_)"/>
    </dxf>
    <dxf>
      <numFmt numFmtId="164" formatCode="_(* #,##0_);_(* \(#,##0\);_(* &quot;-&quot;??_);_(@_)"/>
    </dxf>
    <dxf>
      <font>
        <sz val="10"/>
      </font>
    </dxf>
    <dxf>
      <font>
        <sz val="10"/>
      </font>
    </dxf>
    <dxf>
      <font>
        <sz val="10"/>
      </font>
    </dxf>
    <dxf>
      <font>
        <sz val="10"/>
      </font>
    </dxf>
    <dxf>
      <font>
        <sz val="10"/>
      </font>
    </dxf>
    <dxf>
      <font>
        <sz val="10"/>
      </font>
    </dxf>
    <dxf>
      <font>
        <sz val="10"/>
      </font>
    </dxf>
    <dxf>
      <font>
        <sz val="10"/>
      </font>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165" formatCode="_(* #,##0.0_);_(* \(#,##0.0\);_(* &quot;-&quot;??_);_(@_)"/>
    </dxf>
    <dxf>
      <numFmt numFmtId="165" formatCode="_(* #,##0.0_);_(* \(#,##0.0\);_(* &quot;-&quot;??_);_(@_)"/>
    </dxf>
    <dxf>
      <numFmt numFmtId="165" formatCode="_(* #,##0.0_);_(* \(#,##0.0\);_(* &quot;-&quot;??_);_(@_)"/>
    </dxf>
    <dxf>
      <numFmt numFmtId="165" formatCode="_(* #,##0.0_);_(* \(#,##0.0\);_(* &quot;-&quot;??_);_(@_)"/>
    </dxf>
    <dxf>
      <numFmt numFmtId="165" formatCode="_(* #,##0.0_);_(* \(#,##0.0\);_(* &quot;-&quot;??_);_(@_)"/>
    </dxf>
    <dxf>
      <numFmt numFmtId="165" formatCode="_(* #,##0.0_);_(* \(#,##0.0\);_(* &quot;-&quot;??_);_(@_)"/>
    </dxf>
    <dxf>
      <numFmt numFmtId="165" formatCode="_(* #,##0.0_);_(* \(#,##0.0\);_(* &quot;-&quot;??_);_(@_)"/>
    </dxf>
    <dxf>
      <numFmt numFmtId="165" formatCode="_(* #,##0.0_);_(* \(#,##0.0\);_(* &quot;-&quot;??_);_(@_)"/>
    </dxf>
    <dxf>
      <numFmt numFmtId="165" formatCode="_(* #,##0.0_);_(* \(#,##0.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2" formatCode="0.00"/>
    </dxf>
    <dxf>
      <numFmt numFmtId="166" formatCode="0.0"/>
    </dxf>
    <dxf>
      <numFmt numFmtId="1" formatCode="0"/>
    </dxf>
    <dxf>
      <numFmt numFmtId="166" formatCode="0.0"/>
    </dxf>
    <dxf>
      <numFmt numFmtId="1" formatCode="0"/>
    </dxf>
    <dxf>
      <numFmt numFmtId="35" formatCode="_(* #,##0.00_);_(* \(#,##0.00\);_(* &quot;-&quot;??_);_(@_)"/>
    </dxf>
    <dxf>
      <numFmt numFmtId="165" formatCode="_(* #,##0.0_);_(* \(#,##0.0\);_(* &quot;-&quot;??_);_(@_)"/>
    </dxf>
    <dxf>
      <numFmt numFmtId="164" formatCode="_(* #,##0_);_(* \(#,##0\);_(* &quot;-&quot;??_);_(@_)"/>
    </dxf>
    <dxf>
      <font>
        <sz val="10"/>
      </font>
    </dxf>
    <dxf>
      <font>
        <sz val="10"/>
      </font>
    </dxf>
    <dxf>
      <font>
        <sz val="10"/>
      </font>
    </dxf>
    <dxf>
      <font>
        <sz val="10"/>
      </font>
    </dxf>
    <dxf>
      <font>
        <sz val="10"/>
      </font>
    </dxf>
    <dxf>
      <font>
        <sz val="10"/>
      </font>
    </dxf>
    <dxf>
      <font>
        <sz val="10"/>
      </font>
    </dxf>
    <dxf>
      <font>
        <sz val="10"/>
      </font>
    </dxf>
    <dxf>
      <font>
        <sz val="10"/>
      </font>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14" formatCode="0.00%"/>
    </dxf>
    <dxf>
      <numFmt numFmtId="166" formatCode="0.0"/>
    </dxf>
    <dxf>
      <numFmt numFmtId="1" formatCode="0"/>
    </dxf>
    <dxf>
      <numFmt numFmtId="35" formatCode="_(* #,##0.00_);_(* \(#,##0.00\);_(* &quot;-&quot;??_);_(@_)"/>
    </dxf>
    <dxf>
      <numFmt numFmtId="165" formatCode="_(* #,##0.0_);_(* \(#,##0.0\);_(* &quot;-&quot;??_);_(@_)"/>
    </dxf>
    <dxf>
      <numFmt numFmtId="164" formatCode="_(* #,##0_);_(* \(#,##0\);_(* &quot;-&quot;??_);_(@_)"/>
    </dxf>
    <dxf>
      <numFmt numFmtId="166" formatCode="0.0"/>
    </dxf>
    <dxf>
      <numFmt numFmtId="1" formatCode="0"/>
    </dxf>
    <dxf>
      <numFmt numFmtId="35" formatCode="_(* #,##0.00_);_(* \(#,##0.00\);_(* &quot;-&quot;??_);_(@_)"/>
    </dxf>
    <dxf>
      <numFmt numFmtId="165" formatCode="_(* #,##0.0_);_(* \(#,##0.0\);_(* &quot;-&quot;??_);_(@_)"/>
    </dxf>
    <dxf>
      <numFmt numFmtId="164" formatCode="_(* #,##0_);_(* \(#,##0\);_(* &quot;-&quot;??_);_(@_)"/>
    </dxf>
    <dxf>
      <numFmt numFmtId="166" formatCode="0.0"/>
    </dxf>
    <dxf>
      <numFmt numFmtId="1" formatCode="0"/>
    </dxf>
    <dxf>
      <numFmt numFmtId="35" formatCode="_(* #,##0.00_);_(* \(#,##0.00\);_(* &quot;-&quot;??_);_(@_)"/>
    </dxf>
    <dxf>
      <numFmt numFmtId="165" formatCode="_(* #,##0.0_);_(* \(#,##0.0\);_(* &quot;-&quot;??_);_(@_)"/>
    </dxf>
    <dxf>
      <numFmt numFmtId="164" formatCode="_(* #,##0_);_(* \(#,##0\);_(* &quot;-&quot;??_);_(@_)"/>
    </dxf>
    <dxf>
      <numFmt numFmtId="166" formatCode="0.0"/>
    </dxf>
    <dxf>
      <numFmt numFmtId="1" formatCode="0"/>
    </dxf>
    <dxf>
      <numFmt numFmtId="35" formatCode="_(* #,##0.00_);_(* \(#,##0.00\);_(* &quot;-&quot;??_);_(@_)"/>
    </dxf>
    <dxf>
      <numFmt numFmtId="165" formatCode="_(* #,##0.0_);_(* \(#,##0.0\);_(* &quot;-&quot;??_);_(@_)"/>
    </dxf>
    <dxf>
      <numFmt numFmtId="164" formatCode="_(* #,##0_);_(* \(#,##0\);_(* &quot;-&quot;??_);_(@_)"/>
    </dxf>
    <dxf>
      <numFmt numFmtId="166" formatCode="0.0"/>
    </dxf>
    <dxf>
      <numFmt numFmtId="1" formatCode="0"/>
    </dxf>
    <dxf>
      <numFmt numFmtId="35" formatCode="_(* #,##0.00_);_(* \(#,##0.00\);_(* &quot;-&quot;??_);_(@_)"/>
    </dxf>
    <dxf>
      <numFmt numFmtId="165" formatCode="_(* #,##0.0_);_(* \(#,##0.0\);_(* &quot;-&quot;??_);_(@_)"/>
    </dxf>
    <dxf>
      <numFmt numFmtId="164" formatCode="_(* #,##0_);_(* \(#,##0\);_(* &quot;-&quot;??_);_(@_)"/>
    </dxf>
    <dxf>
      <numFmt numFmtId="166" formatCode="0.0"/>
    </dxf>
    <dxf>
      <numFmt numFmtId="1" formatCode="0"/>
    </dxf>
    <dxf>
      <numFmt numFmtId="35" formatCode="_(* #,##0.00_);_(* \(#,##0.00\);_(* &quot;-&quot;??_);_(@_)"/>
    </dxf>
    <dxf>
      <numFmt numFmtId="165" formatCode="_(* #,##0.0_);_(* \(#,##0.0\);_(* &quot;-&quot;??_);_(@_)"/>
    </dxf>
    <dxf>
      <numFmt numFmtId="164" formatCode="_(* #,##0_);_(* \(#,##0\);_(* &quot;-&quot;??_);_(@_)"/>
    </dxf>
    <dxf>
      <font>
        <sz val="10"/>
      </font>
    </dxf>
    <dxf>
      <font>
        <sz val="10"/>
      </font>
    </dxf>
    <dxf>
      <font>
        <sz val="10"/>
      </font>
    </dxf>
    <dxf>
      <font>
        <sz val="10"/>
      </font>
    </dxf>
    <dxf>
      <font>
        <sz val="10"/>
      </font>
    </dxf>
    <dxf>
      <font>
        <sz val="10"/>
      </font>
    </dxf>
    <dxf>
      <font>
        <sz val="10"/>
      </font>
    </dxf>
    <dxf>
      <font>
        <sz val="10"/>
      </font>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165" formatCode="_(* #,##0.0_);_(* \(#,##0.0\);_(* &quot;-&quot;??_);_(@_)"/>
    </dxf>
    <dxf>
      <numFmt numFmtId="165" formatCode="_(* #,##0.0_);_(* \(#,##0.0\);_(* &quot;-&quot;??_);_(@_)"/>
    </dxf>
    <dxf>
      <numFmt numFmtId="165" formatCode="_(* #,##0.0_);_(* \(#,##0.0\);_(* &quot;-&quot;??_);_(@_)"/>
    </dxf>
    <dxf>
      <numFmt numFmtId="165" formatCode="_(* #,##0.0_);_(* \(#,##0.0\);_(* &quot;-&quot;??_);_(@_)"/>
    </dxf>
    <dxf>
      <numFmt numFmtId="165" formatCode="_(* #,##0.0_);_(* \(#,##0.0\);_(* &quot;-&quot;??_);_(@_)"/>
    </dxf>
    <dxf>
      <numFmt numFmtId="165" formatCode="_(* #,##0.0_);_(* \(#,##0.0\);_(* &quot;-&quot;??_);_(@_)"/>
    </dxf>
    <dxf>
      <numFmt numFmtId="165" formatCode="_(* #,##0.0_);_(* \(#,##0.0\);_(* &quot;-&quot;??_);_(@_)"/>
    </dxf>
    <dxf>
      <numFmt numFmtId="165" formatCode="_(* #,##0.0_);_(* \(#,##0.0\);_(* &quot;-&quot;??_);_(@_)"/>
    </dxf>
    <dxf>
      <numFmt numFmtId="165" formatCode="_(* #,##0.0_);_(* \(#,##0.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6" formatCode="0.0"/>
    </dxf>
    <dxf>
      <numFmt numFmtId="1" formatCode="0"/>
    </dxf>
    <dxf>
      <numFmt numFmtId="14" formatCode="0.00%"/>
    </dxf>
    <dxf>
      <numFmt numFmtId="166" formatCode="0.0"/>
    </dxf>
    <dxf>
      <numFmt numFmtId="1" formatCode="0"/>
    </dxf>
    <dxf>
      <numFmt numFmtId="35" formatCode="_(* #,##0.00_);_(* \(#,##0.00\);_(* &quot;-&quot;??_);_(@_)"/>
    </dxf>
    <dxf>
      <numFmt numFmtId="165" formatCode="_(* #,##0.0_);_(* \(#,##0.0\);_(* &quot;-&quot;??_);_(@_)"/>
    </dxf>
    <dxf>
      <numFmt numFmtId="164" formatCode="_(* #,##0_);_(* \(#,##0\);_(* &quot;-&quot;??_);_(@_)"/>
    </dxf>
    <dxf>
      <font>
        <sz val="10"/>
      </font>
    </dxf>
    <dxf>
      <font>
        <sz val="10"/>
      </font>
    </dxf>
    <dxf>
      <font>
        <sz val="10"/>
      </font>
    </dxf>
    <dxf>
      <font>
        <sz val="10"/>
      </font>
    </dxf>
    <dxf>
      <font>
        <sz val="10"/>
      </font>
    </dxf>
    <dxf>
      <font>
        <sz val="10"/>
      </font>
    </dxf>
    <dxf>
      <font>
        <sz val="10"/>
      </font>
    </dxf>
    <dxf>
      <font>
        <sz val="10"/>
      </font>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165" formatCode="_(* #,##0.0_);_(* \(#,##0.0\);_(* &quot;-&quot;??_);_(@_)"/>
    </dxf>
    <dxf>
      <numFmt numFmtId="165" formatCode="_(* #,##0.0_);_(* \(#,##0.0\);_(* &quot;-&quot;??_);_(@_)"/>
    </dxf>
    <dxf>
      <numFmt numFmtId="165" formatCode="_(* #,##0.0_);_(* \(#,##0.0\);_(* &quot;-&quot;??_);_(@_)"/>
    </dxf>
    <dxf>
      <numFmt numFmtId="165" formatCode="_(* #,##0.0_);_(* \(#,##0.0\);_(* &quot;-&quot;??_);_(@_)"/>
    </dxf>
    <dxf>
      <numFmt numFmtId="165" formatCode="_(* #,##0.0_);_(* \(#,##0.0\);_(* &quot;-&quot;??_);_(@_)"/>
    </dxf>
    <dxf>
      <numFmt numFmtId="165" formatCode="_(* #,##0.0_);_(* \(#,##0.0\);_(* &quot;-&quot;??_);_(@_)"/>
    </dxf>
    <dxf>
      <numFmt numFmtId="165" formatCode="_(* #,##0.0_);_(* \(#,##0.0\);_(* &quot;-&quot;??_);_(@_)"/>
    </dxf>
    <dxf>
      <numFmt numFmtId="165" formatCode="_(* #,##0.0_);_(* \(#,##0.0\);_(* &quot;-&quot;??_);_(@_)"/>
    </dxf>
    <dxf>
      <numFmt numFmtId="165" formatCode="_(* #,##0.0_);_(* \(#,##0.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6" formatCode="0.0"/>
    </dxf>
    <dxf>
      <numFmt numFmtId="1" formatCode="0"/>
    </dxf>
    <dxf>
      <numFmt numFmtId="35" formatCode="_(* #,##0.00_);_(* \(#,##0.00\);_(* &quot;-&quot;??_);_(@_)"/>
    </dxf>
    <dxf>
      <numFmt numFmtId="165" formatCode="_(* #,##0.0_);_(* \(#,##0.0\);_(* &quot;-&quot;??_);_(@_)"/>
    </dxf>
    <dxf>
      <numFmt numFmtId="164" formatCode="_(* #,##0_);_(* \(#,##0\);_(* &quot;-&quot;??_);_(@_)"/>
    </dxf>
    <dxf>
      <numFmt numFmtId="14" formatCode="0.00%"/>
    </dxf>
    <dxf>
      <numFmt numFmtId="166" formatCode="0.0"/>
    </dxf>
    <dxf>
      <numFmt numFmtId="1" formatCode="0"/>
    </dxf>
    <dxf>
      <numFmt numFmtId="35" formatCode="_(* #,##0.00_);_(* \(#,##0.00\);_(* &quot;-&quot;??_);_(@_)"/>
    </dxf>
    <dxf>
      <numFmt numFmtId="165" formatCode="_(* #,##0.0_);_(* \(#,##0.0\);_(* &quot;-&quot;??_);_(@_)"/>
    </dxf>
    <dxf>
      <numFmt numFmtId="164" formatCode="_(* #,##0_);_(* \(#,##0\);_(* &quot;-&quot;??_);_(@_)"/>
    </dxf>
    <dxf>
      <font>
        <sz val="10"/>
      </font>
    </dxf>
    <dxf>
      <font>
        <sz val="10"/>
      </font>
    </dxf>
    <dxf>
      <font>
        <sz val="10"/>
      </font>
    </dxf>
    <dxf>
      <font>
        <sz val="10"/>
      </font>
    </dxf>
    <dxf>
      <font>
        <sz val="10"/>
      </font>
    </dxf>
    <dxf>
      <font>
        <sz val="10"/>
      </font>
    </dxf>
    <dxf>
      <font>
        <sz val="10"/>
      </font>
    </dxf>
    <dxf>
      <font>
        <sz val="10"/>
      </font>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165" formatCode="_(* #,##0.0_);_(* \(#,##0.0\);_(* &quot;-&quot;??_);_(@_)"/>
    </dxf>
    <dxf>
      <numFmt numFmtId="165" formatCode="_(* #,##0.0_);_(* \(#,##0.0\);_(* &quot;-&quot;??_);_(@_)"/>
    </dxf>
    <dxf>
      <numFmt numFmtId="165" formatCode="_(* #,##0.0_);_(* \(#,##0.0\);_(* &quot;-&quot;??_);_(@_)"/>
    </dxf>
    <dxf>
      <numFmt numFmtId="165" formatCode="_(* #,##0.0_);_(* \(#,##0.0\);_(* &quot;-&quot;??_);_(@_)"/>
    </dxf>
    <dxf>
      <numFmt numFmtId="165" formatCode="_(* #,##0.0_);_(* \(#,##0.0\);_(* &quot;-&quot;??_);_(@_)"/>
    </dxf>
    <dxf>
      <numFmt numFmtId="165" formatCode="_(* #,##0.0_);_(* \(#,##0.0\);_(* &quot;-&quot;??_);_(@_)"/>
    </dxf>
    <dxf>
      <numFmt numFmtId="165" formatCode="_(* #,##0.0_);_(* \(#,##0.0\);_(* &quot;-&quot;??_);_(@_)"/>
    </dxf>
    <dxf>
      <numFmt numFmtId="165" formatCode="_(* #,##0.0_);_(* \(#,##0.0\);_(* &quot;-&quot;??_);_(@_)"/>
    </dxf>
    <dxf>
      <numFmt numFmtId="165" formatCode="_(* #,##0.0_);_(* \(#,##0.0\);_(* &quot;-&quot;??_);_(@_)"/>
    </dxf>
    <dxf>
      <numFmt numFmtId="165" formatCode="_(* #,##0.0_);_(* \(#,##0.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6" formatCode="0.0"/>
    </dxf>
    <dxf>
      <numFmt numFmtId="1" formatCode="0"/>
    </dxf>
    <dxf>
      <numFmt numFmtId="14" formatCode="0.00%"/>
    </dxf>
    <dxf>
      <numFmt numFmtId="35" formatCode="_(* #,##0.00_);_(* \(#,##0.00\);_(* &quot;-&quot;??_);_(@_)"/>
    </dxf>
    <dxf>
      <numFmt numFmtId="165" formatCode="_(* #,##0.0_);_(* \(#,##0.0\);_(* &quot;-&quot;??_);_(@_)"/>
    </dxf>
    <dxf>
      <numFmt numFmtId="164" formatCode="_(* #,##0_);_(* \(#,##0\);_(* &quot;-&quot;??_);_(@_)"/>
    </dxf>
    <dxf>
      <numFmt numFmtId="0" formatCode="General"/>
    </dxf>
    <dxf>
      <numFmt numFmtId="2" formatCode="0.00"/>
    </dxf>
    <dxf>
      <numFmt numFmtId="166" formatCode="0.0"/>
    </dxf>
    <dxf>
      <numFmt numFmtId="1" formatCode="0"/>
    </dxf>
    <dxf>
      <numFmt numFmtId="166" formatCode="0.0"/>
    </dxf>
    <dxf>
      <numFmt numFmtId="1" formatCode="0"/>
    </dxf>
    <dxf>
      <numFmt numFmtId="35" formatCode="_(* #,##0.00_);_(* \(#,##0.00\);_(* &quot;-&quot;??_);_(@_)"/>
    </dxf>
    <dxf>
      <numFmt numFmtId="165" formatCode="_(* #,##0.0_);_(* \(#,##0.0\);_(* &quot;-&quot;??_);_(@_)"/>
    </dxf>
    <dxf>
      <numFmt numFmtId="164" formatCode="_(* #,##0_);_(* \(#,##0\);_(* &quot;-&quot;??_);_(@_)"/>
    </dxf>
    <dxf>
      <numFmt numFmtId="166" formatCode="0.0"/>
    </dxf>
    <dxf>
      <numFmt numFmtId="1" formatCode="0"/>
    </dxf>
    <dxf>
      <numFmt numFmtId="35" formatCode="_(* #,##0.00_);_(* \(#,##0.00\);_(* &quot;-&quot;??_);_(@_)"/>
    </dxf>
    <dxf>
      <numFmt numFmtId="165" formatCode="_(* #,##0.0_);_(* \(#,##0.0\);_(* &quot;-&quot;??_);_(@_)"/>
    </dxf>
    <dxf>
      <numFmt numFmtId="164" formatCode="_(* #,##0_);_(* \(#,##0\);_(* &quot;-&quot;??_);_(@_)"/>
    </dxf>
    <dxf>
      <numFmt numFmtId="166" formatCode="0.0"/>
    </dxf>
    <dxf>
      <numFmt numFmtId="1" formatCode="0"/>
    </dxf>
    <dxf>
      <numFmt numFmtId="35" formatCode="_(* #,##0.00_);_(* \(#,##0.00\);_(* &quot;-&quot;??_);_(@_)"/>
    </dxf>
    <dxf>
      <numFmt numFmtId="165" formatCode="_(* #,##0.0_);_(* \(#,##0.0\);_(* &quot;-&quot;??_);_(@_)"/>
    </dxf>
    <dxf>
      <numFmt numFmtId="164" formatCode="_(* #,##0_);_(* \(#,##0\);_(* &quot;-&quot;??_);_(@_)"/>
    </dxf>
    <dxf>
      <numFmt numFmtId="166" formatCode="0.0"/>
    </dxf>
    <dxf>
      <numFmt numFmtId="1" formatCode="0"/>
    </dxf>
    <dxf>
      <numFmt numFmtId="35" formatCode="_(* #,##0.00_);_(* \(#,##0.00\);_(* &quot;-&quot;??_);_(@_)"/>
    </dxf>
    <dxf>
      <numFmt numFmtId="165" formatCode="_(* #,##0.0_);_(* \(#,##0.0\);_(* &quot;-&quot;??_);_(@_)"/>
    </dxf>
    <dxf>
      <numFmt numFmtId="164" formatCode="_(* #,##0_);_(* \(#,##0\);_(* &quot;-&quot;??_);_(@_)"/>
    </dxf>
    <dxf>
      <font>
        <sz val="10"/>
      </font>
    </dxf>
    <dxf>
      <font>
        <sz val="10"/>
      </font>
    </dxf>
    <dxf>
      <font>
        <sz val="10"/>
      </font>
    </dxf>
    <dxf>
      <font>
        <sz val="10"/>
      </font>
    </dxf>
    <dxf>
      <font>
        <sz val="10"/>
      </font>
    </dxf>
    <dxf>
      <font>
        <sz val="10"/>
      </font>
    </dxf>
    <dxf>
      <font>
        <sz val="10"/>
      </font>
    </dxf>
    <dxf>
      <font>
        <sz val="10"/>
      </font>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165" formatCode="_(* #,##0.0_);_(* \(#,##0.0\);_(* &quot;-&quot;??_);_(@_)"/>
    </dxf>
    <dxf>
      <numFmt numFmtId="165" formatCode="_(* #,##0.0_);_(* \(#,##0.0\);_(* &quot;-&quot;??_);_(@_)"/>
    </dxf>
    <dxf>
      <numFmt numFmtId="165" formatCode="_(* #,##0.0_);_(* \(#,##0.0\);_(* &quot;-&quot;??_);_(@_)"/>
    </dxf>
    <dxf>
      <numFmt numFmtId="165" formatCode="_(* #,##0.0_);_(* \(#,##0.0\);_(* &quot;-&quot;??_);_(@_)"/>
    </dxf>
    <dxf>
      <numFmt numFmtId="165" formatCode="_(* #,##0.0_);_(* \(#,##0.0\);_(* &quot;-&quot;??_);_(@_)"/>
    </dxf>
    <dxf>
      <numFmt numFmtId="165" formatCode="_(* #,##0.0_);_(* \(#,##0.0\);_(* &quot;-&quot;??_);_(@_)"/>
    </dxf>
    <dxf>
      <numFmt numFmtId="165" formatCode="_(* #,##0.0_);_(* \(#,##0.0\);_(* &quot;-&quot;??_);_(@_)"/>
    </dxf>
    <dxf>
      <numFmt numFmtId="165" formatCode="_(* #,##0.0_);_(* \(#,##0.0\);_(* &quot;-&quot;??_);_(@_)"/>
    </dxf>
    <dxf>
      <numFmt numFmtId="165" formatCode="_(* #,##0.0_);_(* \(#,##0.0\);_(* &quot;-&quot;??_);_(@_)"/>
    </dxf>
    <dxf>
      <numFmt numFmtId="165" formatCode="_(* #,##0.0_);_(* \(#,##0.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6" formatCode="0.0"/>
    </dxf>
    <dxf>
      <numFmt numFmtId="1" formatCode="0"/>
    </dxf>
    <dxf>
      <numFmt numFmtId="35" formatCode="_(* #,##0.00_);_(* \(#,##0.00\);_(* &quot;-&quot;??_);_(@_)"/>
    </dxf>
    <dxf>
      <numFmt numFmtId="165" formatCode="_(* #,##0.0_);_(* \(#,##0.0\);_(* &quot;-&quot;??_);_(@_)"/>
    </dxf>
    <dxf>
      <numFmt numFmtId="164" formatCode="_(* #,##0_);_(* \(#,##0\);_(* &quot;-&quot;??_);_(@_)"/>
    </dxf>
    <dxf>
      <numFmt numFmtId="14" formatCode="0.00%"/>
    </dxf>
    <dxf>
      <numFmt numFmtId="166" formatCode="0.0"/>
    </dxf>
    <dxf>
      <numFmt numFmtId="1" formatCode="0"/>
    </dxf>
    <dxf>
      <numFmt numFmtId="35" formatCode="_(* #,##0.00_);_(* \(#,##0.00\);_(* &quot;-&quot;??_);_(@_)"/>
    </dxf>
    <dxf>
      <numFmt numFmtId="165" formatCode="_(* #,##0.0_);_(* \(#,##0.0\);_(* &quot;-&quot;??_);_(@_)"/>
    </dxf>
    <dxf>
      <numFmt numFmtId="164" formatCode="_(* #,##0_);_(* \(#,##0\);_(* &quot;-&quot;??_);_(@_)"/>
    </dxf>
    <dxf>
      <numFmt numFmtId="166" formatCode="0.0"/>
    </dxf>
    <dxf>
      <numFmt numFmtId="1" formatCode="0"/>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165" formatCode="_(* #,##0.0_);_(* \(#,##0.0\);_(* &quot;-&quot;??_);_(@_)"/>
    </dxf>
    <dxf>
      <numFmt numFmtId="165" formatCode="_(* #,##0.0_);_(* \(#,##0.0\);_(* &quot;-&quot;??_);_(@_)"/>
    </dxf>
    <dxf>
      <numFmt numFmtId="165" formatCode="_(* #,##0.0_);_(* \(#,##0.0\);_(* &quot;-&quot;??_);_(@_)"/>
    </dxf>
    <dxf>
      <numFmt numFmtId="164" formatCode="_(* #,##0_);_(* \(#,##0\);_(* &quot;-&quot;??_);_(@_)"/>
    </dxf>
    <dxf>
      <numFmt numFmtId="164" formatCode="_(* #,##0_);_(* \(#,##0\);_(* &quot;-&quot;??_);_(@_)"/>
    </dxf>
    <dxf>
      <numFmt numFmtId="164" formatCode="_(* #,##0_);_(* \(#,##0\);_(* &quot;-&quot;??_);_(@_)"/>
    </dxf>
    <dxf>
      <numFmt numFmtId="166" formatCode="0.0"/>
    </dxf>
    <dxf>
      <numFmt numFmtId="1" formatCode="0"/>
    </dxf>
    <dxf>
      <numFmt numFmtId="166" formatCode="0.0"/>
    </dxf>
    <dxf>
      <numFmt numFmtId="1" formatCode="0"/>
    </dxf>
    <dxf>
      <numFmt numFmtId="166" formatCode="0.0"/>
    </dxf>
    <dxf>
      <numFmt numFmtId="1" formatCode="0"/>
    </dxf>
    <dxf>
      <numFmt numFmtId="35" formatCode="_(* #,##0.00_);_(* \(#,##0.00\);_(* &quot;-&quot;??_);_(@_)"/>
    </dxf>
    <dxf>
      <numFmt numFmtId="165" formatCode="_(* #,##0.0_);_(* \(#,##0.0\);_(* &quot;-&quot;??_);_(@_)"/>
    </dxf>
    <dxf>
      <numFmt numFmtId="164" formatCode="_(* #,##0_);_(* \(#,##0\);_(* &quot;-&quot;??_);_(@_)"/>
    </dxf>
    <dxf>
      <font>
        <sz val="10"/>
      </font>
    </dxf>
    <dxf>
      <font>
        <sz val="10"/>
      </font>
    </dxf>
    <dxf>
      <font>
        <sz val="10"/>
      </font>
    </dxf>
    <dxf>
      <font>
        <sz val="10"/>
      </font>
    </dxf>
    <dxf>
      <font>
        <sz val="10"/>
      </font>
    </dxf>
    <dxf>
      <font>
        <sz val="10"/>
      </font>
    </dxf>
    <dxf>
      <font>
        <sz val="10"/>
      </font>
    </dxf>
    <dxf>
      <font>
        <sz val="10"/>
      </font>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165" formatCode="_(* #,##0.0_);_(* \(#,##0.0\);_(* &quot;-&quot;??_);_(@_)"/>
    </dxf>
    <dxf>
      <numFmt numFmtId="165" formatCode="_(* #,##0.0_);_(* \(#,##0.0\);_(* &quot;-&quot;??_);_(@_)"/>
    </dxf>
    <dxf>
      <numFmt numFmtId="165" formatCode="_(* #,##0.0_);_(* \(#,##0.0\);_(* &quot;-&quot;??_);_(@_)"/>
    </dxf>
    <dxf>
      <numFmt numFmtId="165" formatCode="_(* #,##0.0_);_(* \(#,##0.0\);_(* &quot;-&quot;??_);_(@_)"/>
    </dxf>
    <dxf>
      <numFmt numFmtId="165" formatCode="_(* #,##0.0_);_(* \(#,##0.0\);_(* &quot;-&quot;??_);_(@_)"/>
    </dxf>
    <dxf>
      <numFmt numFmtId="165" formatCode="_(* #,##0.0_);_(* \(#,##0.0\);_(* &quot;-&quot;??_);_(@_)"/>
    </dxf>
    <dxf>
      <numFmt numFmtId="165" formatCode="_(* #,##0.0_);_(* \(#,##0.0\);_(* &quot;-&quot;??_);_(@_)"/>
    </dxf>
    <dxf>
      <numFmt numFmtId="165" formatCode="_(* #,##0.0_);_(* \(#,##0.0\);_(* &quot;-&quot;??_);_(@_)"/>
    </dxf>
    <dxf>
      <numFmt numFmtId="165" formatCode="_(* #,##0.0_);_(* \(#,##0.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2" formatCode="0.00"/>
    </dxf>
    <dxf>
      <numFmt numFmtId="166" formatCode="0.0"/>
    </dxf>
    <dxf>
      <numFmt numFmtId="1" formatCode="0"/>
    </dxf>
    <dxf>
      <numFmt numFmtId="166" formatCode="0.0"/>
    </dxf>
    <dxf>
      <numFmt numFmtId="1" formatCode="0"/>
    </dxf>
    <dxf>
      <numFmt numFmtId="35" formatCode="_(* #,##0.00_);_(* \(#,##0.00\);_(* &quot;-&quot;??_);_(@_)"/>
    </dxf>
    <dxf>
      <numFmt numFmtId="165" formatCode="_(* #,##0.0_);_(* \(#,##0.0\);_(* &quot;-&quot;??_);_(@_)"/>
    </dxf>
    <dxf>
      <numFmt numFmtId="164" formatCode="_(* #,##0_);_(* \(#,##0\);_(* &quot;-&quot;??_);_(@_)"/>
    </dxf>
    <dxf>
      <font>
        <sz val="10"/>
      </font>
    </dxf>
    <dxf>
      <font>
        <sz val="10"/>
      </font>
    </dxf>
    <dxf>
      <font>
        <sz val="10"/>
      </font>
    </dxf>
    <dxf>
      <font>
        <sz val="10"/>
      </font>
    </dxf>
    <dxf>
      <font>
        <sz val="10"/>
      </font>
    </dxf>
    <dxf>
      <font>
        <sz val="10"/>
      </font>
    </dxf>
    <dxf>
      <font>
        <sz val="10"/>
      </font>
    </dxf>
    <dxf>
      <font>
        <sz val="10"/>
      </font>
    </dxf>
    <dxf>
      <font>
        <sz val="10"/>
      </font>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14" formatCode="0.00%"/>
    </dxf>
    <dxf>
      <numFmt numFmtId="166" formatCode="0.0"/>
    </dxf>
    <dxf>
      <numFmt numFmtId="1" formatCode="0"/>
    </dxf>
    <dxf>
      <numFmt numFmtId="35" formatCode="_(* #,##0.00_);_(* \(#,##0.00\);_(* &quot;-&quot;??_);_(@_)"/>
    </dxf>
    <dxf>
      <numFmt numFmtId="165" formatCode="_(* #,##0.0_);_(* \(#,##0.0\);_(* &quot;-&quot;??_);_(@_)"/>
    </dxf>
    <dxf>
      <numFmt numFmtId="164" formatCode="_(* #,##0_);_(* \(#,##0\);_(* &quot;-&quot;??_);_(@_)"/>
    </dxf>
    <dxf>
      <numFmt numFmtId="166" formatCode="0.0"/>
    </dxf>
    <dxf>
      <numFmt numFmtId="1" formatCode="0"/>
    </dxf>
    <dxf>
      <numFmt numFmtId="35" formatCode="_(* #,##0.00_);_(* \(#,##0.00\);_(* &quot;-&quot;??_);_(@_)"/>
    </dxf>
    <dxf>
      <numFmt numFmtId="165" formatCode="_(* #,##0.0_);_(* \(#,##0.0\);_(* &quot;-&quot;??_);_(@_)"/>
    </dxf>
    <dxf>
      <numFmt numFmtId="164" formatCode="_(* #,##0_);_(* \(#,##0\);_(* &quot;-&quot;??_);_(@_)"/>
    </dxf>
    <dxf>
      <numFmt numFmtId="166" formatCode="0.0"/>
    </dxf>
    <dxf>
      <numFmt numFmtId="1" formatCode="0"/>
    </dxf>
    <dxf>
      <numFmt numFmtId="35" formatCode="_(* #,##0.00_);_(* \(#,##0.00\);_(* &quot;-&quot;??_);_(@_)"/>
    </dxf>
    <dxf>
      <numFmt numFmtId="165" formatCode="_(* #,##0.0_);_(* \(#,##0.0\);_(* &quot;-&quot;??_);_(@_)"/>
    </dxf>
    <dxf>
      <numFmt numFmtId="164" formatCode="_(* #,##0_);_(* \(#,##0\);_(* &quot;-&quot;??_);_(@_)"/>
    </dxf>
    <dxf>
      <numFmt numFmtId="166" formatCode="0.0"/>
    </dxf>
    <dxf>
      <numFmt numFmtId="1" formatCode="0"/>
    </dxf>
    <dxf>
      <numFmt numFmtId="35" formatCode="_(* #,##0.00_);_(* \(#,##0.00\);_(* &quot;-&quot;??_);_(@_)"/>
    </dxf>
    <dxf>
      <numFmt numFmtId="165" formatCode="_(* #,##0.0_);_(* \(#,##0.0\);_(* &quot;-&quot;??_);_(@_)"/>
    </dxf>
    <dxf>
      <numFmt numFmtId="164" formatCode="_(* #,##0_);_(* \(#,##0\);_(* &quot;-&quot;??_);_(@_)"/>
    </dxf>
    <dxf>
      <numFmt numFmtId="166" formatCode="0.0"/>
    </dxf>
    <dxf>
      <numFmt numFmtId="1" formatCode="0"/>
    </dxf>
    <dxf>
      <numFmt numFmtId="35" formatCode="_(* #,##0.00_);_(* \(#,##0.00\);_(* &quot;-&quot;??_);_(@_)"/>
    </dxf>
    <dxf>
      <numFmt numFmtId="165" formatCode="_(* #,##0.0_);_(* \(#,##0.0\);_(* &quot;-&quot;??_);_(@_)"/>
    </dxf>
    <dxf>
      <numFmt numFmtId="164" formatCode="_(* #,##0_);_(* \(#,##0\);_(* &quot;-&quot;??_);_(@_)"/>
    </dxf>
    <dxf>
      <numFmt numFmtId="14" formatCode="0.00%"/>
    </dxf>
    <dxf>
      <numFmt numFmtId="166" formatCode="0.0"/>
    </dxf>
    <dxf>
      <numFmt numFmtId="1" formatCode="0"/>
    </dxf>
    <dxf>
      <numFmt numFmtId="35" formatCode="_(* #,##0.00_);_(* \(#,##0.00\);_(* &quot;-&quot;??_);_(@_)"/>
    </dxf>
    <dxf>
      <numFmt numFmtId="165" formatCode="_(* #,##0.0_);_(* \(#,##0.0\);_(* &quot;-&quot;??_);_(@_)"/>
    </dxf>
    <dxf>
      <numFmt numFmtId="164" formatCode="_(* #,##0_);_(* \(#,##0\);_(* &quot;-&quot;??_);_(@_)"/>
    </dxf>
    <dxf>
      <numFmt numFmtId="14" formatCode="0.00%"/>
    </dxf>
    <dxf>
      <numFmt numFmtId="166" formatCode="0.0"/>
    </dxf>
    <dxf>
      <numFmt numFmtId="1" formatCode="0"/>
    </dxf>
    <dxf>
      <numFmt numFmtId="35" formatCode="_(* #,##0.00_);_(* \(#,##0.00\);_(* &quot;-&quot;??_);_(@_)"/>
    </dxf>
    <dxf>
      <numFmt numFmtId="165" formatCode="_(* #,##0.0_);_(* \(#,##0.0\);_(* &quot;-&quot;??_);_(@_)"/>
    </dxf>
    <dxf>
      <numFmt numFmtId="164" formatCode="_(* #,##0_);_(* \(#,##0\);_(* &quot;-&quot;??_);_(@_)"/>
    </dxf>
    <dxf>
      <numFmt numFmtId="14" formatCode="0.00%"/>
    </dxf>
    <dxf>
      <numFmt numFmtId="166" formatCode="0.0"/>
    </dxf>
    <dxf>
      <numFmt numFmtId="1" formatCode="0"/>
    </dxf>
    <dxf>
      <numFmt numFmtId="35" formatCode="_(* #,##0.00_);_(* \(#,##0.00\);_(* &quot;-&quot;??_);_(@_)"/>
    </dxf>
    <dxf>
      <numFmt numFmtId="165" formatCode="_(* #,##0.0_);_(* \(#,##0.0\);_(* &quot;-&quot;??_);_(@_)"/>
    </dxf>
    <dxf>
      <numFmt numFmtId="164" formatCode="_(* #,##0_);_(* \(#,##0\);_(* &quot;-&quot;??_);_(@_)"/>
    </dxf>
    <dxf>
      <numFmt numFmtId="14" formatCode="0.00%"/>
    </dxf>
    <dxf>
      <numFmt numFmtId="166" formatCode="0.0"/>
    </dxf>
    <dxf>
      <numFmt numFmtId="1" formatCode="0"/>
    </dxf>
    <dxf>
      <numFmt numFmtId="35" formatCode="_(* #,##0.00_);_(* \(#,##0.00\);_(* &quot;-&quot;??_);_(@_)"/>
    </dxf>
    <dxf>
      <numFmt numFmtId="165" formatCode="_(* #,##0.0_);_(* \(#,##0.0\);_(* &quot;-&quot;??_);_(@_)"/>
    </dxf>
    <dxf>
      <numFmt numFmtId="164" formatCode="_(* #,##0_);_(* \(#,##0\);_(* &quot;-&quot;??_);_(@_)"/>
    </dxf>
    <dxf>
      <numFmt numFmtId="14" formatCode="0.00%"/>
    </dxf>
    <dxf>
      <numFmt numFmtId="166" formatCode="0.0"/>
    </dxf>
    <dxf>
      <numFmt numFmtId="1" formatCode="0"/>
    </dxf>
    <dxf>
      <numFmt numFmtId="35" formatCode="_(* #,##0.00_);_(* \(#,##0.00\);_(* &quot;-&quot;??_);_(@_)"/>
    </dxf>
    <dxf>
      <numFmt numFmtId="165" formatCode="_(* #,##0.0_);_(* \(#,##0.0\);_(* &quot;-&quot;??_);_(@_)"/>
    </dxf>
    <dxf>
      <numFmt numFmtId="164" formatCode="_(* #,##0_);_(* \(#,##0\);_(* &quot;-&quot;??_);_(@_)"/>
    </dxf>
    <dxf>
      <numFmt numFmtId="14" formatCode="0.00%"/>
    </dxf>
    <dxf>
      <numFmt numFmtId="166" formatCode="0.0"/>
    </dxf>
    <dxf>
      <numFmt numFmtId="1" formatCode="0"/>
    </dxf>
    <dxf>
      <numFmt numFmtId="35" formatCode="_(* #,##0.00_);_(* \(#,##0.00\);_(* &quot;-&quot;??_);_(@_)"/>
    </dxf>
    <dxf>
      <numFmt numFmtId="165" formatCode="_(* #,##0.0_);_(* \(#,##0.0\);_(* &quot;-&quot;??_);_(@_)"/>
    </dxf>
    <dxf>
      <numFmt numFmtId="164" formatCode="_(* #,##0_);_(* \(#,##0\);_(* &quot;-&quot;??_);_(@_)"/>
    </dxf>
    <dxf>
      <numFmt numFmtId="164" formatCode="_(* #,##0_);_(* \(#,##0\);_(* &quot;-&quot;??_);_(@_)"/>
    </dxf>
    <dxf>
      <numFmt numFmtId="165" formatCode="_(* #,##0.0_);_(* \(#,##0.0\);_(* &quot;-&quot;??_);_(@_)"/>
    </dxf>
    <dxf>
      <numFmt numFmtId="35" formatCode="_(* #,##0.00_);_(* \(#,##0.00\);_(* &quot;-&quot;??_);_(@_)"/>
    </dxf>
    <dxf>
      <numFmt numFmtId="1" formatCode="0"/>
    </dxf>
    <dxf>
      <numFmt numFmtId="166" formatCode="0.0"/>
    </dxf>
    <dxf>
      <numFmt numFmtId="14" formatCode="0.00%"/>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font>
        <sz val="10"/>
      </font>
    </dxf>
    <dxf>
      <font>
        <sz val="10"/>
      </font>
    </dxf>
    <dxf>
      <font>
        <sz val="10"/>
      </font>
    </dxf>
    <dxf>
      <font>
        <sz val="10"/>
      </font>
    </dxf>
    <dxf>
      <font>
        <sz val="10"/>
      </font>
    </dxf>
    <dxf>
      <font>
        <sz val="10"/>
      </font>
    </dxf>
    <dxf>
      <font>
        <sz val="10"/>
      </font>
    </dxf>
    <dxf>
      <font>
        <sz val="10"/>
      </font>
    </dxf>
    <dxf>
      <font>
        <sz val="10"/>
      </font>
    </dxf>
    <dxf>
      <numFmt numFmtId="164" formatCode="_(* #,##0_);_(* \(#,##0\);_(* &quot;-&quot;??_);_(@_)"/>
    </dxf>
    <dxf>
      <numFmt numFmtId="165" formatCode="_(* #,##0.0_);_(* \(#,##0.0\);_(* &quot;-&quot;??_);_(@_)"/>
    </dxf>
    <dxf>
      <numFmt numFmtId="35" formatCode="_(* #,##0.00_);_(* \(#,##0.00\);_(* &quot;-&quot;??_);_(@_)"/>
    </dxf>
    <dxf>
      <numFmt numFmtId="1" formatCode="0"/>
    </dxf>
    <dxf>
      <numFmt numFmtId="166" formatCode="0.0"/>
    </dxf>
    <dxf>
      <numFmt numFmtId="1" formatCode="0"/>
    </dxf>
    <dxf>
      <numFmt numFmtId="166" formatCode="0.0"/>
    </dxf>
    <dxf>
      <numFmt numFmtId="2" formatCode="0.00"/>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5" formatCode="_(* #,##0.0_);_(* \(#,##0.0\);_(* &quot;-&quot;??_);_(@_)"/>
    </dxf>
    <dxf>
      <numFmt numFmtId="165" formatCode="_(* #,##0.0_);_(* \(#,##0.0\);_(* &quot;-&quot;??_);_(@_)"/>
    </dxf>
    <dxf>
      <numFmt numFmtId="165" formatCode="_(* #,##0.0_);_(* \(#,##0.0\);_(* &quot;-&quot;??_);_(@_)"/>
    </dxf>
    <dxf>
      <numFmt numFmtId="165" formatCode="_(* #,##0.0_);_(* \(#,##0.0\);_(* &quot;-&quot;??_);_(@_)"/>
    </dxf>
    <dxf>
      <numFmt numFmtId="165" formatCode="_(* #,##0.0_);_(* \(#,##0.0\);_(* &quot;-&quot;??_);_(@_)"/>
    </dxf>
    <dxf>
      <numFmt numFmtId="165" formatCode="_(* #,##0.0_);_(* \(#,##0.0\);_(* &quot;-&quot;??_);_(@_)"/>
    </dxf>
    <dxf>
      <numFmt numFmtId="165" formatCode="_(* #,##0.0_);_(* \(#,##0.0\);_(* &quot;-&quot;??_);_(@_)"/>
    </dxf>
    <dxf>
      <numFmt numFmtId="165" formatCode="_(* #,##0.0_);_(* \(#,##0.0\);_(* &quot;-&quot;??_);_(@_)"/>
    </dxf>
    <dxf>
      <numFmt numFmtId="165" formatCode="_(* #,##0.0_);_(* \(#,##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font>
        <sz val="10"/>
      </font>
    </dxf>
    <dxf>
      <font>
        <sz val="10"/>
      </font>
    </dxf>
    <dxf>
      <font>
        <sz val="10"/>
      </font>
    </dxf>
    <dxf>
      <font>
        <sz val="10"/>
      </font>
    </dxf>
    <dxf>
      <font>
        <sz val="10"/>
      </font>
    </dxf>
    <dxf>
      <font>
        <sz val="10"/>
      </font>
    </dxf>
    <dxf>
      <font>
        <sz val="10"/>
      </font>
    </dxf>
    <dxf>
      <font>
        <sz val="10"/>
      </font>
    </dxf>
    <dxf>
      <numFmt numFmtId="164" formatCode="_(* #,##0_);_(* \(#,##0\);_(* &quot;-&quot;??_);_(@_)"/>
    </dxf>
    <dxf>
      <numFmt numFmtId="165" formatCode="_(* #,##0.0_);_(* \(#,##0.0\);_(* &quot;-&quot;??_);_(@_)"/>
    </dxf>
    <dxf>
      <numFmt numFmtId="35" formatCode="_(* #,##0.00_);_(* \(#,##0.00\);_(* &quot;-&quot;??_);_(@_)"/>
    </dxf>
    <dxf>
      <numFmt numFmtId="1" formatCode="0"/>
    </dxf>
    <dxf>
      <numFmt numFmtId="166" formatCode="0.0"/>
    </dxf>
    <dxf>
      <numFmt numFmtId="164" formatCode="_(* #,##0_);_(* \(#,##0\);_(* &quot;-&quot;??_);_(@_)"/>
    </dxf>
    <dxf>
      <numFmt numFmtId="165" formatCode="_(* #,##0.0_);_(* \(#,##0.0\);_(* &quot;-&quot;??_);_(@_)"/>
    </dxf>
    <dxf>
      <numFmt numFmtId="35" formatCode="_(* #,##0.00_);_(* \(#,##0.00\);_(* &quot;-&quot;??_);_(@_)"/>
    </dxf>
    <dxf>
      <numFmt numFmtId="1" formatCode="0"/>
    </dxf>
    <dxf>
      <numFmt numFmtId="166" formatCode="0.0"/>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5" formatCode="_(* #,##0.0_);_(* \(#,##0.0\);_(* &quot;-&quot;??_);_(@_)"/>
    </dxf>
    <dxf>
      <numFmt numFmtId="165" formatCode="_(* #,##0.0_);_(* \(#,##0.0\);_(* &quot;-&quot;??_);_(@_)"/>
    </dxf>
    <dxf>
      <numFmt numFmtId="165" formatCode="_(* #,##0.0_);_(* \(#,##0.0\);_(* &quot;-&quot;??_);_(@_)"/>
    </dxf>
    <dxf>
      <numFmt numFmtId="165" formatCode="_(* #,##0.0_);_(* \(#,##0.0\);_(* &quot;-&quot;??_);_(@_)"/>
    </dxf>
    <dxf>
      <numFmt numFmtId="165" formatCode="_(* #,##0.0_);_(* \(#,##0.0\);_(* &quot;-&quot;??_);_(@_)"/>
    </dxf>
    <dxf>
      <numFmt numFmtId="165" formatCode="_(* #,##0.0_);_(* \(#,##0.0\);_(* &quot;-&quot;??_);_(@_)"/>
    </dxf>
    <dxf>
      <numFmt numFmtId="165" formatCode="_(* #,##0.0_);_(* \(#,##0.0\);_(* &quot;-&quot;??_);_(@_)"/>
    </dxf>
    <dxf>
      <numFmt numFmtId="165" formatCode="_(* #,##0.0_);_(* \(#,##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font>
        <sz val="10"/>
      </font>
    </dxf>
    <dxf>
      <font>
        <sz val="10"/>
      </font>
    </dxf>
    <dxf>
      <font>
        <sz val="10"/>
      </font>
    </dxf>
    <dxf>
      <font>
        <sz val="10"/>
      </font>
    </dxf>
    <dxf>
      <font>
        <sz val="10"/>
      </font>
    </dxf>
    <dxf>
      <font>
        <sz val="10"/>
      </font>
    </dxf>
    <dxf>
      <font>
        <sz val="10"/>
      </font>
    </dxf>
    <dxf>
      <font>
        <sz val="10"/>
      </font>
    </dxf>
    <dxf>
      <numFmt numFmtId="164" formatCode="_(* #,##0_);_(* \(#,##0\);_(* &quot;-&quot;??_);_(@_)"/>
    </dxf>
    <dxf>
      <numFmt numFmtId="165" formatCode="_(* #,##0.0_);_(* \(#,##0.0\);_(* &quot;-&quot;??_);_(@_)"/>
    </dxf>
    <dxf>
      <numFmt numFmtId="35" formatCode="_(* #,##0.00_);_(* \(#,##0.00\);_(* &quot;-&quot;??_);_(@_)"/>
    </dxf>
    <dxf>
      <numFmt numFmtId="1" formatCode="0"/>
    </dxf>
    <dxf>
      <numFmt numFmtId="166" formatCode="0.0"/>
    </dxf>
    <dxf>
      <numFmt numFmtId="1" formatCode="0"/>
    </dxf>
    <dxf>
      <numFmt numFmtId="166" formatCode="0.0"/>
    </dxf>
    <dxf>
      <numFmt numFmtId="1" formatCode="0"/>
    </dxf>
    <dxf>
      <numFmt numFmtId="166" formatCode="0.0"/>
    </dxf>
    <dxf>
      <numFmt numFmtId="1" formatCode="0"/>
    </dxf>
    <dxf>
      <numFmt numFmtId="166" formatCode="0.0"/>
    </dxf>
    <dxf>
      <numFmt numFmtId="164" formatCode="_(* #,##0_);_(* \(#,##0\);_(* &quot;-&quot;??_);_(@_)"/>
    </dxf>
    <dxf>
      <numFmt numFmtId="165" formatCode="_(* #,##0.0_);_(* \(#,##0.0\);_(* &quot;-&quot;??_);_(@_)"/>
    </dxf>
    <dxf>
      <numFmt numFmtId="35" formatCode="_(* #,##0.00_);_(* \(#,##0.00\);_(* &quot;-&quot;??_);_(@_)"/>
    </dxf>
    <dxf>
      <numFmt numFmtId="1" formatCode="0"/>
    </dxf>
    <dxf>
      <numFmt numFmtId="166" formatCode="0.0"/>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5" formatCode="_(* #,##0.0_);_(* \(#,##0.0\);_(* &quot;-&quot;??_);_(@_)"/>
    </dxf>
    <dxf>
      <numFmt numFmtId="165" formatCode="_(* #,##0.0_);_(* \(#,##0.0\);_(* &quot;-&quot;??_);_(@_)"/>
    </dxf>
    <dxf>
      <numFmt numFmtId="165" formatCode="_(* #,##0.0_);_(* \(#,##0.0\);_(* &quot;-&quot;??_);_(@_)"/>
    </dxf>
    <dxf>
      <numFmt numFmtId="165" formatCode="_(* #,##0.0_);_(* \(#,##0.0\);_(* &quot;-&quot;??_);_(@_)"/>
    </dxf>
    <dxf>
      <numFmt numFmtId="165" formatCode="_(* #,##0.0_);_(* \(#,##0.0\);_(* &quot;-&quot;??_);_(@_)"/>
    </dxf>
    <dxf>
      <numFmt numFmtId="165" formatCode="_(* #,##0.0_);_(* \(#,##0.0\);_(* &quot;-&quot;??_);_(@_)"/>
    </dxf>
    <dxf>
      <numFmt numFmtId="165" formatCode="_(* #,##0.0_);_(* \(#,##0.0\);_(* &quot;-&quot;??_);_(@_)"/>
    </dxf>
    <dxf>
      <numFmt numFmtId="165" formatCode="_(* #,##0.0_);_(* \(#,##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font>
        <sz val="10"/>
      </font>
    </dxf>
    <dxf>
      <font>
        <sz val="10"/>
      </font>
    </dxf>
    <dxf>
      <font>
        <sz val="10"/>
      </font>
    </dxf>
    <dxf>
      <font>
        <sz val="10"/>
      </font>
    </dxf>
    <dxf>
      <font>
        <sz val="10"/>
      </font>
    </dxf>
    <dxf>
      <font>
        <sz val="10"/>
      </font>
    </dxf>
    <dxf>
      <font>
        <sz val="10"/>
      </font>
    </dxf>
    <dxf>
      <font>
        <sz val="10"/>
      </font>
    </dxf>
    <dxf>
      <numFmt numFmtId="164" formatCode="_(* #,##0_);_(* \(#,##0\);_(* &quot;-&quot;??_);_(@_)"/>
    </dxf>
    <dxf>
      <numFmt numFmtId="165" formatCode="_(* #,##0.0_);_(* \(#,##0.0\);_(* &quot;-&quot;??_);_(@_)"/>
    </dxf>
    <dxf>
      <numFmt numFmtId="35" formatCode="_(* #,##0.00_);_(* \(#,##0.00\);_(* &quot;-&quot;??_);_(@_)"/>
    </dxf>
    <dxf>
      <numFmt numFmtId="1" formatCode="0"/>
    </dxf>
    <dxf>
      <numFmt numFmtId="166" formatCode="0.0"/>
    </dxf>
    <dxf>
      <numFmt numFmtId="164" formatCode="_(* #,##0_);_(* \(#,##0\);_(* &quot;-&quot;??_);_(@_)"/>
    </dxf>
    <dxf>
      <numFmt numFmtId="164" formatCode="_(* #,##0_);_(* \(#,##0\);_(* &quot;-&quot;??_);_(@_)"/>
    </dxf>
    <dxf>
      <numFmt numFmtId="164" formatCode="_(* #,##0_);_(* \(#,##0\);_(* &quot;-&quot;??_);_(@_)"/>
    </dxf>
    <dxf>
      <numFmt numFmtId="165" formatCode="_(* #,##0.0_);_(* \(#,##0.0\);_(* &quot;-&quot;??_);_(@_)"/>
    </dxf>
    <dxf>
      <numFmt numFmtId="165" formatCode="_(* #,##0.0_);_(* \(#,##0.0\);_(* &quot;-&quot;??_);_(@_)"/>
    </dxf>
    <dxf>
      <numFmt numFmtId="165" formatCode="_(* #,##0.0_);_(* \(#,##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1" formatCode="0"/>
    </dxf>
    <dxf>
      <numFmt numFmtId="166" formatCode="0.0"/>
    </dxf>
    <dxf>
      <numFmt numFmtId="164" formatCode="_(* #,##0_);_(* \(#,##0\);_(* &quot;-&quot;??_);_(@_)"/>
    </dxf>
    <dxf>
      <numFmt numFmtId="165" formatCode="_(* #,##0.0_);_(* \(#,##0.0\);_(* &quot;-&quot;??_);_(@_)"/>
    </dxf>
    <dxf>
      <numFmt numFmtId="35" formatCode="_(* #,##0.00_);_(* \(#,##0.00\);_(* &quot;-&quot;??_);_(@_)"/>
    </dxf>
    <dxf>
      <numFmt numFmtId="1" formatCode="0"/>
    </dxf>
    <dxf>
      <numFmt numFmtId="166" formatCode="0.0"/>
    </dxf>
    <dxf>
      <numFmt numFmtId="14" formatCode="0.00%"/>
    </dxf>
    <dxf>
      <numFmt numFmtId="164" formatCode="_(* #,##0_);_(* \(#,##0\);_(* &quot;-&quot;??_);_(@_)"/>
    </dxf>
    <dxf>
      <numFmt numFmtId="165" formatCode="_(* #,##0.0_);_(* \(#,##0.0\);_(* &quot;-&quot;??_);_(@_)"/>
    </dxf>
    <dxf>
      <numFmt numFmtId="35" formatCode="_(* #,##0.00_);_(* \(#,##0.00\);_(* &quot;-&quot;??_);_(@_)"/>
    </dxf>
    <dxf>
      <numFmt numFmtId="1" formatCode="0"/>
    </dxf>
    <dxf>
      <numFmt numFmtId="166" formatCode="0.0"/>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5" formatCode="_(* #,##0.0_);_(* \(#,##0.0\);_(* &quot;-&quot;??_);_(@_)"/>
    </dxf>
    <dxf>
      <numFmt numFmtId="165" formatCode="_(* #,##0.0_);_(* \(#,##0.0\);_(* &quot;-&quot;??_);_(@_)"/>
    </dxf>
    <dxf>
      <numFmt numFmtId="165" formatCode="_(* #,##0.0_);_(* \(#,##0.0\);_(* &quot;-&quot;??_);_(@_)"/>
    </dxf>
    <dxf>
      <numFmt numFmtId="165" formatCode="_(* #,##0.0_);_(* \(#,##0.0\);_(* &quot;-&quot;??_);_(@_)"/>
    </dxf>
    <dxf>
      <numFmt numFmtId="165" formatCode="_(* #,##0.0_);_(* \(#,##0.0\);_(* &quot;-&quot;??_);_(@_)"/>
    </dxf>
    <dxf>
      <numFmt numFmtId="165" formatCode="_(* #,##0.0_);_(* \(#,##0.0\);_(* &quot;-&quot;??_);_(@_)"/>
    </dxf>
    <dxf>
      <numFmt numFmtId="165" formatCode="_(* #,##0.0_);_(* \(#,##0.0\);_(* &quot;-&quot;??_);_(@_)"/>
    </dxf>
    <dxf>
      <numFmt numFmtId="165" formatCode="_(* #,##0.0_);_(* \(#,##0.0\);_(* &quot;-&quot;??_);_(@_)"/>
    </dxf>
    <dxf>
      <numFmt numFmtId="165" formatCode="_(* #,##0.0_);_(* \(#,##0.0\);_(* &quot;-&quot;??_);_(@_)"/>
    </dxf>
    <dxf>
      <numFmt numFmtId="165" formatCode="_(* #,##0.0_);_(* \(#,##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font>
        <sz val="10"/>
      </font>
    </dxf>
    <dxf>
      <font>
        <sz val="10"/>
      </font>
    </dxf>
    <dxf>
      <font>
        <sz val="10"/>
      </font>
    </dxf>
    <dxf>
      <font>
        <sz val="10"/>
      </font>
    </dxf>
    <dxf>
      <font>
        <sz val="10"/>
      </font>
    </dxf>
    <dxf>
      <font>
        <sz val="10"/>
      </font>
    </dxf>
    <dxf>
      <font>
        <sz val="10"/>
      </font>
    </dxf>
    <dxf>
      <font>
        <sz val="10"/>
      </font>
    </dxf>
    <dxf>
      <numFmt numFmtId="164" formatCode="_(* #,##0_);_(* \(#,##0\);_(* &quot;-&quot;??_);_(@_)"/>
    </dxf>
    <dxf>
      <numFmt numFmtId="165" formatCode="_(* #,##0.0_);_(* \(#,##0.0\);_(* &quot;-&quot;??_);_(@_)"/>
    </dxf>
    <dxf>
      <numFmt numFmtId="35" formatCode="_(* #,##0.00_);_(* \(#,##0.00\);_(* &quot;-&quot;??_);_(@_)"/>
    </dxf>
    <dxf>
      <numFmt numFmtId="1" formatCode="0"/>
    </dxf>
    <dxf>
      <numFmt numFmtId="166" formatCode="0.0"/>
    </dxf>
    <dxf>
      <numFmt numFmtId="164" formatCode="_(* #,##0_);_(* \(#,##0\);_(* &quot;-&quot;??_);_(@_)"/>
    </dxf>
    <dxf>
      <numFmt numFmtId="165" formatCode="_(* #,##0.0_);_(* \(#,##0.0\);_(* &quot;-&quot;??_);_(@_)"/>
    </dxf>
    <dxf>
      <numFmt numFmtId="35" formatCode="_(* #,##0.00_);_(* \(#,##0.00\);_(* &quot;-&quot;??_);_(@_)"/>
    </dxf>
    <dxf>
      <numFmt numFmtId="1" formatCode="0"/>
    </dxf>
    <dxf>
      <numFmt numFmtId="166" formatCode="0.0"/>
    </dxf>
    <dxf>
      <numFmt numFmtId="164" formatCode="_(* #,##0_);_(* \(#,##0\);_(* &quot;-&quot;??_);_(@_)"/>
    </dxf>
    <dxf>
      <numFmt numFmtId="165" formatCode="_(* #,##0.0_);_(* \(#,##0.0\);_(* &quot;-&quot;??_);_(@_)"/>
    </dxf>
    <dxf>
      <numFmt numFmtId="35" formatCode="_(* #,##0.00_);_(* \(#,##0.00\);_(* &quot;-&quot;??_);_(@_)"/>
    </dxf>
    <dxf>
      <numFmt numFmtId="1" formatCode="0"/>
    </dxf>
    <dxf>
      <numFmt numFmtId="166" formatCode="0.0"/>
    </dxf>
    <dxf>
      <numFmt numFmtId="164" formatCode="_(* #,##0_);_(* \(#,##0\);_(* &quot;-&quot;??_);_(@_)"/>
    </dxf>
    <dxf>
      <numFmt numFmtId="165" formatCode="_(* #,##0.0_);_(* \(#,##0.0\);_(* &quot;-&quot;??_);_(@_)"/>
    </dxf>
    <dxf>
      <numFmt numFmtId="35" formatCode="_(* #,##0.00_);_(* \(#,##0.00\);_(* &quot;-&quot;??_);_(@_)"/>
    </dxf>
    <dxf>
      <numFmt numFmtId="1" formatCode="0"/>
    </dxf>
    <dxf>
      <numFmt numFmtId="166" formatCode="0.0"/>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5" formatCode="_(* #,##0.0_);_(* \(#,##0.0\);_(* &quot;-&quot;??_);_(@_)"/>
    </dxf>
    <dxf>
      <numFmt numFmtId="165" formatCode="_(* #,##0.0_);_(* \(#,##0.0\);_(* &quot;-&quot;??_);_(@_)"/>
    </dxf>
    <dxf>
      <numFmt numFmtId="165" formatCode="_(* #,##0.0_);_(* \(#,##0.0\);_(* &quot;-&quot;??_);_(@_)"/>
    </dxf>
    <dxf>
      <numFmt numFmtId="165" formatCode="_(* #,##0.0_);_(* \(#,##0.0\);_(* &quot;-&quot;??_);_(@_)"/>
    </dxf>
    <dxf>
      <numFmt numFmtId="165" formatCode="_(* #,##0.0_);_(* \(#,##0.0\);_(* &quot;-&quot;??_);_(@_)"/>
    </dxf>
    <dxf>
      <numFmt numFmtId="165" formatCode="_(* #,##0.0_);_(* \(#,##0.0\);_(* &quot;-&quot;??_);_(@_)"/>
    </dxf>
    <dxf>
      <numFmt numFmtId="165" formatCode="_(* #,##0.0_);_(* \(#,##0.0\);_(* &quot;-&quot;??_);_(@_)"/>
    </dxf>
    <dxf>
      <numFmt numFmtId="165" formatCode="_(* #,##0.0_);_(* \(#,##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font>
        <sz val="10"/>
      </font>
    </dxf>
    <dxf>
      <font>
        <sz val="10"/>
      </font>
    </dxf>
    <dxf>
      <font>
        <sz val="10"/>
      </font>
    </dxf>
    <dxf>
      <font>
        <sz val="10"/>
      </font>
    </dxf>
    <dxf>
      <font>
        <sz val="10"/>
      </font>
    </dxf>
    <dxf>
      <font>
        <sz val="10"/>
      </font>
    </dxf>
    <dxf>
      <font>
        <sz val="10"/>
      </font>
    </dxf>
    <dxf>
      <font>
        <sz val="10"/>
      </font>
    </dxf>
    <dxf>
      <numFmt numFmtId="164" formatCode="_(* #,##0_);_(* \(#,##0\);_(* &quot;-&quot;??_);_(@_)"/>
    </dxf>
    <dxf>
      <numFmt numFmtId="165" formatCode="_(* #,##0.0_);_(* \(#,##0.0\);_(* &quot;-&quot;??_);_(@_)"/>
    </dxf>
    <dxf>
      <numFmt numFmtId="35" formatCode="_(* #,##0.00_);_(* \(#,##0.00\);_(* &quot;-&quot;??_);_(@_)"/>
    </dxf>
    <dxf>
      <numFmt numFmtId="1" formatCode="0"/>
    </dxf>
    <dxf>
      <numFmt numFmtId="166" formatCode="0.0"/>
    </dxf>
    <dxf>
      <numFmt numFmtId="164" formatCode="_(* #,##0_);_(* \(#,##0\);_(* &quot;-&quot;??_);_(@_)"/>
    </dxf>
    <dxf>
      <numFmt numFmtId="165" formatCode="_(* #,##0.0_);_(* \(#,##0.0\);_(* &quot;-&quot;??_);_(@_)"/>
    </dxf>
    <dxf>
      <numFmt numFmtId="35" formatCode="_(* #,##0.00_);_(* \(#,##0.00\);_(* &quot;-&quot;??_);_(@_)"/>
    </dxf>
    <dxf>
      <numFmt numFmtId="1" formatCode="0"/>
    </dxf>
    <dxf>
      <numFmt numFmtId="166" formatCode="0.0"/>
    </dxf>
    <dxf>
      <numFmt numFmtId="1" formatCode="0"/>
    </dxf>
    <dxf>
      <numFmt numFmtId="166" formatCode="0.0"/>
    </dxf>
    <dxf>
      <numFmt numFmtId="2" formatCode="0.00"/>
    </dxf>
    <dxf>
      <numFmt numFmtId="0" formatCode="General"/>
    </dxf>
    <dxf>
      <numFmt numFmtId="164" formatCode="_(* #,##0_);_(* \(#,##0\);_(* &quot;-&quot;??_);_(@_)"/>
    </dxf>
    <dxf>
      <numFmt numFmtId="165" formatCode="_(* #,##0.0_);_(* \(#,##0.0\);_(* &quot;-&quot;??_);_(@_)"/>
    </dxf>
    <dxf>
      <numFmt numFmtId="35" formatCode="_(* #,##0.00_);_(* \(#,##0.00\);_(* &quot;-&quot;??_);_(@_)"/>
    </dxf>
    <dxf>
      <numFmt numFmtId="14" formatCode="0.00%"/>
    </dxf>
    <dxf>
      <numFmt numFmtId="1" formatCode="0"/>
    </dxf>
    <dxf>
      <numFmt numFmtId="166" formatCode="0.0"/>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5" formatCode="_(* #,##0.0_);_(* \(#,##0.0\);_(* &quot;-&quot;??_);_(@_)"/>
    </dxf>
    <dxf>
      <numFmt numFmtId="165" formatCode="_(* #,##0.0_);_(* \(#,##0.0\);_(* &quot;-&quot;??_);_(@_)"/>
    </dxf>
    <dxf>
      <numFmt numFmtId="165" formatCode="_(* #,##0.0_);_(* \(#,##0.0\);_(* &quot;-&quot;??_);_(@_)"/>
    </dxf>
    <dxf>
      <numFmt numFmtId="165" formatCode="_(* #,##0.0_);_(* \(#,##0.0\);_(* &quot;-&quot;??_);_(@_)"/>
    </dxf>
    <dxf>
      <numFmt numFmtId="165" formatCode="_(* #,##0.0_);_(* \(#,##0.0\);_(* &quot;-&quot;??_);_(@_)"/>
    </dxf>
    <dxf>
      <numFmt numFmtId="165" formatCode="_(* #,##0.0_);_(* \(#,##0.0\);_(* &quot;-&quot;??_);_(@_)"/>
    </dxf>
    <dxf>
      <numFmt numFmtId="165" formatCode="_(* #,##0.0_);_(* \(#,##0.0\);_(* &quot;-&quot;??_);_(@_)"/>
    </dxf>
    <dxf>
      <numFmt numFmtId="165" formatCode="_(* #,##0.0_);_(* \(#,##0.0\);_(* &quot;-&quot;??_);_(@_)"/>
    </dxf>
    <dxf>
      <numFmt numFmtId="165" formatCode="_(* #,##0.0_);_(* \(#,##0.0\);_(* &quot;-&quot;??_);_(@_)"/>
    </dxf>
    <dxf>
      <numFmt numFmtId="165" formatCode="_(* #,##0.0_);_(* \(#,##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font>
        <sz val="10"/>
      </font>
    </dxf>
    <dxf>
      <font>
        <sz val="10"/>
      </font>
    </dxf>
    <dxf>
      <font>
        <sz val="10"/>
      </font>
    </dxf>
    <dxf>
      <font>
        <sz val="10"/>
      </font>
    </dxf>
    <dxf>
      <font>
        <sz val="10"/>
      </font>
    </dxf>
    <dxf>
      <font>
        <sz val="10"/>
      </font>
    </dxf>
    <dxf>
      <font>
        <sz val="10"/>
      </font>
    </dxf>
    <dxf>
      <font>
        <sz val="10"/>
      </font>
    </dxf>
    <dxf>
      <numFmt numFmtId="164" formatCode="_(* #,##0_);_(* \(#,##0\);_(* &quot;-&quot;??_);_(@_)"/>
    </dxf>
    <dxf>
      <numFmt numFmtId="165" formatCode="_(* #,##0.0_);_(* \(#,##0.0\);_(* &quot;-&quot;??_);_(@_)"/>
    </dxf>
    <dxf>
      <numFmt numFmtId="35" formatCode="_(* #,##0.00_);_(* \(#,##0.00\);_(* &quot;-&quot;??_);_(@_)"/>
    </dxf>
    <dxf>
      <numFmt numFmtId="1" formatCode="0"/>
    </dxf>
    <dxf>
      <numFmt numFmtId="166" formatCode="0.0"/>
    </dxf>
    <dxf>
      <numFmt numFmtId="14" formatCode="0.00%"/>
    </dxf>
    <dxf>
      <numFmt numFmtId="164" formatCode="_(* #,##0_);_(* \(#,##0\);_(* &quot;-&quot;??_);_(@_)"/>
    </dxf>
    <dxf>
      <numFmt numFmtId="165" formatCode="_(* #,##0.0_);_(* \(#,##0.0\);_(* &quot;-&quot;??_);_(@_)"/>
    </dxf>
    <dxf>
      <numFmt numFmtId="35" formatCode="_(* #,##0.00_);_(* \(#,##0.00\);_(* &quot;-&quot;??_);_(@_)"/>
    </dxf>
    <dxf>
      <numFmt numFmtId="1" formatCode="0"/>
    </dxf>
    <dxf>
      <numFmt numFmtId="166" formatCode="0.0"/>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5" formatCode="_(* #,##0.0_);_(* \(#,##0.0\);_(* &quot;-&quot;??_);_(@_)"/>
    </dxf>
    <dxf>
      <numFmt numFmtId="165" formatCode="_(* #,##0.0_);_(* \(#,##0.0\);_(* &quot;-&quot;??_);_(@_)"/>
    </dxf>
    <dxf>
      <numFmt numFmtId="165" formatCode="_(* #,##0.0_);_(* \(#,##0.0\);_(* &quot;-&quot;??_);_(@_)"/>
    </dxf>
    <dxf>
      <numFmt numFmtId="165" formatCode="_(* #,##0.0_);_(* \(#,##0.0\);_(* &quot;-&quot;??_);_(@_)"/>
    </dxf>
    <dxf>
      <numFmt numFmtId="165" formatCode="_(* #,##0.0_);_(* \(#,##0.0\);_(* &quot;-&quot;??_);_(@_)"/>
    </dxf>
    <dxf>
      <numFmt numFmtId="165" formatCode="_(* #,##0.0_);_(* \(#,##0.0\);_(* &quot;-&quot;??_);_(@_)"/>
    </dxf>
    <dxf>
      <numFmt numFmtId="165" formatCode="_(* #,##0.0_);_(* \(#,##0.0\);_(* &quot;-&quot;??_);_(@_)"/>
    </dxf>
    <dxf>
      <numFmt numFmtId="165" formatCode="_(* #,##0.0_);_(* \(#,##0.0\);_(* &quot;-&quot;??_);_(@_)"/>
    </dxf>
    <dxf>
      <numFmt numFmtId="165" formatCode="_(* #,##0.0_);_(* \(#,##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font>
        <sz val="10"/>
      </font>
    </dxf>
    <dxf>
      <font>
        <sz val="10"/>
      </font>
    </dxf>
    <dxf>
      <font>
        <sz val="10"/>
      </font>
    </dxf>
    <dxf>
      <font>
        <sz val="10"/>
      </font>
    </dxf>
    <dxf>
      <font>
        <sz val="10"/>
      </font>
    </dxf>
    <dxf>
      <font>
        <sz val="10"/>
      </font>
    </dxf>
    <dxf>
      <font>
        <sz val="10"/>
      </font>
    </dxf>
    <dxf>
      <font>
        <sz val="10"/>
      </font>
    </dxf>
    <dxf>
      <numFmt numFmtId="164" formatCode="_(* #,##0_);_(* \(#,##0\);_(* &quot;-&quot;??_);_(@_)"/>
    </dxf>
    <dxf>
      <numFmt numFmtId="165" formatCode="_(* #,##0.0_);_(* \(#,##0.0\);_(* &quot;-&quot;??_);_(@_)"/>
    </dxf>
    <dxf>
      <numFmt numFmtId="35" formatCode="_(* #,##0.00_);_(* \(#,##0.00\);_(* &quot;-&quot;??_);_(@_)"/>
    </dxf>
    <dxf>
      <numFmt numFmtId="1" formatCode="0"/>
    </dxf>
    <dxf>
      <numFmt numFmtId="166" formatCode="0.0"/>
    </dxf>
    <dxf>
      <numFmt numFmtId="1" formatCode="0"/>
    </dxf>
    <dxf>
      <numFmt numFmtId="166" formatCode="0.0"/>
    </dxf>
    <dxf>
      <numFmt numFmtId="14" formatCode="0.00%"/>
    </dxf>
    <dxf>
      <numFmt numFmtId="1" formatCode="0"/>
    </dxf>
    <dxf>
      <numFmt numFmtId="166" formatCode="0.0"/>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5" formatCode="_(* #,##0.0_);_(* \(#,##0.0\);_(* &quot;-&quot;??_);_(@_)"/>
    </dxf>
    <dxf>
      <numFmt numFmtId="165" formatCode="_(* #,##0.0_);_(* \(#,##0.0\);_(* &quot;-&quot;??_);_(@_)"/>
    </dxf>
    <dxf>
      <numFmt numFmtId="165" formatCode="_(* #,##0.0_);_(* \(#,##0.0\);_(* &quot;-&quot;??_);_(@_)"/>
    </dxf>
    <dxf>
      <numFmt numFmtId="165" formatCode="_(* #,##0.0_);_(* \(#,##0.0\);_(* &quot;-&quot;??_);_(@_)"/>
    </dxf>
    <dxf>
      <numFmt numFmtId="165" formatCode="_(* #,##0.0_);_(* \(#,##0.0\);_(* &quot;-&quot;??_);_(@_)"/>
    </dxf>
    <dxf>
      <numFmt numFmtId="165" formatCode="_(* #,##0.0_);_(* \(#,##0.0\);_(* &quot;-&quot;??_);_(@_)"/>
    </dxf>
    <dxf>
      <numFmt numFmtId="165" formatCode="_(* #,##0.0_);_(* \(#,##0.0\);_(* &quot;-&quot;??_);_(@_)"/>
    </dxf>
    <dxf>
      <numFmt numFmtId="165" formatCode="_(* #,##0.0_);_(* \(#,##0.0\);_(* &quot;-&quot;??_);_(@_)"/>
    </dxf>
    <dxf>
      <numFmt numFmtId="165" formatCode="_(* #,##0.0_);_(* \(#,##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font>
        <sz val="10"/>
      </font>
    </dxf>
    <dxf>
      <font>
        <sz val="10"/>
      </font>
    </dxf>
    <dxf>
      <font>
        <sz val="10"/>
      </font>
    </dxf>
    <dxf>
      <font>
        <sz val="10"/>
      </font>
    </dxf>
    <dxf>
      <font>
        <sz val="10"/>
      </font>
    </dxf>
    <dxf>
      <font>
        <sz val="10"/>
      </font>
    </dxf>
    <dxf>
      <font>
        <sz val="10"/>
      </font>
    </dxf>
    <dxf>
      <font>
        <sz val="10"/>
      </font>
    </dxf>
    <dxf>
      <numFmt numFmtId="164" formatCode="_(* #,##0_);_(* \(#,##0\);_(* &quot;-&quot;??_);_(@_)"/>
    </dxf>
    <dxf>
      <numFmt numFmtId="165" formatCode="_(* #,##0.0_);_(* \(#,##0.0\);_(* &quot;-&quot;??_);_(@_)"/>
    </dxf>
    <dxf>
      <numFmt numFmtId="35" formatCode="_(* #,##0.00_);_(* \(#,##0.00\);_(* &quot;-&quot;??_);_(@_)"/>
    </dxf>
    <dxf>
      <numFmt numFmtId="1" formatCode="0"/>
    </dxf>
    <dxf>
      <numFmt numFmtId="166" formatCode="0.0"/>
    </dxf>
    <dxf>
      <numFmt numFmtId="14" formatCode="0.00%"/>
    </dxf>
    <dxf>
      <numFmt numFmtId="164" formatCode="_(* #,##0_);_(* \(#,##0\);_(* &quot;-&quot;??_);_(@_)"/>
    </dxf>
    <dxf>
      <numFmt numFmtId="165" formatCode="_(* #,##0.0_);_(* \(#,##0.0\);_(* &quot;-&quot;??_);_(@_)"/>
    </dxf>
    <dxf>
      <numFmt numFmtId="35" formatCode="_(* #,##0.00_);_(* \(#,##0.00\);_(* &quot;-&quot;??_);_(@_)"/>
    </dxf>
    <dxf>
      <numFmt numFmtId="1" formatCode="0"/>
    </dxf>
    <dxf>
      <numFmt numFmtId="166" formatCode="0.0"/>
    </dxf>
    <dxf>
      <numFmt numFmtId="164" formatCode="_(* #,##0_);_(* \(#,##0\);_(* &quot;-&quot;??_);_(@_)"/>
    </dxf>
    <dxf>
      <numFmt numFmtId="165" formatCode="_(* #,##0.0_);_(* \(#,##0.0\);_(* &quot;-&quot;??_);_(@_)"/>
    </dxf>
    <dxf>
      <numFmt numFmtId="35" formatCode="_(* #,##0.00_);_(* \(#,##0.00\);_(* &quot;-&quot;??_);_(@_)"/>
    </dxf>
    <dxf>
      <numFmt numFmtId="1" formatCode="0"/>
    </dxf>
    <dxf>
      <numFmt numFmtId="166" formatCode="0.0"/>
    </dxf>
    <dxf>
      <numFmt numFmtId="164" formatCode="_(* #,##0_);_(* \(#,##0\);_(* &quot;-&quot;??_);_(@_)"/>
    </dxf>
    <dxf>
      <numFmt numFmtId="165" formatCode="_(* #,##0.0_);_(* \(#,##0.0\);_(* &quot;-&quot;??_);_(@_)"/>
    </dxf>
    <dxf>
      <numFmt numFmtId="35" formatCode="_(* #,##0.00_);_(* \(#,##0.00\);_(* &quot;-&quot;??_);_(@_)"/>
    </dxf>
    <dxf>
      <numFmt numFmtId="1" formatCode="0"/>
    </dxf>
    <dxf>
      <numFmt numFmtId="166" formatCode="0.0"/>
    </dxf>
    <dxf>
      <numFmt numFmtId="164" formatCode="_(* #,##0_);_(* \(#,##0\);_(* &quot;-&quot;??_);_(@_)"/>
    </dxf>
    <dxf>
      <numFmt numFmtId="165" formatCode="_(* #,##0.0_);_(* \(#,##0.0\);_(* &quot;-&quot;??_);_(@_)"/>
    </dxf>
    <dxf>
      <numFmt numFmtId="35" formatCode="_(* #,##0.00_);_(* \(#,##0.00\);_(* &quot;-&quot;??_);_(@_)"/>
    </dxf>
    <dxf>
      <numFmt numFmtId="164" formatCode="_(* #,##0_);_(* \(#,##0\);_(* &quot;-&quot;??_);_(@_)"/>
    </dxf>
    <dxf>
      <numFmt numFmtId="165" formatCode="_(* #,##0.0_);_(* \(#,##0.0\);_(* &quot;-&quot;??_);_(@_)"/>
    </dxf>
    <dxf>
      <numFmt numFmtId="35" formatCode="_(* #,##0.00_);_(* \(#,##0.00\);_(* &quot;-&quot;??_);_(@_)"/>
    </dxf>
    <dxf>
      <numFmt numFmtId="1" formatCode="0"/>
    </dxf>
    <dxf>
      <numFmt numFmtId="166" formatCode="0.0"/>
    </dxf>
    <dxf>
      <numFmt numFmtId="1" formatCode="0"/>
    </dxf>
    <dxf>
      <numFmt numFmtId="166" formatCode="0.0"/>
    </dxf>
    <dxf>
      <numFmt numFmtId="164" formatCode="_(* #,##0_);_(* \(#,##0\);_(* &quot;-&quot;??_);_(@_)"/>
    </dxf>
    <dxf>
      <numFmt numFmtId="165" formatCode="_(* #,##0.0_);_(* \(#,##0.0\);_(* &quot;-&quot;??_);_(@_)"/>
    </dxf>
    <dxf>
      <numFmt numFmtId="35" formatCode="_(* #,##0.00_);_(* \(#,##0.00\);_(* &quot;-&quot;??_);_(@_)"/>
    </dxf>
    <dxf>
      <numFmt numFmtId="1" formatCode="0"/>
    </dxf>
    <dxf>
      <numFmt numFmtId="166" formatCode="0.0"/>
    </dxf>
    <dxf>
      <numFmt numFmtId="164" formatCode="_(* #,##0_);_(* \(#,##0\);_(* &quot;-&quot;??_);_(@_)"/>
    </dxf>
    <dxf>
      <numFmt numFmtId="165" formatCode="_(* #,##0.0_);_(* \(#,##0.0\);_(* &quot;-&quot;??_);_(@_)"/>
    </dxf>
    <dxf>
      <numFmt numFmtId="35" formatCode="_(* #,##0.00_);_(* \(#,##0.00\);_(* &quot;-&quot;??_);_(@_)"/>
    </dxf>
    <dxf>
      <numFmt numFmtId="1" formatCode="0"/>
    </dxf>
    <dxf>
      <numFmt numFmtId="166" formatCode="0.0"/>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5" formatCode="_(* #,##0.0_);_(* \(#,##0.0\);_(* &quot;-&quot;??_);_(@_)"/>
    </dxf>
    <dxf>
      <numFmt numFmtId="165" formatCode="_(* #,##0.0_);_(* \(#,##0.0\);_(* &quot;-&quot;??_);_(@_)"/>
    </dxf>
    <dxf>
      <numFmt numFmtId="165" formatCode="_(* #,##0.0_);_(* \(#,##0.0\);_(* &quot;-&quot;??_);_(@_)"/>
    </dxf>
    <dxf>
      <numFmt numFmtId="165" formatCode="_(* #,##0.0_);_(* \(#,##0.0\);_(* &quot;-&quot;??_);_(@_)"/>
    </dxf>
    <dxf>
      <numFmt numFmtId="165" formatCode="_(* #,##0.0_);_(* \(#,##0.0\);_(* &quot;-&quot;??_);_(@_)"/>
    </dxf>
    <dxf>
      <numFmt numFmtId="165" formatCode="_(* #,##0.0_);_(* \(#,##0.0\);_(* &quot;-&quot;??_);_(@_)"/>
    </dxf>
    <dxf>
      <numFmt numFmtId="165" formatCode="_(* #,##0.0_);_(* \(#,##0.0\);_(* &quot;-&quot;??_);_(@_)"/>
    </dxf>
    <dxf>
      <numFmt numFmtId="165" formatCode="_(* #,##0.0_);_(* \(#,##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font>
        <sz val="10"/>
      </font>
    </dxf>
    <dxf>
      <font>
        <sz val="10"/>
      </font>
    </dxf>
    <dxf>
      <font>
        <sz val="10"/>
      </font>
    </dxf>
    <dxf>
      <font>
        <sz val="10"/>
      </font>
    </dxf>
    <dxf>
      <font>
        <sz val="10"/>
      </font>
    </dxf>
    <dxf>
      <font>
        <sz val="10"/>
      </font>
    </dxf>
    <dxf>
      <font>
        <sz val="10"/>
      </font>
    </dxf>
    <dxf>
      <font>
        <sz val="10"/>
      </font>
    </dxf>
    <dxf>
      <numFmt numFmtId="164" formatCode="_(* #,##0_);_(* \(#,##0\);_(* &quot;-&quot;??_);_(@_)"/>
    </dxf>
    <dxf>
      <numFmt numFmtId="165" formatCode="_(* #,##0.0_);_(* \(#,##0.0\);_(* &quot;-&quot;??_);_(@_)"/>
    </dxf>
    <dxf>
      <numFmt numFmtId="35" formatCode="_(* #,##0.00_);_(* \(#,##0.00\);_(* &quot;-&quot;??_);_(@_)"/>
    </dxf>
    <dxf>
      <numFmt numFmtId="1" formatCode="0"/>
    </dxf>
    <dxf>
      <numFmt numFmtId="166" formatCode="0.0"/>
    </dxf>
    <dxf>
      <numFmt numFmtId="164" formatCode="_(* #,##0_);_(* \(#,##0\);_(* &quot;-&quot;??_);_(@_)"/>
    </dxf>
    <dxf>
      <numFmt numFmtId="165" formatCode="_(* #,##0.0_);_(* \(#,##0.0\);_(* &quot;-&quot;??_);_(@_)"/>
    </dxf>
    <dxf>
      <numFmt numFmtId="35" formatCode="_(* #,##0.00_);_(* \(#,##0.00\);_(* &quot;-&quot;??_);_(@_)"/>
    </dxf>
    <dxf>
      <numFmt numFmtId="1" formatCode="0"/>
    </dxf>
    <dxf>
      <numFmt numFmtId="166" formatCode="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1.xml"/><Relationship Id="rId12" Type="http://schemas.microsoft.com/office/2007/relationships/slicerCache" Target="slicerCaches/slicerCache6.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microsoft.com/office/2007/relationships/slicerCache" Target="slicerCaches/slicerCache5.xml"/><Relationship Id="rId5" Type="http://schemas.openxmlformats.org/officeDocument/2006/relationships/pivotCacheDefinition" Target="pivotCache/pivotCacheDefinition1.xml"/><Relationship Id="rId15" Type="http://schemas.openxmlformats.org/officeDocument/2006/relationships/sharedStrings" Target="sharedStrings.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0.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1.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2.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33.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34.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_rels/chart35.xml.rels><?xml version="1.0" encoding="UTF-8" standalone="yes"?>
<Relationships xmlns="http://schemas.openxmlformats.org/package/2006/relationships"><Relationship Id="rId2" Type="http://schemas.microsoft.com/office/2011/relationships/chartColorStyle" Target="colors35.xml"/><Relationship Id="rId1" Type="http://schemas.microsoft.com/office/2011/relationships/chartStyle" Target="style35.xml"/></Relationships>
</file>

<file path=xl/charts/_rels/chart36.xml.rels><?xml version="1.0" encoding="UTF-8" standalone="yes"?>
<Relationships xmlns="http://schemas.openxmlformats.org/package/2006/relationships"><Relationship Id="rId2" Type="http://schemas.microsoft.com/office/2011/relationships/chartColorStyle" Target="colors36.xml"/><Relationship Id="rId1" Type="http://schemas.microsoft.com/office/2011/relationships/chartStyle" Target="style36.xml"/></Relationships>
</file>

<file path=xl/charts/_rels/chart37.xml.rels><?xml version="1.0" encoding="UTF-8" standalone="yes"?>
<Relationships xmlns="http://schemas.openxmlformats.org/package/2006/relationships"><Relationship Id="rId2" Type="http://schemas.microsoft.com/office/2011/relationships/chartColorStyle" Target="colors37.xml"/><Relationship Id="rId1" Type="http://schemas.microsoft.com/office/2011/relationships/chartStyle" Target="style37.xml"/></Relationships>
</file>

<file path=xl/charts/_rels/chart38.xml.rels><?xml version="1.0" encoding="UTF-8" standalone="yes"?>
<Relationships xmlns="http://schemas.openxmlformats.org/package/2006/relationships"><Relationship Id="rId2" Type="http://schemas.microsoft.com/office/2011/relationships/chartColorStyle" Target="colors38.xml"/><Relationship Id="rId1" Type="http://schemas.microsoft.com/office/2011/relationships/chartStyle" Target="style38.xml"/></Relationships>
</file>

<file path=xl/charts/_rels/chart39.xml.rels><?xml version="1.0" encoding="UTF-8" standalone="yes"?>
<Relationships xmlns="http://schemas.openxmlformats.org/package/2006/relationships"><Relationship Id="rId2" Type="http://schemas.microsoft.com/office/2011/relationships/chartColorStyle" Target="colors39.xml"/><Relationship Id="rId1" Type="http://schemas.microsoft.com/office/2011/relationships/chartStyle" Target="style39.xml"/></Relationships>
</file>

<file path=xl/charts/_rels/chart40.xml.rels><?xml version="1.0" encoding="UTF-8" standalone="yes"?>
<Relationships xmlns="http://schemas.openxmlformats.org/package/2006/relationships"><Relationship Id="rId2" Type="http://schemas.microsoft.com/office/2011/relationships/chartColorStyle" Target="colors40.xml"/><Relationship Id="rId1" Type="http://schemas.microsoft.com/office/2011/relationships/chartStyle" Target="style40.xml"/></Relationships>
</file>

<file path=xl/charts/_rels/chart41.xml.rels><?xml version="1.0" encoding="UTF-8" standalone="yes"?>
<Relationships xmlns="http://schemas.openxmlformats.org/package/2006/relationships"><Relationship Id="rId2" Type="http://schemas.microsoft.com/office/2011/relationships/chartColorStyle" Target="colors41.xml"/><Relationship Id="rId1" Type="http://schemas.microsoft.com/office/2011/relationships/chartStyle" Target="style4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[AMINAT AMINU A.xlsx]Pivot!PivotTable14</c:name>
    <c:fmtId val="0"/>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Quarterly</a:t>
            </a:r>
            <a:r>
              <a:rPr lang="en-US" baseline="0"/>
              <a:t> sales trend</a:t>
            </a:r>
            <a:endParaRPr lang="en-US"/>
          </a:p>
        </c:rich>
      </c:tx>
      <c:layout/>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pivotFmt>
    </c:pivotFmts>
    <c:plotArea>
      <c:layout/>
      <c:lineChart>
        <c:grouping val="standard"/>
        <c:varyColors val="0"/>
        <c:ser>
          <c:idx val="0"/>
          <c:order val="0"/>
          <c:tx>
            <c:strRef>
              <c:f>Pivot!$B$44</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trendline>
            <c:spPr>
              <a:ln w="28575" cap="rnd">
                <a:solidFill>
                  <a:schemeClr val="lt1">
                    <a:alpha val="50000"/>
                  </a:schemeClr>
                </a:solidFill>
                <a:round/>
              </a:ln>
              <a:effectLst/>
            </c:spPr>
            <c:trendlineType val="linear"/>
            <c:dispRSqr val="0"/>
            <c:dispEq val="0"/>
          </c:trendline>
          <c:cat>
            <c:strRef>
              <c:f>Pivot!$A$45:$A$49</c:f>
              <c:strCache>
                <c:ptCount val="4"/>
                <c:pt idx="0">
                  <c:v>Qtr1</c:v>
                </c:pt>
                <c:pt idx="1">
                  <c:v>Qtr2</c:v>
                </c:pt>
                <c:pt idx="2">
                  <c:v>Qtr3</c:v>
                </c:pt>
                <c:pt idx="3">
                  <c:v>Qtr4</c:v>
                </c:pt>
              </c:strCache>
            </c:strRef>
          </c:cat>
          <c:val>
            <c:numRef>
              <c:f>Pivot!$B$45:$B$49</c:f>
              <c:numCache>
                <c:formatCode>_(* #,##0_);_(* \(#,##0\);_(* "-"??_);_(@_)</c:formatCode>
                <c:ptCount val="4"/>
                <c:pt idx="0">
                  <c:v>16195870.419900002</c:v>
                </c:pt>
                <c:pt idx="1">
                  <c:v>14692573.422599996</c:v>
                </c:pt>
                <c:pt idx="2">
                  <c:v>13563763.143299997</c:v>
                </c:pt>
                <c:pt idx="3">
                  <c:v>15233966.297900001</c:v>
                </c:pt>
              </c:numCache>
            </c:numRef>
          </c:val>
          <c:smooth val="0"/>
          <c:extLst>
            <c:ext xmlns:c16="http://schemas.microsoft.com/office/drawing/2014/chart" uri="{C3380CC4-5D6E-409C-BE32-E72D297353CC}">
              <c16:uniqueId val="{00000000-05EF-474A-B902-64F157C0B818}"/>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99525456"/>
        <c:axId val="99529200"/>
      </c:lineChart>
      <c:catAx>
        <c:axId val="99525456"/>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99529200"/>
        <c:crosses val="autoZero"/>
        <c:auto val="1"/>
        <c:lblAlgn val="ctr"/>
        <c:lblOffset val="100"/>
        <c:noMultiLvlLbl val="0"/>
      </c:catAx>
      <c:valAx>
        <c:axId val="99529200"/>
        <c:scaling>
          <c:orientation val="minMax"/>
        </c:scaling>
        <c:delete val="0"/>
        <c:axPos val="l"/>
        <c:majorGridlines>
          <c:spPr>
            <a:ln w="9525" cap="flat" cmpd="sng" algn="ctr">
              <a:solidFill>
                <a:schemeClr val="lt1">
                  <a:alpha val="2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99525456"/>
        <c:crosses val="autoZero"/>
        <c:crossBetween val="between"/>
      </c:valAx>
      <c:dTable>
        <c:showHorzBorder val="1"/>
        <c:showVertBorder val="1"/>
        <c:showOutline val="1"/>
        <c:showKeys val="1"/>
        <c:spPr>
          <a:noFill/>
          <a:ln w="9525">
            <a:solidFill>
              <a:schemeClr val="accent1">
                <a:lumMod val="60000"/>
                <a:lumOff val="40000"/>
              </a:schemeClr>
            </a:solidFill>
          </a:ln>
          <a:effectLst/>
        </c:spPr>
        <c:txPr>
          <a:bodyPr rot="0" spcFirstLastPara="1" vertOverflow="ellipsis" vert="horz" wrap="square" anchor="ctr" anchorCtr="1"/>
          <a:lstStyle/>
          <a:p>
            <a:pPr rtl="0">
              <a:defRPr sz="900" b="0" i="0" u="none" strike="noStrike" kern="1200" baseline="0">
                <a:solidFill>
                  <a:schemeClr val="lt1"/>
                </a:solidFill>
                <a:latin typeface="+mn-lt"/>
                <a:ea typeface="+mn-ea"/>
                <a:cs typeface="+mn-cs"/>
              </a:defRPr>
            </a:pPr>
            <a:endParaRPr lang="en-US"/>
          </a:p>
        </c:txPr>
      </c:dTable>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[AMINAT AMINU A.xlsx]Pivot!PivotTable12</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Product</a:t>
            </a:r>
            <a:r>
              <a:rPr lang="en-US" baseline="0"/>
              <a:t> by Sales Amount</a:t>
            </a:r>
            <a:endParaRPr lang="en-US"/>
          </a:p>
        </c:rich>
      </c:tx>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pivotFmt>
      <c:pivotFmt>
        <c:idx val="1"/>
      </c:pivotFmt>
      <c:pivotFmt>
        <c:idx val="2"/>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pivotFmt>
    </c:pivotFmts>
    <c:plotArea>
      <c:layout/>
      <c:barChart>
        <c:barDir val="col"/>
        <c:grouping val="clustered"/>
        <c:varyColors val="0"/>
        <c:ser>
          <c:idx val="0"/>
          <c:order val="0"/>
          <c:tx>
            <c:strRef>
              <c:f>Pivot!$B$34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Pivot!$A$35:$A$39</c:f>
              <c:strCache>
                <c:ptCount val="4"/>
                <c:pt idx="0">
                  <c:v>Clothing</c:v>
                </c:pt>
                <c:pt idx="1">
                  <c:v>Furniture</c:v>
                </c:pt>
                <c:pt idx="2">
                  <c:v>Electronics</c:v>
                </c:pt>
                <c:pt idx="3">
                  <c:v>Food</c:v>
                </c:pt>
              </c:strCache>
            </c:strRef>
          </c:cat>
          <c:val>
            <c:numRef>
              <c:f>Pivot!$B$35:$B$39</c:f>
              <c:numCache>
                <c:formatCode>_(* #,##0_);_(* \(#,##0\);_(* "-"??_);_(@_)</c:formatCode>
                <c:ptCount val="4"/>
                <c:pt idx="0">
                  <c:v>16360844.624700002</c:v>
                </c:pt>
                <c:pt idx="1">
                  <c:v>15363777.142799992</c:v>
                </c:pt>
                <c:pt idx="2">
                  <c:v>15153225.285399996</c:v>
                </c:pt>
                <c:pt idx="3">
                  <c:v>12808326.230800003</c:v>
                </c:pt>
              </c:numCache>
            </c:numRef>
          </c:val>
          <c:extLst>
            <c:ext xmlns:c16="http://schemas.microsoft.com/office/drawing/2014/chart" uri="{C3380CC4-5D6E-409C-BE32-E72D297353CC}">
              <c16:uniqueId val="{00000000-33E8-4B94-A9C0-25290EEC2049}"/>
            </c:ext>
          </c:extLst>
        </c:ser>
        <c:dLbls>
          <c:showLegendKey val="0"/>
          <c:showVal val="0"/>
          <c:showCatName val="0"/>
          <c:showSerName val="0"/>
          <c:showPercent val="0"/>
          <c:showBubbleSize val="0"/>
        </c:dLbls>
        <c:gapWidth val="100"/>
        <c:overlap val="-24"/>
        <c:axId val="166625952"/>
        <c:axId val="166626368"/>
      </c:barChart>
      <c:catAx>
        <c:axId val="166625952"/>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66626368"/>
        <c:crosses val="autoZero"/>
        <c:auto val="1"/>
        <c:lblAlgn val="ctr"/>
        <c:lblOffset val="100"/>
        <c:noMultiLvlLbl val="0"/>
      </c:catAx>
      <c:valAx>
        <c:axId val="166626368"/>
        <c:scaling>
          <c:orientation val="minMax"/>
        </c:scaling>
        <c:delete val="0"/>
        <c:axPos val="l"/>
        <c:majorGridlines>
          <c:spPr>
            <a:ln w="9525" cap="flat" cmpd="sng" algn="ctr">
              <a:solidFill>
                <a:schemeClr val="tx2">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66625952"/>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[AMINAT AMINU A.xlsx]Pivot!PivotTable9</c:name>
    <c:fmtId val="4"/>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Sales Amount by Sales Rep</a:t>
            </a:r>
          </a:p>
        </c:rich>
      </c:tx>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pivotFmt>
    </c:pivotFmts>
    <c:plotArea>
      <c:layout/>
      <c:barChart>
        <c:barDir val="bar"/>
        <c:grouping val="clustered"/>
        <c:varyColors val="0"/>
        <c:ser>
          <c:idx val="0"/>
          <c:order val="0"/>
          <c:tx>
            <c:strRef>
              <c:f>Pivot!$B$15</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Pivot!$A$16:$A$21</c:f>
              <c:strCache>
                <c:ptCount val="5"/>
                <c:pt idx="0">
                  <c:v>David</c:v>
                </c:pt>
                <c:pt idx="1">
                  <c:v>Eve</c:v>
                </c:pt>
                <c:pt idx="2">
                  <c:v>Bob</c:v>
                </c:pt>
                <c:pt idx="3">
                  <c:v>Alice</c:v>
                </c:pt>
                <c:pt idx="4">
                  <c:v>Charlie</c:v>
                </c:pt>
              </c:strCache>
            </c:strRef>
          </c:cat>
          <c:val>
            <c:numRef>
              <c:f>Pivot!$B$16:$B$21</c:f>
              <c:numCache>
                <c:formatCode>0.00%</c:formatCode>
                <c:ptCount val="5"/>
                <c:pt idx="0">
                  <c:v>0.22910514193803105</c:v>
                </c:pt>
                <c:pt idx="1">
                  <c:v>0.21677925132843953</c:v>
                </c:pt>
                <c:pt idx="2">
                  <c:v>0.19717638208703811</c:v>
                </c:pt>
                <c:pt idx="3">
                  <c:v>0.1922831525611346</c:v>
                </c:pt>
                <c:pt idx="4">
                  <c:v>0.16465607208535668</c:v>
                </c:pt>
              </c:numCache>
            </c:numRef>
          </c:val>
          <c:extLst>
            <c:ext xmlns:c16="http://schemas.microsoft.com/office/drawing/2014/chart" uri="{C3380CC4-5D6E-409C-BE32-E72D297353CC}">
              <c16:uniqueId val="{00000000-B559-4F98-8387-39A117C53A5B}"/>
            </c:ext>
          </c:extLst>
        </c:ser>
        <c:dLbls>
          <c:showLegendKey val="0"/>
          <c:showVal val="0"/>
          <c:showCatName val="0"/>
          <c:showSerName val="0"/>
          <c:showPercent val="0"/>
          <c:showBubbleSize val="0"/>
        </c:dLbls>
        <c:gapWidth val="150"/>
        <c:axId val="1670417615"/>
        <c:axId val="1670420111"/>
      </c:barChart>
      <c:catAx>
        <c:axId val="1670417615"/>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670420111"/>
        <c:crosses val="autoZero"/>
        <c:auto val="1"/>
        <c:lblAlgn val="ctr"/>
        <c:lblOffset val="100"/>
        <c:noMultiLvlLbl val="0"/>
      </c:catAx>
      <c:valAx>
        <c:axId val="1670420111"/>
        <c:scaling>
          <c:orientation val="minMax"/>
        </c:scaling>
        <c:delete val="0"/>
        <c:axPos val="b"/>
        <c:majorGridlines>
          <c:spPr>
            <a:ln w="9525" cap="flat" cmpd="sng" algn="ctr">
              <a:solidFill>
                <a:schemeClr val="tx2">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670417615"/>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[AMINAT AMINU A.xlsx]Pivot!PivotTable3</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Monthly Sales Amount by Rep</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pivotFmt>
      <c:pivotFmt>
        <c:idx val="12"/>
        <c:spPr>
          <a:solidFill>
            <a:schemeClr val="accent1"/>
          </a:solidFill>
          <a:ln>
            <a:noFill/>
          </a:ln>
          <a:effectLst/>
        </c:spPr>
        <c:marker>
          <c:symbol val="none"/>
        </c:marker>
      </c:pivotFmt>
      <c:pivotFmt>
        <c:idx val="13"/>
        <c:spPr>
          <a:solidFill>
            <a:schemeClr val="accent1"/>
          </a:solidFill>
          <a:ln>
            <a:noFill/>
          </a:ln>
          <a:effectLst/>
        </c:spPr>
        <c:marker>
          <c:symbol val="none"/>
        </c:marker>
      </c:pivotFmt>
      <c:pivotFmt>
        <c:idx val="14"/>
        <c:spPr>
          <a:solidFill>
            <a:schemeClr val="accent1"/>
          </a:solidFill>
          <a:ln>
            <a:noFill/>
          </a:ln>
          <a:effectLst/>
        </c:spPr>
        <c:marker>
          <c:symbol val="none"/>
        </c:marker>
      </c:pivotFmt>
      <c:pivotFmt>
        <c:idx val="15"/>
        <c:spPr>
          <a:solidFill>
            <a:schemeClr val="accent1"/>
          </a:solidFill>
          <a:ln>
            <a:noFill/>
          </a:ln>
          <a:effectLst/>
        </c:spPr>
        <c:marker>
          <c:symbol val="none"/>
        </c:marker>
      </c:pivotFmt>
      <c:pivotFmt>
        <c:idx val="16"/>
        <c:spPr>
          <a:solidFill>
            <a:schemeClr val="accent1"/>
          </a:solidFill>
          <a:ln>
            <a:noFill/>
          </a:ln>
          <a:effectLst/>
        </c:spPr>
        <c:marker>
          <c:symbol val="none"/>
        </c:marker>
      </c:pivotFmt>
      <c:pivotFmt>
        <c:idx val="17"/>
        <c:spPr>
          <a:solidFill>
            <a:schemeClr val="accent1"/>
          </a:solidFill>
          <a:ln>
            <a:noFill/>
          </a:ln>
          <a:effectLst/>
        </c:spPr>
        <c:marker>
          <c:symbol val="none"/>
        </c:marker>
      </c:pivotFmt>
      <c:pivotFmt>
        <c:idx val="18"/>
        <c:spPr>
          <a:solidFill>
            <a:schemeClr val="accent1"/>
          </a:solidFill>
          <a:ln>
            <a:noFill/>
          </a:ln>
          <a:effectLst/>
        </c:spPr>
        <c:marker>
          <c:symbol val="none"/>
        </c:marker>
      </c:pivotFmt>
      <c:pivotFmt>
        <c:idx val="19"/>
        <c:spPr>
          <a:solidFill>
            <a:schemeClr val="accent1"/>
          </a:solidFill>
          <a:ln>
            <a:noFill/>
          </a:ln>
          <a:effectLst/>
        </c:spPr>
        <c:marker>
          <c:symbol val="none"/>
        </c:marker>
      </c:pivotFmt>
      <c:pivotFmt>
        <c:idx val="20"/>
        <c:spPr>
          <a:solidFill>
            <a:schemeClr val="accent1"/>
          </a:solidFill>
          <a:ln>
            <a:noFill/>
          </a:ln>
          <a:effectLst/>
        </c:spPr>
        <c:marker>
          <c:symbol val="none"/>
        </c:marker>
      </c:pivotFmt>
      <c:pivotFmt>
        <c:idx val="21"/>
        <c:spPr>
          <a:solidFill>
            <a:schemeClr val="accent1"/>
          </a:solidFill>
          <a:ln>
            <a:noFill/>
          </a:ln>
          <a:effectLst/>
        </c:spPr>
        <c:marker>
          <c:symbol val="none"/>
        </c:marker>
      </c:pivotFmt>
      <c:pivotFmt>
        <c:idx val="22"/>
        <c:spPr>
          <a:solidFill>
            <a:schemeClr val="accent1"/>
          </a:solidFill>
          <a:ln>
            <a:noFill/>
          </a:ln>
          <a:effectLst/>
        </c:spPr>
        <c:marker>
          <c:symbol val="none"/>
        </c:marker>
      </c:pivotFmt>
      <c:pivotFmt>
        <c:idx val="23"/>
        <c:spPr>
          <a:solidFill>
            <a:schemeClr val="accent1"/>
          </a:solidFill>
          <a:ln>
            <a:noFill/>
          </a:ln>
          <a:effectLst/>
        </c:spPr>
        <c:marker>
          <c:symbol val="none"/>
        </c:marker>
      </c:pivotFmt>
      <c:pivotFmt>
        <c:idx val="24"/>
        <c:spPr>
          <a:solidFill>
            <a:schemeClr val="accent1"/>
          </a:solidFill>
          <a:ln>
            <a:noFill/>
          </a:ln>
          <a:effectLst/>
        </c:spPr>
        <c:marker>
          <c:symbol val="none"/>
        </c:marker>
      </c:pivotFmt>
    </c:pivotFmts>
    <c:plotArea>
      <c:layout/>
      <c:barChart>
        <c:barDir val="col"/>
        <c:grouping val="clustered"/>
        <c:varyColors val="0"/>
        <c:ser>
          <c:idx val="0"/>
          <c:order val="0"/>
          <c:tx>
            <c:strRef>
              <c:f>Pivot!$B$116:$B$117</c:f>
              <c:strCache>
                <c:ptCount val="1"/>
                <c:pt idx="0">
                  <c:v>Alice</c:v>
                </c:pt>
              </c:strCache>
            </c:strRef>
          </c:tx>
          <c:spPr>
            <a:solidFill>
              <a:schemeClr val="accent1"/>
            </a:solidFill>
            <a:ln>
              <a:noFill/>
            </a:ln>
            <a:effectLst/>
          </c:spPr>
          <c:invertIfNegative val="0"/>
          <c:cat>
            <c:strRef>
              <c:f>Pivot!$A$118:$A$130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Pivot!$B$118:$B$130</c:f>
              <c:numCache>
                <c:formatCode>0.00%</c:formatCode>
                <c:ptCount val="12"/>
                <c:pt idx="0">
                  <c:v>1.1336377483673979E-2</c:v>
                </c:pt>
                <c:pt idx="1">
                  <c:v>2.0974335051596973E-2</c:v>
                </c:pt>
                <c:pt idx="2">
                  <c:v>1.6475683534373172E-2</c:v>
                </c:pt>
                <c:pt idx="3">
                  <c:v>1.7791135431863839E-2</c:v>
                </c:pt>
                <c:pt idx="4">
                  <c:v>1.8149059138891546E-2</c:v>
                </c:pt>
                <c:pt idx="5">
                  <c:v>1.4096305630131086E-2</c:v>
                </c:pt>
                <c:pt idx="6">
                  <c:v>1.4553976030110641E-2</c:v>
                </c:pt>
                <c:pt idx="7">
                  <c:v>2.1603806733780699E-2</c:v>
                </c:pt>
                <c:pt idx="8">
                  <c:v>5.3006892919101115E-3</c:v>
                </c:pt>
                <c:pt idx="9">
                  <c:v>1.1651229732798349E-2</c:v>
                </c:pt>
                <c:pt idx="10">
                  <c:v>1.6367811388350396E-2</c:v>
                </c:pt>
                <c:pt idx="11">
                  <c:v>2.398274311365374E-2</c:v>
                </c:pt>
              </c:numCache>
            </c:numRef>
          </c:val>
          <c:extLst>
            <c:ext xmlns:c16="http://schemas.microsoft.com/office/drawing/2014/chart" uri="{C3380CC4-5D6E-409C-BE32-E72D297353CC}">
              <c16:uniqueId val="{00000000-7010-4440-886E-C1B1FCADAD6E}"/>
            </c:ext>
          </c:extLst>
        </c:ser>
        <c:ser>
          <c:idx val="1"/>
          <c:order val="1"/>
          <c:tx>
            <c:strRef>
              <c:f>Pivot!$C$116:$C$117</c:f>
              <c:strCache>
                <c:ptCount val="1"/>
                <c:pt idx="0">
                  <c:v>Bob</c:v>
                </c:pt>
              </c:strCache>
            </c:strRef>
          </c:tx>
          <c:spPr>
            <a:solidFill>
              <a:schemeClr val="accent2"/>
            </a:solidFill>
            <a:ln>
              <a:noFill/>
            </a:ln>
            <a:effectLst/>
          </c:spPr>
          <c:invertIfNegative val="0"/>
          <c:cat>
            <c:strRef>
              <c:f>Pivot!$A$118:$A$130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Pivot!$C$118:$C$130</c:f>
              <c:numCache>
                <c:formatCode>0.00%</c:formatCode>
                <c:ptCount val="12"/>
                <c:pt idx="0">
                  <c:v>2.6372936418925668E-2</c:v>
                </c:pt>
                <c:pt idx="1">
                  <c:v>1.3560358668881754E-2</c:v>
                </c:pt>
                <c:pt idx="2">
                  <c:v>1.6803177458419701E-2</c:v>
                </c:pt>
                <c:pt idx="3">
                  <c:v>7.7073661535213564E-3</c:v>
                </c:pt>
                <c:pt idx="4">
                  <c:v>2.4402329160508569E-2</c:v>
                </c:pt>
                <c:pt idx="5">
                  <c:v>1.8662993340271768E-2</c:v>
                </c:pt>
                <c:pt idx="6">
                  <c:v>9.429013664940266E-3</c:v>
                </c:pt>
                <c:pt idx="7">
                  <c:v>2.0199629369257188E-2</c:v>
                </c:pt>
                <c:pt idx="8">
                  <c:v>1.8123303828818424E-2</c:v>
                </c:pt>
                <c:pt idx="9">
                  <c:v>1.3691860674592408E-2</c:v>
                </c:pt>
                <c:pt idx="10">
                  <c:v>1.1003998508635586E-2</c:v>
                </c:pt>
                <c:pt idx="11">
                  <c:v>1.7219414840265464E-2</c:v>
                </c:pt>
              </c:numCache>
            </c:numRef>
          </c:val>
          <c:extLst>
            <c:ext xmlns:c16="http://schemas.microsoft.com/office/drawing/2014/chart" uri="{C3380CC4-5D6E-409C-BE32-E72D297353CC}">
              <c16:uniqueId val="{00000000-DD5C-4232-8B83-A23649B55DC2}"/>
            </c:ext>
          </c:extLst>
        </c:ser>
        <c:ser>
          <c:idx val="2"/>
          <c:order val="2"/>
          <c:tx>
            <c:strRef>
              <c:f>Pivot!$D$116:$D$117</c:f>
              <c:strCache>
                <c:ptCount val="1"/>
                <c:pt idx="0">
                  <c:v>Charlie</c:v>
                </c:pt>
              </c:strCache>
            </c:strRef>
          </c:tx>
          <c:spPr>
            <a:solidFill>
              <a:schemeClr val="accent3"/>
            </a:solidFill>
            <a:ln>
              <a:noFill/>
            </a:ln>
            <a:effectLst/>
          </c:spPr>
          <c:invertIfNegative val="0"/>
          <c:cat>
            <c:strRef>
              <c:f>Pivot!$A$118:$A$130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Pivot!$D$118:$D$130</c:f>
              <c:numCache>
                <c:formatCode>0.00%</c:formatCode>
                <c:ptCount val="12"/>
                <c:pt idx="0">
                  <c:v>2.7514276070174572E-2</c:v>
                </c:pt>
                <c:pt idx="1">
                  <c:v>1.2998241500797827E-2</c:v>
                </c:pt>
                <c:pt idx="2">
                  <c:v>8.3161557173502577E-3</c:v>
                </c:pt>
                <c:pt idx="3">
                  <c:v>1.7748484895567938E-2</c:v>
                </c:pt>
                <c:pt idx="4">
                  <c:v>9.5657827833288515E-3</c:v>
                </c:pt>
                <c:pt idx="5">
                  <c:v>1.7262576679235357E-2</c:v>
                </c:pt>
                <c:pt idx="6">
                  <c:v>1.197158471868621E-2</c:v>
                </c:pt>
                <c:pt idx="7">
                  <c:v>1.5634762295187159E-2</c:v>
                </c:pt>
                <c:pt idx="8">
                  <c:v>1.2921044367081462E-2</c:v>
                </c:pt>
                <c:pt idx="9">
                  <c:v>1.5742981171430043E-2</c:v>
                </c:pt>
                <c:pt idx="10">
                  <c:v>8.2511795564299325E-3</c:v>
                </c:pt>
                <c:pt idx="11">
                  <c:v>6.7290023300871048E-3</c:v>
                </c:pt>
              </c:numCache>
            </c:numRef>
          </c:val>
          <c:extLst>
            <c:ext xmlns:c16="http://schemas.microsoft.com/office/drawing/2014/chart" uri="{C3380CC4-5D6E-409C-BE32-E72D297353CC}">
              <c16:uniqueId val="{00000001-DD5C-4232-8B83-A23649B55DC2}"/>
            </c:ext>
          </c:extLst>
        </c:ser>
        <c:ser>
          <c:idx val="3"/>
          <c:order val="3"/>
          <c:tx>
            <c:strRef>
              <c:f>Pivot!$E$116:$E$117</c:f>
              <c:strCache>
                <c:ptCount val="1"/>
                <c:pt idx="0">
                  <c:v>David</c:v>
                </c:pt>
              </c:strCache>
            </c:strRef>
          </c:tx>
          <c:spPr>
            <a:solidFill>
              <a:schemeClr val="accent4"/>
            </a:solidFill>
            <a:ln>
              <a:noFill/>
            </a:ln>
            <a:effectLst/>
          </c:spPr>
          <c:invertIfNegative val="0"/>
          <c:cat>
            <c:strRef>
              <c:f>Pivot!$A$118:$A$130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Pivot!$E$118:$E$130</c:f>
              <c:numCache>
                <c:formatCode>0.00%</c:formatCode>
                <c:ptCount val="12"/>
                <c:pt idx="0">
                  <c:v>1.3251283008890702E-2</c:v>
                </c:pt>
                <c:pt idx="1">
                  <c:v>1.8670529856272919E-2</c:v>
                </c:pt>
                <c:pt idx="2">
                  <c:v>1.9810836594929042E-2</c:v>
                </c:pt>
                <c:pt idx="3">
                  <c:v>1.9065697691675786E-2</c:v>
                </c:pt>
                <c:pt idx="4">
                  <c:v>2.0212402972556831E-2</c:v>
                </c:pt>
                <c:pt idx="5">
                  <c:v>1.2995960466640168E-2</c:v>
                </c:pt>
                <c:pt idx="6">
                  <c:v>1.3316561919995964E-2</c:v>
                </c:pt>
                <c:pt idx="7">
                  <c:v>1.9018893883585727E-2</c:v>
                </c:pt>
                <c:pt idx="8">
                  <c:v>1.237304512537212E-2</c:v>
                </c:pt>
                <c:pt idx="9">
                  <c:v>3.4532730515375219E-2</c:v>
                </c:pt>
                <c:pt idx="10">
                  <c:v>2.2999765568400013E-2</c:v>
                </c:pt>
                <c:pt idx="11">
                  <c:v>2.2857434334336457E-2</c:v>
                </c:pt>
              </c:numCache>
            </c:numRef>
          </c:val>
          <c:extLst>
            <c:ext xmlns:c16="http://schemas.microsoft.com/office/drawing/2014/chart" uri="{C3380CC4-5D6E-409C-BE32-E72D297353CC}">
              <c16:uniqueId val="{00000002-DD5C-4232-8B83-A23649B55DC2}"/>
            </c:ext>
          </c:extLst>
        </c:ser>
        <c:ser>
          <c:idx val="4"/>
          <c:order val="4"/>
          <c:tx>
            <c:strRef>
              <c:f>Pivot!$F$116:$F$117</c:f>
              <c:strCache>
                <c:ptCount val="1"/>
                <c:pt idx="0">
                  <c:v>Eve</c:v>
                </c:pt>
              </c:strCache>
            </c:strRef>
          </c:tx>
          <c:spPr>
            <a:solidFill>
              <a:schemeClr val="accent5"/>
            </a:solidFill>
            <a:ln>
              <a:noFill/>
            </a:ln>
            <a:effectLst/>
          </c:spPr>
          <c:invertIfNegative val="0"/>
          <c:cat>
            <c:strRef>
              <c:f>Pivot!$A$118:$A$130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Pivot!$F$118:$F$130</c:f>
              <c:numCache>
                <c:formatCode>0.00%</c:formatCode>
                <c:ptCount val="12"/>
                <c:pt idx="0">
                  <c:v>2.9120414278170231E-2</c:v>
                </c:pt>
                <c:pt idx="1">
                  <c:v>1.1909257533086328E-2</c:v>
                </c:pt>
                <c:pt idx="2">
                  <c:v>2.4236594206233961E-2</c:v>
                </c:pt>
                <c:pt idx="3">
                  <c:v>1.3386583989933918E-2</c:v>
                </c:pt>
                <c:pt idx="4">
                  <c:v>9.4022830619844271E-3</c:v>
                </c:pt>
                <c:pt idx="5">
                  <c:v>2.5714808439882868E-2</c:v>
                </c:pt>
                <c:pt idx="6">
                  <c:v>1.7806045709253711E-2</c:v>
                </c:pt>
                <c:pt idx="7">
                  <c:v>1.9461098256021311E-2</c:v>
                </c:pt>
                <c:pt idx="8">
                  <c:v>1.5537889582766523E-2</c:v>
                </c:pt>
                <c:pt idx="9">
                  <c:v>1.95149501068465E-2</c:v>
                </c:pt>
                <c:pt idx="10">
                  <c:v>1.1034661900160133E-2</c:v>
                </c:pt>
                <c:pt idx="11">
                  <c:v>1.9654664264099689E-2</c:v>
                </c:pt>
              </c:numCache>
            </c:numRef>
          </c:val>
          <c:extLst>
            <c:ext xmlns:c16="http://schemas.microsoft.com/office/drawing/2014/chart" uri="{C3380CC4-5D6E-409C-BE32-E72D297353CC}">
              <c16:uniqueId val="{00000003-DD5C-4232-8B83-A23649B55DC2}"/>
            </c:ext>
          </c:extLst>
        </c:ser>
        <c:dLbls>
          <c:showLegendKey val="0"/>
          <c:showVal val="0"/>
          <c:showCatName val="0"/>
          <c:showSerName val="0"/>
          <c:showPercent val="0"/>
          <c:showBubbleSize val="0"/>
        </c:dLbls>
        <c:gapWidth val="219"/>
        <c:overlap val="-27"/>
        <c:axId val="1765036687"/>
        <c:axId val="1765037103"/>
      </c:barChart>
      <c:catAx>
        <c:axId val="17650366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5037103"/>
        <c:crosses val="autoZero"/>
        <c:auto val="1"/>
        <c:lblAlgn val="ctr"/>
        <c:lblOffset val="100"/>
        <c:noMultiLvlLbl val="0"/>
      </c:catAx>
      <c:valAx>
        <c:axId val="176503710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5036687"/>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[AMINAT AMINU A.xlsx]Pivot!PivotTable8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Regional</a:t>
            </a:r>
            <a:r>
              <a:rPr lang="en-US" b="1" baseline="0"/>
              <a:t> Sales Amount</a:t>
            </a:r>
            <a:endParaRPr lang="en-US" b="1"/>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23413670166229222"/>
          <c:y val="0.25865522018081066"/>
          <c:w val="0.59990026246719164"/>
          <c:h val="0.6293157626130067"/>
        </c:manualLayout>
      </c:layout>
      <c:barChart>
        <c:barDir val="bar"/>
        <c:grouping val="clustered"/>
        <c:varyColors val="0"/>
        <c:ser>
          <c:idx val="0"/>
          <c:order val="0"/>
          <c:tx>
            <c:strRef>
              <c:f>Pivot!$B$7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Pivot!$A$8:$A$12</c:f>
              <c:strCache>
                <c:ptCount val="4"/>
                <c:pt idx="0">
                  <c:v>North</c:v>
                </c:pt>
                <c:pt idx="1">
                  <c:v>East</c:v>
                </c:pt>
                <c:pt idx="2">
                  <c:v>West</c:v>
                </c:pt>
                <c:pt idx="3">
                  <c:v>South</c:v>
                </c:pt>
              </c:strCache>
            </c:strRef>
          </c:cat>
          <c:val>
            <c:numRef>
              <c:f>Pivot!$B$8:$B$12</c:f>
              <c:numCache>
                <c:formatCode>0.00%</c:formatCode>
                <c:ptCount val="4"/>
                <c:pt idx="0">
                  <c:v>0.26087017018147779</c:v>
                </c:pt>
                <c:pt idx="1">
                  <c:v>0.25470358356433065</c:v>
                </c:pt>
                <c:pt idx="2">
                  <c:v>0.25163095188247875</c:v>
                </c:pt>
                <c:pt idx="3">
                  <c:v>0.23279529437171281</c:v>
                </c:pt>
              </c:numCache>
            </c:numRef>
          </c:val>
          <c:extLst>
            <c:ext xmlns:c16="http://schemas.microsoft.com/office/drawing/2014/chart" uri="{C3380CC4-5D6E-409C-BE32-E72D297353CC}">
              <c16:uniqueId val="{00000000-CC6F-4261-AECF-93C6D73F4FC3}"/>
            </c:ext>
          </c:extLst>
        </c:ser>
        <c:dLbls>
          <c:dLblPos val="outEnd"/>
          <c:showLegendKey val="0"/>
          <c:showVal val="1"/>
          <c:showCatName val="0"/>
          <c:showSerName val="0"/>
          <c:showPercent val="0"/>
          <c:showBubbleSize val="0"/>
        </c:dLbls>
        <c:gapWidth val="182"/>
        <c:axId val="1401256384"/>
        <c:axId val="1401259296"/>
      </c:barChart>
      <c:catAx>
        <c:axId val="14012563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1259296"/>
        <c:crosses val="autoZero"/>
        <c:auto val="1"/>
        <c:lblAlgn val="ctr"/>
        <c:lblOffset val="100"/>
        <c:noMultiLvlLbl val="0"/>
      </c:catAx>
      <c:valAx>
        <c:axId val="1401259296"/>
        <c:scaling>
          <c:orientation val="minMax"/>
        </c:scaling>
        <c:delete val="1"/>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140125638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[AMINAT AMINU A.xlsx]Pivot!PivotTable7</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Product</a:t>
            </a:r>
            <a:r>
              <a:rPr lang="en-US" b="1" baseline="0"/>
              <a:t> Sales Amount by Region</a:t>
            </a:r>
            <a:endParaRPr lang="en-US" b="1"/>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pivotFmt>
      <c:pivotFmt>
        <c:idx val="13"/>
        <c:spPr>
          <a:solidFill>
            <a:schemeClr val="accent1"/>
          </a:solidFill>
          <a:ln>
            <a:noFill/>
          </a:ln>
          <a:effectLst/>
        </c:spPr>
        <c:marker>
          <c:symbol val="none"/>
        </c:marker>
      </c:pivotFmt>
      <c:pivotFmt>
        <c:idx val="14"/>
        <c:spPr>
          <a:solidFill>
            <a:schemeClr val="accent1"/>
          </a:solidFill>
          <a:ln>
            <a:noFill/>
          </a:ln>
          <a:effectLst/>
        </c:spPr>
        <c:marker>
          <c:symbol val="none"/>
        </c:marker>
      </c:pivotFmt>
      <c:pivotFmt>
        <c:idx val="15"/>
        <c:spPr>
          <a:solidFill>
            <a:schemeClr val="accent1"/>
          </a:solidFill>
          <a:ln>
            <a:noFill/>
          </a:ln>
          <a:effectLst/>
        </c:spPr>
        <c:marker>
          <c:symbol val="none"/>
        </c:marker>
      </c:pivotFmt>
      <c:pivotFmt>
        <c:idx val="16"/>
        <c:spPr>
          <a:solidFill>
            <a:schemeClr val="accent1"/>
          </a:solidFill>
          <a:ln>
            <a:noFill/>
          </a:ln>
          <a:effectLst/>
        </c:spPr>
        <c:marker>
          <c:symbol val="none"/>
        </c:marker>
      </c:pivotFmt>
      <c:pivotFmt>
        <c:idx val="17"/>
        <c:spPr>
          <a:solidFill>
            <a:schemeClr val="accent1"/>
          </a:solidFill>
          <a:ln>
            <a:noFill/>
          </a:ln>
          <a:effectLst/>
        </c:spPr>
        <c:marker>
          <c:symbol val="none"/>
        </c:marker>
      </c:pivotFmt>
      <c:pivotFmt>
        <c:idx val="18"/>
        <c:spPr>
          <a:solidFill>
            <a:schemeClr val="accent1"/>
          </a:solidFill>
          <a:ln>
            <a:noFill/>
          </a:ln>
          <a:effectLst/>
        </c:spPr>
        <c:marker>
          <c:symbol val="none"/>
        </c:marker>
      </c:pivotFmt>
      <c:pivotFmt>
        <c:idx val="19"/>
        <c:spPr>
          <a:solidFill>
            <a:schemeClr val="accent1"/>
          </a:solidFill>
          <a:ln>
            <a:noFill/>
          </a:ln>
          <a:effectLst/>
        </c:spPr>
        <c:marker>
          <c:symbol val="none"/>
        </c:marker>
      </c:pivotFmt>
      <c:pivotFmt>
        <c:idx val="20"/>
        <c:spPr>
          <a:solidFill>
            <a:schemeClr val="accent1"/>
          </a:solidFill>
          <a:ln>
            <a:noFill/>
          </a:ln>
          <a:effectLst/>
        </c:spPr>
        <c:marker>
          <c:symbol val="none"/>
        </c:marker>
      </c:pivotFmt>
      <c:pivotFmt>
        <c:idx val="21"/>
        <c:spPr>
          <a:solidFill>
            <a:schemeClr val="accent1"/>
          </a:solidFill>
          <a:ln>
            <a:noFill/>
          </a:ln>
          <a:effectLst/>
        </c:spPr>
        <c:marker>
          <c:symbol val="none"/>
        </c:marker>
      </c:pivotFmt>
      <c:pivotFmt>
        <c:idx val="22"/>
        <c:spPr>
          <a:solidFill>
            <a:schemeClr val="accent1"/>
          </a:solidFill>
          <a:ln>
            <a:noFill/>
          </a:ln>
          <a:effectLst/>
        </c:spPr>
        <c:marker>
          <c:symbol val="none"/>
        </c:marker>
      </c:pivotFmt>
      <c:pivotFmt>
        <c:idx val="23"/>
        <c:spPr>
          <a:solidFill>
            <a:schemeClr val="accent1"/>
          </a:solidFill>
          <a:ln>
            <a:noFill/>
          </a:ln>
          <a:effectLst/>
        </c:spPr>
        <c:marker>
          <c:symbol val="none"/>
        </c:marker>
      </c:pivotFmt>
      <c:pivotFmt>
        <c:idx val="24"/>
        <c:spPr>
          <a:solidFill>
            <a:schemeClr val="accent1"/>
          </a:solidFill>
          <a:ln>
            <a:noFill/>
          </a:ln>
          <a:effectLst/>
        </c:spPr>
        <c:marker>
          <c:symbol val="none"/>
        </c:marker>
      </c:pivotFmt>
      <c:pivotFmt>
        <c:idx val="25"/>
        <c:spPr>
          <a:solidFill>
            <a:schemeClr val="accent1"/>
          </a:solidFill>
          <a:ln>
            <a:noFill/>
          </a:ln>
          <a:effectLst/>
        </c:spPr>
        <c:marker>
          <c:symbol val="none"/>
        </c:marker>
      </c:pivotFmt>
      <c:pivotFmt>
        <c:idx val="26"/>
        <c:spPr>
          <a:solidFill>
            <a:schemeClr val="accent1"/>
          </a:solidFill>
          <a:ln>
            <a:noFill/>
          </a:ln>
          <a:effectLst/>
        </c:spPr>
        <c:marker>
          <c:symbol val="none"/>
        </c:marker>
      </c:pivotFmt>
      <c:pivotFmt>
        <c:idx val="27"/>
        <c:spPr>
          <a:solidFill>
            <a:schemeClr val="accent1"/>
          </a:solidFill>
          <a:ln>
            <a:noFill/>
          </a:ln>
          <a:effectLst/>
        </c:spPr>
        <c:marker>
          <c:symbol val="none"/>
        </c:marker>
      </c:pivotFmt>
      <c:pivotFmt>
        <c:idx val="28"/>
        <c:spPr>
          <a:solidFill>
            <a:schemeClr val="accent1"/>
          </a:solidFill>
          <a:ln>
            <a:noFill/>
          </a:ln>
          <a:effectLst/>
        </c:spPr>
        <c:marker>
          <c:symbol val="none"/>
        </c:marker>
      </c:pivotFmt>
      <c:pivotFmt>
        <c:idx val="29"/>
        <c:spPr>
          <a:solidFill>
            <a:schemeClr val="accent1"/>
          </a:solidFill>
          <a:ln>
            <a:noFill/>
          </a:ln>
          <a:effectLst/>
        </c:spPr>
        <c:marker>
          <c:symbol val="none"/>
        </c:marker>
      </c:pivotFmt>
      <c:pivotFmt>
        <c:idx val="30"/>
        <c:spPr>
          <a:solidFill>
            <a:schemeClr val="accent1"/>
          </a:solidFill>
          <a:ln>
            <a:noFill/>
          </a:ln>
          <a:effectLst/>
        </c:spPr>
        <c:marker>
          <c:symbol val="none"/>
        </c:marker>
      </c:pivotFmt>
      <c:pivotFmt>
        <c:idx val="31"/>
        <c:spPr>
          <a:solidFill>
            <a:schemeClr val="accent1"/>
          </a:solidFill>
          <a:ln>
            <a:noFill/>
          </a:ln>
          <a:effectLst/>
        </c:spPr>
        <c:marker>
          <c:symbol val="none"/>
        </c:marker>
      </c:pivotFmt>
      <c:pivotFmt>
        <c:idx val="32"/>
        <c:spPr>
          <a:solidFill>
            <a:schemeClr val="accent1"/>
          </a:solidFill>
          <a:ln>
            <a:noFill/>
          </a:ln>
          <a:effectLst/>
        </c:spPr>
        <c:marker>
          <c:symbol val="none"/>
        </c:marker>
      </c:pivotFmt>
    </c:pivotFmts>
    <c:plotArea>
      <c:layout/>
      <c:barChart>
        <c:barDir val="col"/>
        <c:grouping val="clustered"/>
        <c:varyColors val="0"/>
        <c:ser>
          <c:idx val="0"/>
          <c:order val="0"/>
          <c:tx>
            <c:strRef>
              <c:f>Pivot!$B$135:$B$136</c:f>
              <c:strCache>
                <c:ptCount val="1"/>
                <c:pt idx="0">
                  <c:v>Clothing</c:v>
                </c:pt>
              </c:strCache>
            </c:strRef>
          </c:tx>
          <c:spPr>
            <a:solidFill>
              <a:schemeClr val="accent1"/>
            </a:solidFill>
            <a:ln>
              <a:noFill/>
            </a:ln>
            <a:effectLst/>
          </c:spPr>
          <c:invertIfNegative val="0"/>
          <c:cat>
            <c:strRef>
              <c:f>Pivot!$A$137:$A$141</c:f>
              <c:strCache>
                <c:ptCount val="4"/>
                <c:pt idx="0">
                  <c:v>East</c:v>
                </c:pt>
                <c:pt idx="1">
                  <c:v>North</c:v>
                </c:pt>
                <c:pt idx="2">
                  <c:v>South</c:v>
                </c:pt>
                <c:pt idx="3">
                  <c:v>West</c:v>
                </c:pt>
              </c:strCache>
            </c:strRef>
          </c:cat>
          <c:val>
            <c:numRef>
              <c:f>Pivot!$B$137:$B$141</c:f>
              <c:numCache>
                <c:formatCode>_(* #,##0_);_(* \(#,##0\);_(* "-"??_);_(@_)</c:formatCode>
                <c:ptCount val="4"/>
                <c:pt idx="0">
                  <c:v>4159577.4449999998</c:v>
                </c:pt>
                <c:pt idx="1">
                  <c:v>4424111.8028000006</c:v>
                </c:pt>
                <c:pt idx="2">
                  <c:v>3907815.9484000006</c:v>
                </c:pt>
                <c:pt idx="3">
                  <c:v>3869339.4285000004</c:v>
                </c:pt>
              </c:numCache>
            </c:numRef>
          </c:val>
          <c:extLst>
            <c:ext xmlns:c16="http://schemas.microsoft.com/office/drawing/2014/chart" uri="{C3380CC4-5D6E-409C-BE32-E72D297353CC}">
              <c16:uniqueId val="{00000000-5A21-406D-B4CC-101FCA41A499}"/>
            </c:ext>
          </c:extLst>
        </c:ser>
        <c:ser>
          <c:idx val="1"/>
          <c:order val="1"/>
          <c:tx>
            <c:strRef>
              <c:f>Pivot!$C$135:$C$136</c:f>
              <c:strCache>
                <c:ptCount val="1"/>
                <c:pt idx="0">
                  <c:v>Electronics</c:v>
                </c:pt>
              </c:strCache>
            </c:strRef>
          </c:tx>
          <c:spPr>
            <a:solidFill>
              <a:schemeClr val="accent2"/>
            </a:solidFill>
            <a:ln>
              <a:noFill/>
            </a:ln>
            <a:effectLst/>
          </c:spPr>
          <c:invertIfNegative val="0"/>
          <c:cat>
            <c:strRef>
              <c:f>Pivot!$A$137:$A$141</c:f>
              <c:strCache>
                <c:ptCount val="4"/>
                <c:pt idx="0">
                  <c:v>East</c:v>
                </c:pt>
                <c:pt idx="1">
                  <c:v>North</c:v>
                </c:pt>
                <c:pt idx="2">
                  <c:v>South</c:v>
                </c:pt>
                <c:pt idx="3">
                  <c:v>West</c:v>
                </c:pt>
              </c:strCache>
            </c:strRef>
          </c:cat>
          <c:val>
            <c:numRef>
              <c:f>Pivot!$C$137:$C$141</c:f>
              <c:numCache>
                <c:formatCode>_(* #,##0_);_(* \(#,##0\);_(* "-"??_);_(@_)</c:formatCode>
                <c:ptCount val="4"/>
                <c:pt idx="0">
                  <c:v>4192155.9304999989</c:v>
                </c:pt>
                <c:pt idx="1">
                  <c:v>3799465.8435000004</c:v>
                </c:pt>
                <c:pt idx="2">
                  <c:v>3246712.0266</c:v>
                </c:pt>
                <c:pt idx="3">
                  <c:v>3914891.4848000007</c:v>
                </c:pt>
              </c:numCache>
            </c:numRef>
          </c:val>
          <c:extLst>
            <c:ext xmlns:c16="http://schemas.microsoft.com/office/drawing/2014/chart" uri="{C3380CC4-5D6E-409C-BE32-E72D297353CC}">
              <c16:uniqueId val="{00000000-B5B9-490D-873D-C43883945198}"/>
            </c:ext>
          </c:extLst>
        </c:ser>
        <c:ser>
          <c:idx val="2"/>
          <c:order val="2"/>
          <c:tx>
            <c:strRef>
              <c:f>Pivot!$D$135:$D$136</c:f>
              <c:strCache>
                <c:ptCount val="1"/>
                <c:pt idx="0">
                  <c:v>Food</c:v>
                </c:pt>
              </c:strCache>
            </c:strRef>
          </c:tx>
          <c:spPr>
            <a:solidFill>
              <a:schemeClr val="accent3"/>
            </a:solidFill>
            <a:ln>
              <a:noFill/>
            </a:ln>
            <a:effectLst/>
          </c:spPr>
          <c:invertIfNegative val="0"/>
          <c:cat>
            <c:strRef>
              <c:f>Pivot!$A$137:$A$141</c:f>
              <c:strCache>
                <c:ptCount val="4"/>
                <c:pt idx="0">
                  <c:v>East</c:v>
                </c:pt>
                <c:pt idx="1">
                  <c:v>North</c:v>
                </c:pt>
                <c:pt idx="2">
                  <c:v>South</c:v>
                </c:pt>
                <c:pt idx="3">
                  <c:v>West</c:v>
                </c:pt>
              </c:strCache>
            </c:strRef>
          </c:cat>
          <c:val>
            <c:numRef>
              <c:f>Pivot!$D$137:$D$141</c:f>
              <c:numCache>
                <c:formatCode>_(* #,##0_);_(* \(#,##0\);_(* "-"??_);_(@_)</c:formatCode>
                <c:ptCount val="4"/>
                <c:pt idx="0">
                  <c:v>3383985.8214999987</c:v>
                </c:pt>
                <c:pt idx="1">
                  <c:v>3172617.0758000012</c:v>
                </c:pt>
                <c:pt idx="2">
                  <c:v>3307592.2702000001</c:v>
                </c:pt>
                <c:pt idx="3">
                  <c:v>2944131.0632999996</c:v>
                </c:pt>
              </c:numCache>
            </c:numRef>
          </c:val>
          <c:extLst>
            <c:ext xmlns:c16="http://schemas.microsoft.com/office/drawing/2014/chart" uri="{C3380CC4-5D6E-409C-BE32-E72D297353CC}">
              <c16:uniqueId val="{00000001-B5B9-490D-873D-C43883945198}"/>
            </c:ext>
          </c:extLst>
        </c:ser>
        <c:ser>
          <c:idx val="3"/>
          <c:order val="3"/>
          <c:tx>
            <c:strRef>
              <c:f>Pivot!$E$135:$E$136</c:f>
              <c:strCache>
                <c:ptCount val="1"/>
                <c:pt idx="0">
                  <c:v>Furniture</c:v>
                </c:pt>
              </c:strCache>
            </c:strRef>
          </c:tx>
          <c:spPr>
            <a:solidFill>
              <a:schemeClr val="accent4"/>
            </a:solidFill>
            <a:ln>
              <a:noFill/>
            </a:ln>
            <a:effectLst/>
          </c:spPr>
          <c:invertIfNegative val="0"/>
          <c:cat>
            <c:strRef>
              <c:f>Pivot!$A$137:$A$141</c:f>
              <c:strCache>
                <c:ptCount val="4"/>
                <c:pt idx="0">
                  <c:v>East</c:v>
                </c:pt>
                <c:pt idx="1">
                  <c:v>North</c:v>
                </c:pt>
                <c:pt idx="2">
                  <c:v>South</c:v>
                </c:pt>
                <c:pt idx="3">
                  <c:v>West</c:v>
                </c:pt>
              </c:strCache>
            </c:strRef>
          </c:cat>
          <c:val>
            <c:numRef>
              <c:f>Pivot!$E$137:$E$141</c:f>
              <c:numCache>
                <c:formatCode>_(* #,##0_);_(* \(#,##0\);_(* "-"??_);_(@_)</c:formatCode>
                <c:ptCount val="4"/>
                <c:pt idx="0">
                  <c:v>3466563.0275999992</c:v>
                </c:pt>
                <c:pt idx="1">
                  <c:v>4174147.4599000011</c:v>
                </c:pt>
                <c:pt idx="2">
                  <c:v>3432540.0343000009</c:v>
                </c:pt>
                <c:pt idx="3">
                  <c:v>4290526.6210000003</c:v>
                </c:pt>
              </c:numCache>
            </c:numRef>
          </c:val>
          <c:extLst>
            <c:ext xmlns:c16="http://schemas.microsoft.com/office/drawing/2014/chart" uri="{C3380CC4-5D6E-409C-BE32-E72D297353CC}">
              <c16:uniqueId val="{00000002-B5B9-490D-873D-C43883945198}"/>
            </c:ext>
          </c:extLst>
        </c:ser>
        <c:dLbls>
          <c:showLegendKey val="0"/>
          <c:showVal val="0"/>
          <c:showCatName val="0"/>
          <c:showSerName val="0"/>
          <c:showPercent val="0"/>
          <c:showBubbleSize val="0"/>
        </c:dLbls>
        <c:gapWidth val="219"/>
        <c:axId val="1399717696"/>
        <c:axId val="1399715616"/>
      </c:barChart>
      <c:catAx>
        <c:axId val="1399717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9715616"/>
        <c:crosses val="autoZero"/>
        <c:auto val="1"/>
        <c:lblAlgn val="ctr"/>
        <c:lblOffset val="100"/>
        <c:noMultiLvlLbl val="0"/>
      </c:catAx>
      <c:valAx>
        <c:axId val="1399715616"/>
        <c:scaling>
          <c:orientation val="minMax"/>
        </c:scaling>
        <c:delete val="1"/>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crossAx val="139971769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[AMINAT AMINU A.xlsx]Pivot!PivotTable13</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Sum</a:t>
            </a:r>
            <a:r>
              <a:rPr lang="en-US" b="1" baseline="0"/>
              <a:t> of Product Sold by Region</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s>
    <c:plotArea>
      <c:layout/>
      <c:barChart>
        <c:barDir val="bar"/>
        <c:grouping val="clustered"/>
        <c:varyColors val="0"/>
        <c:ser>
          <c:idx val="0"/>
          <c:order val="0"/>
          <c:tx>
            <c:strRef>
              <c:f>Pivot!$B$147:$B$148</c:f>
              <c:strCache>
                <c:ptCount val="1"/>
                <c:pt idx="0">
                  <c:v>Clothing</c:v>
                </c:pt>
              </c:strCache>
            </c:strRef>
          </c:tx>
          <c:spPr>
            <a:solidFill>
              <a:schemeClr val="accent1"/>
            </a:solidFill>
            <a:ln>
              <a:noFill/>
            </a:ln>
            <a:effectLst/>
          </c:spPr>
          <c:invertIfNegative val="0"/>
          <c:cat>
            <c:strRef>
              <c:f>Pivot!$A$149:$A$153</c:f>
              <c:strCache>
                <c:ptCount val="4"/>
                <c:pt idx="0">
                  <c:v>South</c:v>
                </c:pt>
                <c:pt idx="1">
                  <c:v>West</c:v>
                </c:pt>
                <c:pt idx="2">
                  <c:v>East</c:v>
                </c:pt>
                <c:pt idx="3">
                  <c:v>North</c:v>
                </c:pt>
              </c:strCache>
            </c:strRef>
          </c:cat>
          <c:val>
            <c:numRef>
              <c:f>Pivot!$B$149:$B$153</c:f>
              <c:numCache>
                <c:formatCode>_(* #,##0_);_(* \(#,##0\);_(* "-"??_);_(@_)</c:formatCode>
                <c:ptCount val="4"/>
                <c:pt idx="0">
                  <c:v>1517</c:v>
                </c:pt>
                <c:pt idx="1">
                  <c:v>1669</c:v>
                </c:pt>
                <c:pt idx="2">
                  <c:v>1797</c:v>
                </c:pt>
                <c:pt idx="3">
                  <c:v>1939</c:v>
                </c:pt>
              </c:numCache>
            </c:numRef>
          </c:val>
          <c:extLst>
            <c:ext xmlns:c16="http://schemas.microsoft.com/office/drawing/2014/chart" uri="{C3380CC4-5D6E-409C-BE32-E72D297353CC}">
              <c16:uniqueId val="{00000000-C007-440B-8F70-5D6297012582}"/>
            </c:ext>
          </c:extLst>
        </c:ser>
        <c:ser>
          <c:idx val="1"/>
          <c:order val="1"/>
          <c:tx>
            <c:strRef>
              <c:f>Pivot!$C$147:$C$148</c:f>
              <c:strCache>
                <c:ptCount val="1"/>
                <c:pt idx="0">
                  <c:v>Electronics</c:v>
                </c:pt>
              </c:strCache>
            </c:strRef>
          </c:tx>
          <c:spPr>
            <a:solidFill>
              <a:schemeClr val="accent2"/>
            </a:solidFill>
            <a:ln>
              <a:noFill/>
            </a:ln>
            <a:effectLst/>
          </c:spPr>
          <c:invertIfNegative val="0"/>
          <c:cat>
            <c:strRef>
              <c:f>Pivot!$A$149:$A$153</c:f>
              <c:strCache>
                <c:ptCount val="4"/>
                <c:pt idx="0">
                  <c:v>South</c:v>
                </c:pt>
                <c:pt idx="1">
                  <c:v>West</c:v>
                </c:pt>
                <c:pt idx="2">
                  <c:v>East</c:v>
                </c:pt>
                <c:pt idx="3">
                  <c:v>North</c:v>
                </c:pt>
              </c:strCache>
            </c:strRef>
          </c:cat>
          <c:val>
            <c:numRef>
              <c:f>Pivot!$C$149:$C$153</c:f>
              <c:numCache>
                <c:formatCode>_(* #,##0_);_(* \(#,##0\);_(* "-"??_);_(@_)</c:formatCode>
                <c:ptCount val="4"/>
                <c:pt idx="0">
                  <c:v>1274</c:v>
                </c:pt>
                <c:pt idx="1">
                  <c:v>1539</c:v>
                </c:pt>
                <c:pt idx="2">
                  <c:v>1623</c:v>
                </c:pt>
                <c:pt idx="3">
                  <c:v>1660</c:v>
                </c:pt>
              </c:numCache>
            </c:numRef>
          </c:val>
          <c:extLst>
            <c:ext xmlns:c16="http://schemas.microsoft.com/office/drawing/2014/chart" uri="{C3380CC4-5D6E-409C-BE32-E72D297353CC}">
              <c16:uniqueId val="{00000000-3917-4AA2-BF3E-33F7AD0FC345}"/>
            </c:ext>
          </c:extLst>
        </c:ser>
        <c:ser>
          <c:idx val="2"/>
          <c:order val="2"/>
          <c:tx>
            <c:strRef>
              <c:f>Pivot!$D$147:$D$148</c:f>
              <c:strCache>
                <c:ptCount val="1"/>
                <c:pt idx="0">
                  <c:v>Food</c:v>
                </c:pt>
              </c:strCache>
            </c:strRef>
          </c:tx>
          <c:spPr>
            <a:solidFill>
              <a:schemeClr val="accent3"/>
            </a:solidFill>
            <a:ln>
              <a:noFill/>
            </a:ln>
            <a:effectLst/>
          </c:spPr>
          <c:invertIfNegative val="0"/>
          <c:cat>
            <c:strRef>
              <c:f>Pivot!$A$149:$A$153</c:f>
              <c:strCache>
                <c:ptCount val="4"/>
                <c:pt idx="0">
                  <c:v>South</c:v>
                </c:pt>
                <c:pt idx="1">
                  <c:v>West</c:v>
                </c:pt>
                <c:pt idx="2">
                  <c:v>East</c:v>
                </c:pt>
                <c:pt idx="3">
                  <c:v>North</c:v>
                </c:pt>
              </c:strCache>
            </c:strRef>
          </c:cat>
          <c:val>
            <c:numRef>
              <c:f>Pivot!$D$149:$D$153</c:f>
              <c:numCache>
                <c:formatCode>_(* #,##0_);_(* \(#,##0\);_(* "-"??_);_(@_)</c:formatCode>
                <c:ptCount val="4"/>
                <c:pt idx="0">
                  <c:v>1577</c:v>
                </c:pt>
                <c:pt idx="1">
                  <c:v>1389</c:v>
                </c:pt>
                <c:pt idx="2">
                  <c:v>1463</c:v>
                </c:pt>
                <c:pt idx="3">
                  <c:v>1179</c:v>
                </c:pt>
              </c:numCache>
            </c:numRef>
          </c:val>
          <c:extLst>
            <c:ext xmlns:c16="http://schemas.microsoft.com/office/drawing/2014/chart" uri="{C3380CC4-5D6E-409C-BE32-E72D297353CC}">
              <c16:uniqueId val="{00000001-3917-4AA2-BF3E-33F7AD0FC345}"/>
            </c:ext>
          </c:extLst>
        </c:ser>
        <c:ser>
          <c:idx val="3"/>
          <c:order val="3"/>
          <c:tx>
            <c:strRef>
              <c:f>Pivot!$E$147:$E$148</c:f>
              <c:strCache>
                <c:ptCount val="1"/>
                <c:pt idx="0">
                  <c:v>Furniture</c:v>
                </c:pt>
              </c:strCache>
            </c:strRef>
          </c:tx>
          <c:spPr>
            <a:solidFill>
              <a:schemeClr val="accent4"/>
            </a:solidFill>
            <a:ln>
              <a:noFill/>
            </a:ln>
            <a:effectLst/>
          </c:spPr>
          <c:invertIfNegative val="0"/>
          <c:cat>
            <c:strRef>
              <c:f>Pivot!$A$149:$A$153</c:f>
              <c:strCache>
                <c:ptCount val="4"/>
                <c:pt idx="0">
                  <c:v>South</c:v>
                </c:pt>
                <c:pt idx="1">
                  <c:v>West</c:v>
                </c:pt>
                <c:pt idx="2">
                  <c:v>East</c:v>
                </c:pt>
                <c:pt idx="3">
                  <c:v>North</c:v>
                </c:pt>
              </c:strCache>
            </c:strRef>
          </c:cat>
          <c:val>
            <c:numRef>
              <c:f>Pivot!$E$149:$E$153</c:f>
              <c:numCache>
                <c:formatCode>_(* #,##0_);_(* \(#,##0\);_(* "-"??_);_(@_)</c:formatCode>
                <c:ptCount val="4"/>
                <c:pt idx="0">
                  <c:v>1440</c:v>
                </c:pt>
                <c:pt idx="1">
                  <c:v>1889</c:v>
                </c:pt>
                <c:pt idx="2">
                  <c:v>1473</c:v>
                </c:pt>
                <c:pt idx="3">
                  <c:v>1927</c:v>
                </c:pt>
              </c:numCache>
            </c:numRef>
          </c:val>
          <c:extLst>
            <c:ext xmlns:c16="http://schemas.microsoft.com/office/drawing/2014/chart" uri="{C3380CC4-5D6E-409C-BE32-E72D297353CC}">
              <c16:uniqueId val="{00000002-3917-4AA2-BF3E-33F7AD0FC345}"/>
            </c:ext>
          </c:extLst>
        </c:ser>
        <c:dLbls>
          <c:showLegendKey val="0"/>
          <c:showVal val="0"/>
          <c:showCatName val="0"/>
          <c:showSerName val="0"/>
          <c:showPercent val="0"/>
          <c:showBubbleSize val="0"/>
        </c:dLbls>
        <c:gapWidth val="182"/>
        <c:axId val="1399723936"/>
        <c:axId val="1399718944"/>
      </c:barChart>
      <c:catAx>
        <c:axId val="13997239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9718944"/>
        <c:crosses val="autoZero"/>
        <c:auto val="1"/>
        <c:lblAlgn val="ctr"/>
        <c:lblOffset val="100"/>
        <c:noMultiLvlLbl val="0"/>
      </c:catAx>
      <c:valAx>
        <c:axId val="1399718944"/>
        <c:scaling>
          <c:orientation val="minMax"/>
        </c:scaling>
        <c:delete val="0"/>
        <c:axPos val="b"/>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972393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[AMINAT AMINU A.xlsx]Pivot!PivotTable23</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t>PRODUCT BY SALES AMOUNT</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Pivot!$B$184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253-4998-9B43-4371E0EB90B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253-4998-9B43-4371E0EB90B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253-4998-9B43-4371E0EB90B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253-4998-9B43-4371E0EB90B9}"/>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15:layout/>
              </c:ext>
            </c:extLst>
          </c:dLbls>
          <c:cat>
            <c:strRef>
              <c:f>Pivot!$A$185:$A$189</c:f>
              <c:strCache>
                <c:ptCount val="4"/>
                <c:pt idx="0">
                  <c:v>Clothing</c:v>
                </c:pt>
                <c:pt idx="1">
                  <c:v>Furniture</c:v>
                </c:pt>
                <c:pt idx="2">
                  <c:v>Electronics</c:v>
                </c:pt>
                <c:pt idx="3">
                  <c:v>Food</c:v>
                </c:pt>
              </c:strCache>
            </c:strRef>
          </c:cat>
          <c:val>
            <c:numRef>
              <c:f>Pivot!$B$185:$B$189</c:f>
              <c:numCache>
                <c:formatCode>0.00%</c:formatCode>
                <c:ptCount val="4"/>
                <c:pt idx="0">
                  <c:v>0.27411448455463422</c:v>
                </c:pt>
                <c:pt idx="1">
                  <c:v>0.25740931772879744</c:v>
                </c:pt>
                <c:pt idx="2">
                  <c:v>0.25388166893149222</c:v>
                </c:pt>
                <c:pt idx="3">
                  <c:v>0.21459452878507618</c:v>
                </c:pt>
              </c:numCache>
            </c:numRef>
          </c:val>
          <c:extLst>
            <c:ext xmlns:c16="http://schemas.microsoft.com/office/drawing/2014/chart" uri="{C3380CC4-5D6E-409C-BE32-E72D297353CC}">
              <c16:uniqueId val="{00000000-85CE-40F8-A981-E6A87FE3E021}"/>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[AMINAT AMINU A.xlsx]Pivot!PivotTable19</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t>PRODUCT BY QUANTITY SOLD</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bar"/>
        <c:grouping val="clustered"/>
        <c:varyColors val="0"/>
        <c:ser>
          <c:idx val="0"/>
          <c:order val="0"/>
          <c:tx>
            <c:strRef>
              <c:f>Pivot!$B$164</c:f>
              <c:strCache>
                <c:ptCount val="1"/>
                <c:pt idx="0">
                  <c:v>Total</c:v>
                </c:pt>
              </c:strCache>
            </c:strRef>
          </c:tx>
          <c:spPr>
            <a:solidFill>
              <a:schemeClr val="accent1"/>
            </a:solidFill>
            <a:ln>
              <a:noFill/>
            </a:ln>
            <a:effectLst/>
          </c:spPr>
          <c:invertIfNegative val="0"/>
          <c:cat>
            <c:strRef>
              <c:f>Pivot!$A$165:$A$169</c:f>
              <c:strCache>
                <c:ptCount val="4"/>
                <c:pt idx="0">
                  <c:v>Clothing</c:v>
                </c:pt>
                <c:pt idx="1">
                  <c:v>Furniture</c:v>
                </c:pt>
                <c:pt idx="2">
                  <c:v>Electronics</c:v>
                </c:pt>
                <c:pt idx="3">
                  <c:v>Food</c:v>
                </c:pt>
              </c:strCache>
            </c:strRef>
          </c:cat>
          <c:val>
            <c:numRef>
              <c:f>Pivot!$B$165:$B$169</c:f>
              <c:numCache>
                <c:formatCode>_(* #,##0_);_(* \(#,##0\);_(* "-"??_);_(@_)</c:formatCode>
                <c:ptCount val="4"/>
                <c:pt idx="0">
                  <c:v>6922</c:v>
                </c:pt>
                <c:pt idx="1">
                  <c:v>6729</c:v>
                </c:pt>
                <c:pt idx="2">
                  <c:v>6096</c:v>
                </c:pt>
                <c:pt idx="3">
                  <c:v>5608</c:v>
                </c:pt>
              </c:numCache>
            </c:numRef>
          </c:val>
          <c:extLst>
            <c:ext xmlns:c16="http://schemas.microsoft.com/office/drawing/2014/chart" uri="{C3380CC4-5D6E-409C-BE32-E72D297353CC}">
              <c16:uniqueId val="{00000000-2E8F-4F08-BBEB-B980AC53D783}"/>
            </c:ext>
          </c:extLst>
        </c:ser>
        <c:dLbls>
          <c:showLegendKey val="0"/>
          <c:showVal val="0"/>
          <c:showCatName val="0"/>
          <c:showSerName val="0"/>
          <c:showPercent val="0"/>
          <c:showBubbleSize val="0"/>
        </c:dLbls>
        <c:gapWidth val="182"/>
        <c:axId val="1477737120"/>
        <c:axId val="1477734208"/>
      </c:barChart>
      <c:catAx>
        <c:axId val="147773712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7734208"/>
        <c:crosses val="autoZero"/>
        <c:auto val="1"/>
        <c:lblAlgn val="ctr"/>
        <c:lblOffset val="100"/>
        <c:noMultiLvlLbl val="0"/>
      </c:catAx>
      <c:valAx>
        <c:axId val="1477734208"/>
        <c:scaling>
          <c:orientation val="minMax"/>
        </c:scaling>
        <c:delete val="0"/>
        <c:axPos val="b"/>
        <c:majorGridlines>
          <c:spPr>
            <a:ln w="9525" cap="flat" cmpd="sng" algn="ctr">
              <a:solidFill>
                <a:schemeClr val="tx1">
                  <a:lumMod val="15000"/>
                  <a:lumOff val="85000"/>
                </a:schemeClr>
              </a:solidFill>
              <a:round/>
            </a:ln>
            <a:effectLst/>
          </c:spPr>
        </c:majorGridlines>
        <c:numFmt formatCode="_(* #,##0_);_(* \(#,##0\);_(*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773712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[AMINAT AMINU A.xlsx]Pivot!PivotTable21</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t>PRODUCT BY PROFIT</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Pivot!$B$173</c:f>
              <c:strCache>
                <c:ptCount val="1"/>
                <c:pt idx="0">
                  <c:v>Total</c:v>
                </c:pt>
              </c:strCache>
            </c:strRef>
          </c:tx>
          <c:spPr>
            <a:solidFill>
              <a:schemeClr val="accent1"/>
            </a:solidFill>
            <a:ln>
              <a:noFill/>
            </a:ln>
            <a:effectLst/>
          </c:spPr>
          <c:invertIfNegative val="0"/>
          <c:cat>
            <c:strRef>
              <c:f>Pivot!$A$174:$A$178</c:f>
              <c:strCache>
                <c:ptCount val="4"/>
                <c:pt idx="0">
                  <c:v>Electronics</c:v>
                </c:pt>
                <c:pt idx="1">
                  <c:v>Food</c:v>
                </c:pt>
                <c:pt idx="2">
                  <c:v>Furniture</c:v>
                </c:pt>
                <c:pt idx="3">
                  <c:v>Clothing</c:v>
                </c:pt>
              </c:strCache>
            </c:strRef>
          </c:cat>
          <c:val>
            <c:numRef>
              <c:f>Pivot!$B$174:$B$178</c:f>
              <c:numCache>
                <c:formatCode>0</c:formatCode>
                <c:ptCount val="4"/>
                <c:pt idx="0">
                  <c:v>-843495.22459999996</c:v>
                </c:pt>
                <c:pt idx="1">
                  <c:v>-912451.36920000042</c:v>
                </c:pt>
                <c:pt idx="2">
                  <c:v>-1187042.2571999989</c:v>
                </c:pt>
                <c:pt idx="3">
                  <c:v>-1212931.5052999998</c:v>
                </c:pt>
              </c:numCache>
            </c:numRef>
          </c:val>
          <c:extLst>
            <c:ext xmlns:c16="http://schemas.microsoft.com/office/drawing/2014/chart" uri="{C3380CC4-5D6E-409C-BE32-E72D297353CC}">
              <c16:uniqueId val="{00000000-C927-40DF-9213-6809AF5AE2C8}"/>
            </c:ext>
          </c:extLst>
        </c:ser>
        <c:dLbls>
          <c:showLegendKey val="0"/>
          <c:showVal val="0"/>
          <c:showCatName val="0"/>
          <c:showSerName val="0"/>
          <c:showPercent val="0"/>
          <c:showBubbleSize val="0"/>
        </c:dLbls>
        <c:gapWidth val="150"/>
        <c:axId val="1400554080"/>
        <c:axId val="1400554912"/>
      </c:barChart>
      <c:catAx>
        <c:axId val="1400554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0554912"/>
        <c:crosses val="autoZero"/>
        <c:auto val="1"/>
        <c:lblAlgn val="ctr"/>
        <c:lblOffset val="100"/>
        <c:noMultiLvlLbl val="0"/>
      </c:catAx>
      <c:valAx>
        <c:axId val="140055491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0554080"/>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[AMINAT AMINU A.xlsx]Pivot!PivotTable2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t>AVERAGE REVENUE PER PRODUCT SOLD</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ln w="28575" cap="rnd">
            <a:solidFill>
              <a:schemeClr val="accent1"/>
            </a:solidFill>
            <a:round/>
          </a:ln>
          <a:effectLst/>
        </c:spPr>
        <c:marker>
          <c:symbol val="none"/>
        </c:marker>
      </c:pivotFmt>
    </c:pivotFmts>
    <c:plotArea>
      <c:layout/>
      <c:barChart>
        <c:barDir val="col"/>
        <c:grouping val="clustered"/>
        <c:varyColors val="0"/>
        <c:ser>
          <c:idx val="0"/>
          <c:order val="0"/>
          <c:tx>
            <c:strRef>
              <c:f>Pivot!$B$78</c:f>
              <c:strCache>
                <c:ptCount val="1"/>
                <c:pt idx="0">
                  <c:v>Average of Sales Amount</c:v>
                </c:pt>
              </c:strCache>
            </c:strRef>
          </c:tx>
          <c:spPr>
            <a:solidFill>
              <a:schemeClr val="accent1"/>
            </a:solidFill>
            <a:ln>
              <a:noFill/>
            </a:ln>
            <a:effectLst/>
          </c:spPr>
          <c:invertIfNegative val="0"/>
          <c:cat>
            <c:strRef>
              <c:f>Pivot!$A$79:$A$83</c:f>
              <c:strCache>
                <c:ptCount val="4"/>
                <c:pt idx="0">
                  <c:v>Electronics</c:v>
                </c:pt>
                <c:pt idx="1">
                  <c:v>Clothing</c:v>
                </c:pt>
                <c:pt idx="2">
                  <c:v>Furniture</c:v>
                </c:pt>
                <c:pt idx="3">
                  <c:v>Food</c:v>
                </c:pt>
              </c:strCache>
            </c:strRef>
          </c:cat>
          <c:val>
            <c:numRef>
              <c:f>Pivot!$B$79:$B$83</c:f>
              <c:numCache>
                <c:formatCode>_(* #,##0_);_(* \(#,##0\);_(* "-"??_);_(@_)</c:formatCode>
                <c:ptCount val="4"/>
                <c:pt idx="0">
                  <c:v>61598.476769918685</c:v>
                </c:pt>
                <c:pt idx="1">
                  <c:v>61047.927704104484</c:v>
                </c:pt>
                <c:pt idx="2">
                  <c:v>59091.450549230736</c:v>
                </c:pt>
                <c:pt idx="3">
                  <c:v>56674.009870796472</c:v>
                </c:pt>
              </c:numCache>
            </c:numRef>
          </c:val>
          <c:extLst>
            <c:ext xmlns:c16="http://schemas.microsoft.com/office/drawing/2014/chart" uri="{C3380CC4-5D6E-409C-BE32-E72D297353CC}">
              <c16:uniqueId val="{00000000-8326-44E4-A3E4-7E6FE22A4D41}"/>
            </c:ext>
          </c:extLst>
        </c:ser>
        <c:dLbls>
          <c:showLegendKey val="0"/>
          <c:showVal val="0"/>
          <c:showCatName val="0"/>
          <c:showSerName val="0"/>
          <c:showPercent val="0"/>
          <c:showBubbleSize val="0"/>
        </c:dLbls>
        <c:gapWidth val="219"/>
        <c:overlap val="-27"/>
        <c:axId val="1400555744"/>
        <c:axId val="1400556160"/>
      </c:barChart>
      <c:lineChart>
        <c:grouping val="standard"/>
        <c:varyColors val="0"/>
        <c:ser>
          <c:idx val="1"/>
          <c:order val="1"/>
          <c:tx>
            <c:strRef>
              <c:f>Pivot!$C$78</c:f>
              <c:strCache>
                <c:ptCount val="1"/>
                <c:pt idx="0">
                  <c:v>Sum of Quantity_Sold</c:v>
                </c:pt>
              </c:strCache>
            </c:strRef>
          </c:tx>
          <c:spPr>
            <a:ln w="28575" cap="rnd">
              <a:solidFill>
                <a:schemeClr val="accent2"/>
              </a:solidFill>
              <a:round/>
            </a:ln>
            <a:effectLst/>
          </c:spPr>
          <c:marker>
            <c:symbol val="none"/>
          </c:marker>
          <c:cat>
            <c:strRef>
              <c:f>Pivot!$A$79:$A$83</c:f>
              <c:strCache>
                <c:ptCount val="4"/>
                <c:pt idx="0">
                  <c:v>Electronics</c:v>
                </c:pt>
                <c:pt idx="1">
                  <c:v>Clothing</c:v>
                </c:pt>
                <c:pt idx="2">
                  <c:v>Furniture</c:v>
                </c:pt>
                <c:pt idx="3">
                  <c:v>Food</c:v>
                </c:pt>
              </c:strCache>
            </c:strRef>
          </c:cat>
          <c:val>
            <c:numRef>
              <c:f>Pivot!$C$79:$C$83</c:f>
              <c:numCache>
                <c:formatCode>_(* #,##0_);_(* \(#,##0\);_(* "-"??_);_(@_)</c:formatCode>
                <c:ptCount val="4"/>
                <c:pt idx="0">
                  <c:v>6096</c:v>
                </c:pt>
                <c:pt idx="1">
                  <c:v>6922</c:v>
                </c:pt>
                <c:pt idx="2">
                  <c:v>6729</c:v>
                </c:pt>
                <c:pt idx="3">
                  <c:v>5608</c:v>
                </c:pt>
              </c:numCache>
            </c:numRef>
          </c:val>
          <c:smooth val="0"/>
          <c:extLst>
            <c:ext xmlns:c16="http://schemas.microsoft.com/office/drawing/2014/chart" uri="{C3380CC4-5D6E-409C-BE32-E72D297353CC}">
              <c16:uniqueId val="{00000001-8326-44E4-A3E4-7E6FE22A4D41}"/>
            </c:ext>
          </c:extLst>
        </c:ser>
        <c:dLbls>
          <c:showLegendKey val="0"/>
          <c:showVal val="0"/>
          <c:showCatName val="0"/>
          <c:showSerName val="0"/>
          <c:showPercent val="0"/>
          <c:showBubbleSize val="0"/>
        </c:dLbls>
        <c:marker val="1"/>
        <c:smooth val="0"/>
        <c:axId val="1402809776"/>
        <c:axId val="1402808528"/>
      </c:lineChart>
      <c:catAx>
        <c:axId val="1400555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0556160"/>
        <c:crosses val="autoZero"/>
        <c:auto val="1"/>
        <c:lblAlgn val="ctr"/>
        <c:lblOffset val="100"/>
        <c:noMultiLvlLbl val="0"/>
      </c:catAx>
      <c:valAx>
        <c:axId val="1400556160"/>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0555744"/>
        <c:crosses val="autoZero"/>
        <c:crossBetween val="between"/>
      </c:valAx>
      <c:valAx>
        <c:axId val="1402808528"/>
        <c:scaling>
          <c:orientation val="minMax"/>
        </c:scaling>
        <c:delete val="0"/>
        <c:axPos val="r"/>
        <c:numFmt formatCode="_(* #,##0_);_(* \(#,##0\);_(*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2809776"/>
        <c:crosses val="max"/>
        <c:crossBetween val="between"/>
      </c:valAx>
      <c:catAx>
        <c:axId val="1402809776"/>
        <c:scaling>
          <c:orientation val="minMax"/>
        </c:scaling>
        <c:delete val="1"/>
        <c:axPos val="b"/>
        <c:numFmt formatCode="General" sourceLinked="1"/>
        <c:majorTickMark val="out"/>
        <c:minorTickMark val="none"/>
        <c:tickLblPos val="nextTo"/>
        <c:crossAx val="1402808528"/>
        <c:crosses val="autoZero"/>
        <c:auto val="1"/>
        <c:lblAlgn val="ctr"/>
        <c:lblOffset val="100"/>
        <c:noMultiLvlLbl val="0"/>
      </c:cat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[AMINAT AMINU A.xlsx]Pivot!PivotTable4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Sales Rep by Sales A</a:t>
            </a:r>
            <a:r>
              <a:rPr lang="en-US" b="1" baseline="0"/>
              <a:t>mount and Profit Margin</a:t>
            </a:r>
            <a:endParaRPr lang="en-US" b="1"/>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Pivot!$B$103</c:f>
              <c:strCache>
                <c:ptCount val="1"/>
                <c:pt idx="0">
                  <c:v>Sum of Sales Amount</c:v>
                </c:pt>
              </c:strCache>
            </c:strRef>
          </c:tx>
          <c:spPr>
            <a:solidFill>
              <a:schemeClr val="accent1"/>
            </a:solidFill>
            <a:ln>
              <a:noFill/>
            </a:ln>
            <a:effectLst/>
          </c:spPr>
          <c:invertIfNegative val="0"/>
          <c:cat>
            <c:strRef>
              <c:f>Pivot!$A$104:$A$109</c:f>
              <c:strCache>
                <c:ptCount val="5"/>
                <c:pt idx="0">
                  <c:v>David</c:v>
                </c:pt>
                <c:pt idx="1">
                  <c:v>Eve</c:v>
                </c:pt>
                <c:pt idx="2">
                  <c:v>Bob</c:v>
                </c:pt>
                <c:pt idx="3">
                  <c:v>Alice</c:v>
                </c:pt>
                <c:pt idx="4">
                  <c:v>Charlie</c:v>
                </c:pt>
              </c:strCache>
            </c:strRef>
          </c:cat>
          <c:val>
            <c:numRef>
              <c:f>Pivot!$B$104:$B$109</c:f>
              <c:numCache>
                <c:formatCode>_(* #,##0_);_(* \(#,##0\);_(* "-"??_);_(@_)</c:formatCode>
                <c:ptCount val="5"/>
                <c:pt idx="0">
                  <c:v>13674409.201900002</c:v>
                </c:pt>
                <c:pt idx="1">
                  <c:v>12938723.959099991</c:v>
                </c:pt>
                <c:pt idx="2">
                  <c:v>11768703.708699994</c:v>
                </c:pt>
                <c:pt idx="3">
                  <c:v>11476645.563299999</c:v>
                </c:pt>
                <c:pt idx="4">
                  <c:v>9827690.8506999947</c:v>
                </c:pt>
              </c:numCache>
            </c:numRef>
          </c:val>
          <c:extLst>
            <c:ext xmlns:c16="http://schemas.microsoft.com/office/drawing/2014/chart" uri="{C3380CC4-5D6E-409C-BE32-E72D297353CC}">
              <c16:uniqueId val="{00000000-D2CD-45C4-A351-36C0346C2945}"/>
            </c:ext>
          </c:extLst>
        </c:ser>
        <c:ser>
          <c:idx val="1"/>
          <c:order val="1"/>
          <c:tx>
            <c:strRef>
              <c:f>Pivot!$C$103</c:f>
              <c:strCache>
                <c:ptCount val="1"/>
                <c:pt idx="0">
                  <c:v>Sum of Quantity_Sold</c:v>
                </c:pt>
              </c:strCache>
            </c:strRef>
          </c:tx>
          <c:spPr>
            <a:solidFill>
              <a:schemeClr val="accent2"/>
            </a:solidFill>
            <a:ln>
              <a:noFill/>
            </a:ln>
            <a:effectLst/>
          </c:spPr>
          <c:invertIfNegative val="0"/>
          <c:cat>
            <c:strRef>
              <c:f>Pivot!$A$104:$A$109</c:f>
              <c:strCache>
                <c:ptCount val="5"/>
                <c:pt idx="0">
                  <c:v>David</c:v>
                </c:pt>
                <c:pt idx="1">
                  <c:v>Eve</c:v>
                </c:pt>
                <c:pt idx="2">
                  <c:v>Bob</c:v>
                </c:pt>
                <c:pt idx="3">
                  <c:v>Alice</c:v>
                </c:pt>
                <c:pt idx="4">
                  <c:v>Charlie</c:v>
                </c:pt>
              </c:strCache>
            </c:strRef>
          </c:cat>
          <c:val>
            <c:numRef>
              <c:f>Pivot!$C$104:$C$109</c:f>
              <c:numCache>
                <c:formatCode>0</c:formatCode>
                <c:ptCount val="5"/>
                <c:pt idx="0">
                  <c:v>6042</c:v>
                </c:pt>
                <c:pt idx="1">
                  <c:v>5287</c:v>
                </c:pt>
                <c:pt idx="2">
                  <c:v>4977</c:v>
                </c:pt>
                <c:pt idx="3">
                  <c:v>4832</c:v>
                </c:pt>
                <c:pt idx="4">
                  <c:v>4217</c:v>
                </c:pt>
              </c:numCache>
            </c:numRef>
          </c:val>
          <c:extLst>
            <c:ext xmlns:c16="http://schemas.microsoft.com/office/drawing/2014/chart" uri="{C3380CC4-5D6E-409C-BE32-E72D297353CC}">
              <c16:uniqueId val="{00000001-D2CD-45C4-A351-36C0346C2945}"/>
            </c:ext>
          </c:extLst>
        </c:ser>
        <c:dLbls>
          <c:showLegendKey val="0"/>
          <c:showVal val="0"/>
          <c:showCatName val="0"/>
          <c:showSerName val="0"/>
          <c:showPercent val="0"/>
          <c:showBubbleSize val="0"/>
        </c:dLbls>
        <c:gapWidth val="219"/>
        <c:overlap val="-27"/>
        <c:axId val="1485959328"/>
        <c:axId val="1485967232"/>
      </c:barChart>
      <c:catAx>
        <c:axId val="14859593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5967232"/>
        <c:crosses val="autoZero"/>
        <c:auto val="1"/>
        <c:lblAlgn val="ctr"/>
        <c:lblOffset val="100"/>
        <c:noMultiLvlLbl val="0"/>
      </c:catAx>
      <c:valAx>
        <c:axId val="1485967232"/>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595932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[AMINAT AMINU A.xlsx]Pivot!PivotTable1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Sales Rep by Quantity</a:t>
            </a:r>
            <a:r>
              <a:rPr lang="en-US" b="1" baseline="0"/>
              <a:t> Sold</a:t>
            </a:r>
            <a:endParaRPr lang="en-US" b="1"/>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Pivot!$B$91</c:f>
              <c:strCache>
                <c:ptCount val="1"/>
                <c:pt idx="0">
                  <c:v>Total</c:v>
                </c:pt>
              </c:strCache>
            </c:strRef>
          </c:tx>
          <c:spPr>
            <a:solidFill>
              <a:schemeClr val="accent1"/>
            </a:solidFill>
            <a:ln>
              <a:noFill/>
            </a:ln>
            <a:effectLst/>
          </c:spPr>
          <c:invertIfNegative val="0"/>
          <c:cat>
            <c:strRef>
              <c:f>Pivot!$A$92:$A$97</c:f>
              <c:strCache>
                <c:ptCount val="5"/>
                <c:pt idx="0">
                  <c:v>Charlie</c:v>
                </c:pt>
                <c:pt idx="1">
                  <c:v>Alice</c:v>
                </c:pt>
                <c:pt idx="2">
                  <c:v>Bob</c:v>
                </c:pt>
                <c:pt idx="3">
                  <c:v>Eve</c:v>
                </c:pt>
                <c:pt idx="4">
                  <c:v>David</c:v>
                </c:pt>
              </c:strCache>
            </c:strRef>
          </c:cat>
          <c:val>
            <c:numRef>
              <c:f>Pivot!$B$92:$B$97</c:f>
              <c:numCache>
                <c:formatCode>0</c:formatCode>
                <c:ptCount val="5"/>
                <c:pt idx="0">
                  <c:v>4217</c:v>
                </c:pt>
                <c:pt idx="1">
                  <c:v>4832</c:v>
                </c:pt>
                <c:pt idx="2">
                  <c:v>4977</c:v>
                </c:pt>
                <c:pt idx="3">
                  <c:v>5287</c:v>
                </c:pt>
                <c:pt idx="4">
                  <c:v>6042</c:v>
                </c:pt>
              </c:numCache>
            </c:numRef>
          </c:val>
          <c:extLst>
            <c:ext xmlns:c16="http://schemas.microsoft.com/office/drawing/2014/chart" uri="{C3380CC4-5D6E-409C-BE32-E72D297353CC}">
              <c16:uniqueId val="{00000000-D16A-4259-A49D-AE2C513890C2}"/>
            </c:ext>
          </c:extLst>
        </c:ser>
        <c:dLbls>
          <c:showLegendKey val="0"/>
          <c:showVal val="0"/>
          <c:showCatName val="0"/>
          <c:showSerName val="0"/>
          <c:showPercent val="0"/>
          <c:showBubbleSize val="0"/>
        </c:dLbls>
        <c:gapWidth val="219"/>
        <c:overlap val="-27"/>
        <c:axId val="1318703520"/>
        <c:axId val="1318702272"/>
      </c:barChart>
      <c:catAx>
        <c:axId val="13187035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8702272"/>
        <c:crosses val="autoZero"/>
        <c:auto val="1"/>
        <c:lblAlgn val="ctr"/>
        <c:lblOffset val="100"/>
        <c:noMultiLvlLbl val="0"/>
      </c:catAx>
      <c:valAx>
        <c:axId val="131870227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8703520"/>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[AMINAT AMINU A.xlsx]Pivot!PivotTable22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Sales Rep by Quantity Sold and Profit Margin</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ln w="28575" cap="rnd">
            <a:solidFill>
              <a:schemeClr val="accent1"/>
            </a:solidFill>
            <a:round/>
          </a:ln>
          <a:effectLst/>
        </c:spPr>
        <c:marker>
          <c:symbol val="none"/>
        </c:marker>
      </c:pivotFmt>
    </c:pivotFmts>
    <c:plotArea>
      <c:layout/>
      <c:barChart>
        <c:barDir val="col"/>
        <c:grouping val="clustered"/>
        <c:varyColors val="0"/>
        <c:ser>
          <c:idx val="0"/>
          <c:order val="0"/>
          <c:tx>
            <c:strRef>
              <c:f>Pivot!$B$219</c:f>
              <c:strCache>
                <c:ptCount val="1"/>
                <c:pt idx="0">
                  <c:v>Sum of Quantity_Sold</c:v>
                </c:pt>
              </c:strCache>
            </c:strRef>
          </c:tx>
          <c:spPr>
            <a:solidFill>
              <a:schemeClr val="accent1"/>
            </a:solidFill>
            <a:ln>
              <a:noFill/>
            </a:ln>
            <a:effectLst/>
          </c:spPr>
          <c:invertIfNegative val="0"/>
          <c:cat>
            <c:strRef>
              <c:f>Pivot!$A$220:$A$225</c:f>
              <c:strCache>
                <c:ptCount val="5"/>
                <c:pt idx="0">
                  <c:v>Charlie</c:v>
                </c:pt>
                <c:pt idx="1">
                  <c:v>Alice</c:v>
                </c:pt>
                <c:pt idx="2">
                  <c:v>Bob</c:v>
                </c:pt>
                <c:pt idx="3">
                  <c:v>Eve</c:v>
                </c:pt>
                <c:pt idx="4">
                  <c:v>David</c:v>
                </c:pt>
              </c:strCache>
            </c:strRef>
          </c:cat>
          <c:val>
            <c:numRef>
              <c:f>Pivot!$B$220:$B$225</c:f>
              <c:numCache>
                <c:formatCode>0</c:formatCode>
                <c:ptCount val="5"/>
                <c:pt idx="0">
                  <c:v>4217</c:v>
                </c:pt>
                <c:pt idx="1">
                  <c:v>4832</c:v>
                </c:pt>
                <c:pt idx="2">
                  <c:v>4977</c:v>
                </c:pt>
                <c:pt idx="3">
                  <c:v>5287</c:v>
                </c:pt>
                <c:pt idx="4">
                  <c:v>6042</c:v>
                </c:pt>
              </c:numCache>
            </c:numRef>
          </c:val>
          <c:extLst>
            <c:ext xmlns:c16="http://schemas.microsoft.com/office/drawing/2014/chart" uri="{C3380CC4-5D6E-409C-BE32-E72D297353CC}">
              <c16:uniqueId val="{00000000-FFA0-44E3-A170-E1BAF5EB0234}"/>
            </c:ext>
          </c:extLst>
        </c:ser>
        <c:dLbls>
          <c:showLegendKey val="0"/>
          <c:showVal val="0"/>
          <c:showCatName val="0"/>
          <c:showSerName val="0"/>
          <c:showPercent val="0"/>
          <c:showBubbleSize val="0"/>
        </c:dLbls>
        <c:gapWidth val="219"/>
        <c:overlap val="-27"/>
        <c:axId val="461895007"/>
        <c:axId val="461906239"/>
      </c:barChart>
      <c:lineChart>
        <c:grouping val="standard"/>
        <c:varyColors val="0"/>
        <c:ser>
          <c:idx val="1"/>
          <c:order val="1"/>
          <c:tx>
            <c:strRef>
              <c:f>Pivot!$C$219</c:f>
              <c:strCache>
                <c:ptCount val="1"/>
                <c:pt idx="0">
                  <c:v>Average of Profit margin</c:v>
                </c:pt>
              </c:strCache>
            </c:strRef>
          </c:tx>
          <c:spPr>
            <a:ln w="28575" cap="rnd">
              <a:solidFill>
                <a:schemeClr val="accent2"/>
              </a:solidFill>
              <a:round/>
            </a:ln>
            <a:effectLst/>
          </c:spPr>
          <c:marker>
            <c:symbol val="none"/>
          </c:marker>
          <c:cat>
            <c:strRef>
              <c:f>Pivot!$A$220:$A$225</c:f>
              <c:strCache>
                <c:ptCount val="5"/>
                <c:pt idx="0">
                  <c:v>Charlie</c:v>
                </c:pt>
                <c:pt idx="1">
                  <c:v>Alice</c:v>
                </c:pt>
                <c:pt idx="2">
                  <c:v>Bob</c:v>
                </c:pt>
                <c:pt idx="3">
                  <c:v>Eve</c:v>
                </c:pt>
                <c:pt idx="4">
                  <c:v>David</c:v>
                </c:pt>
              </c:strCache>
            </c:strRef>
          </c:cat>
          <c:val>
            <c:numRef>
              <c:f>Pivot!$C$220:$C$225</c:f>
              <c:numCache>
                <c:formatCode>0.00%</c:formatCode>
                <c:ptCount val="5"/>
                <c:pt idx="0">
                  <c:v>-1.9771899010473167E-2</c:v>
                </c:pt>
                <c:pt idx="1">
                  <c:v>-5.4682045333679895E-3</c:v>
                </c:pt>
                <c:pt idx="2">
                  <c:v>-1.4367830095610299E-2</c:v>
                </c:pt>
                <c:pt idx="3">
                  <c:v>-3.5046056842101152E-2</c:v>
                </c:pt>
                <c:pt idx="4">
                  <c:v>-3.1096443775982661E-2</c:v>
                </c:pt>
              </c:numCache>
            </c:numRef>
          </c:val>
          <c:smooth val="0"/>
          <c:extLst>
            <c:ext xmlns:c16="http://schemas.microsoft.com/office/drawing/2014/chart" uri="{C3380CC4-5D6E-409C-BE32-E72D297353CC}">
              <c16:uniqueId val="{00000001-FFA0-44E3-A170-E1BAF5EB0234}"/>
            </c:ext>
          </c:extLst>
        </c:ser>
        <c:dLbls>
          <c:showLegendKey val="0"/>
          <c:showVal val="0"/>
          <c:showCatName val="0"/>
          <c:showSerName val="0"/>
          <c:showPercent val="0"/>
          <c:showBubbleSize val="0"/>
        </c:dLbls>
        <c:marker val="1"/>
        <c:smooth val="0"/>
        <c:axId val="461902911"/>
        <c:axId val="461902079"/>
      </c:lineChart>
      <c:catAx>
        <c:axId val="461895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1906239"/>
        <c:crosses val="autoZero"/>
        <c:auto val="1"/>
        <c:lblAlgn val="ctr"/>
        <c:lblOffset val="100"/>
        <c:noMultiLvlLbl val="0"/>
      </c:catAx>
      <c:valAx>
        <c:axId val="46190623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1895007"/>
        <c:crosses val="autoZero"/>
        <c:crossBetween val="between"/>
      </c:valAx>
      <c:valAx>
        <c:axId val="461902079"/>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1902911"/>
        <c:crosses val="max"/>
        <c:crossBetween val="between"/>
      </c:valAx>
      <c:catAx>
        <c:axId val="461902911"/>
        <c:scaling>
          <c:orientation val="minMax"/>
        </c:scaling>
        <c:delete val="1"/>
        <c:axPos val="b"/>
        <c:numFmt formatCode="General" sourceLinked="1"/>
        <c:majorTickMark val="out"/>
        <c:minorTickMark val="none"/>
        <c:tickLblPos val="nextTo"/>
        <c:crossAx val="461902079"/>
        <c:crosses val="autoZero"/>
        <c:auto val="1"/>
        <c:lblAlgn val="ctr"/>
        <c:lblOffset val="100"/>
        <c:noMultiLvlLbl val="0"/>
      </c:cat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[AMINAT AMINU A.xlsx]Pivot!PivotTable26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Regional</a:t>
            </a:r>
            <a:r>
              <a:rPr lang="en-US" b="1" baseline="0"/>
              <a:t> Sales Amount and Unit sold </a:t>
            </a:r>
            <a:endParaRPr lang="en-US" b="1"/>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ln w="28575" cap="rnd">
            <a:solidFill>
              <a:schemeClr val="accent1"/>
            </a:solidFill>
            <a:round/>
          </a:ln>
          <a:effectLst/>
        </c:spPr>
        <c:marker>
          <c:symbol val="none"/>
        </c:marker>
      </c:pivotFmt>
      <c:pivotFmt>
        <c:idx val="2"/>
        <c:spPr>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s>
    <c:plotArea>
      <c:layout/>
      <c:barChart>
        <c:barDir val="col"/>
        <c:grouping val="clustered"/>
        <c:varyColors val="0"/>
        <c:ser>
          <c:idx val="0"/>
          <c:order val="0"/>
          <c:tx>
            <c:strRef>
              <c:f>Pivot!$B$229</c:f>
              <c:strCache>
                <c:ptCount val="1"/>
                <c:pt idx="0">
                  <c:v>Sum of Sales Amount</c:v>
                </c:pt>
              </c:strCache>
            </c:strRef>
          </c:tx>
          <c:spPr>
            <a:solidFill>
              <a:schemeClr val="accent1"/>
            </a:solidFill>
            <a:ln>
              <a:noFill/>
            </a:ln>
            <a:effectLst/>
          </c:spPr>
          <c:invertIfNegative val="0"/>
          <c:cat>
            <c:strRef>
              <c:f>Pivot!$A$230:$A$234</c:f>
              <c:strCache>
                <c:ptCount val="4"/>
                <c:pt idx="0">
                  <c:v>South</c:v>
                </c:pt>
                <c:pt idx="1">
                  <c:v>East</c:v>
                </c:pt>
                <c:pt idx="2">
                  <c:v>West</c:v>
                </c:pt>
                <c:pt idx="3">
                  <c:v>North</c:v>
                </c:pt>
              </c:strCache>
            </c:strRef>
          </c:cat>
          <c:val>
            <c:numRef>
              <c:f>Pivot!$B$230:$B$234</c:f>
              <c:numCache>
                <c:formatCode>_(* #,##0_);_(* \(#,##0\);_(* "-"??_);_(@_)</c:formatCode>
                <c:ptCount val="4"/>
                <c:pt idx="0">
                  <c:v>13894660.2795</c:v>
                </c:pt>
                <c:pt idx="1">
                  <c:v>15202282.224599998</c:v>
                </c:pt>
                <c:pt idx="2">
                  <c:v>15018888.5976</c:v>
                </c:pt>
                <c:pt idx="3">
                  <c:v>15570342.181999991</c:v>
                </c:pt>
              </c:numCache>
            </c:numRef>
          </c:val>
          <c:extLst>
            <c:ext xmlns:c16="http://schemas.microsoft.com/office/drawing/2014/chart" uri="{C3380CC4-5D6E-409C-BE32-E72D297353CC}">
              <c16:uniqueId val="{00000000-63FA-4165-983C-4426180A4E78}"/>
            </c:ext>
          </c:extLst>
        </c:ser>
        <c:dLbls>
          <c:showLegendKey val="0"/>
          <c:showVal val="0"/>
          <c:showCatName val="0"/>
          <c:showSerName val="0"/>
          <c:showPercent val="0"/>
          <c:showBubbleSize val="0"/>
        </c:dLbls>
        <c:gapWidth val="219"/>
        <c:axId val="483777503"/>
        <c:axId val="483780831"/>
      </c:barChart>
      <c:lineChart>
        <c:grouping val="standard"/>
        <c:varyColors val="0"/>
        <c:ser>
          <c:idx val="1"/>
          <c:order val="1"/>
          <c:tx>
            <c:strRef>
              <c:f>Pivot!$C$229</c:f>
              <c:strCache>
                <c:ptCount val="1"/>
                <c:pt idx="0">
                  <c:v>Sum of Quantity_Sold</c:v>
                </c:pt>
              </c:strCache>
            </c:strRef>
          </c:tx>
          <c:spPr>
            <a:ln w="28575" cap="rnd">
              <a:solidFill>
                <a:schemeClr val="accent2"/>
              </a:solidFill>
              <a:round/>
            </a:ln>
            <a:effectLst/>
          </c:spPr>
          <c:marker>
            <c:symbol val="none"/>
          </c:marker>
          <c:cat>
            <c:strRef>
              <c:f>Pivot!$A$230:$A$234</c:f>
              <c:strCache>
                <c:ptCount val="4"/>
                <c:pt idx="0">
                  <c:v>South</c:v>
                </c:pt>
                <c:pt idx="1">
                  <c:v>East</c:v>
                </c:pt>
                <c:pt idx="2">
                  <c:v>West</c:v>
                </c:pt>
                <c:pt idx="3">
                  <c:v>North</c:v>
                </c:pt>
              </c:strCache>
            </c:strRef>
          </c:cat>
          <c:val>
            <c:numRef>
              <c:f>Pivot!$C$230:$C$234</c:f>
              <c:numCache>
                <c:formatCode>0</c:formatCode>
                <c:ptCount val="4"/>
                <c:pt idx="0">
                  <c:v>5808</c:v>
                </c:pt>
                <c:pt idx="1">
                  <c:v>6356</c:v>
                </c:pt>
                <c:pt idx="2">
                  <c:v>6486</c:v>
                </c:pt>
                <c:pt idx="3">
                  <c:v>6705</c:v>
                </c:pt>
              </c:numCache>
            </c:numRef>
          </c:val>
          <c:smooth val="0"/>
          <c:extLst>
            <c:ext xmlns:c16="http://schemas.microsoft.com/office/drawing/2014/chart" uri="{C3380CC4-5D6E-409C-BE32-E72D297353CC}">
              <c16:uniqueId val="{00000001-63FA-4165-983C-4426180A4E78}"/>
            </c:ext>
          </c:extLst>
        </c:ser>
        <c:ser>
          <c:idx val="2"/>
          <c:order val="2"/>
          <c:tx>
            <c:strRef>
              <c:f>Pivot!$D$229</c:f>
              <c:strCache>
                <c:ptCount val="1"/>
                <c:pt idx="0">
                  <c:v>Average of Unit_Cost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Pivot!$A$230:$A$234</c:f>
              <c:strCache>
                <c:ptCount val="4"/>
                <c:pt idx="0">
                  <c:v>South</c:v>
                </c:pt>
                <c:pt idx="1">
                  <c:v>East</c:v>
                </c:pt>
                <c:pt idx="2">
                  <c:v>West</c:v>
                </c:pt>
                <c:pt idx="3">
                  <c:v>North</c:v>
                </c:pt>
              </c:strCache>
            </c:strRef>
          </c:cat>
          <c:val>
            <c:numRef>
              <c:f>Pivot!$D$230:$D$234</c:f>
              <c:numCache>
                <c:formatCode>0</c:formatCode>
                <c:ptCount val="4"/>
                <c:pt idx="0">
                  <c:v>2444.7254424778744</c:v>
                </c:pt>
                <c:pt idx="1">
                  <c:v>2483.7113688212899</c:v>
                </c:pt>
                <c:pt idx="2">
                  <c:v>2507.7948770491803</c:v>
                </c:pt>
                <c:pt idx="3">
                  <c:v>2463.2155805243437</c:v>
                </c:pt>
              </c:numCache>
            </c:numRef>
          </c:val>
          <c:smooth val="0"/>
          <c:extLst>
            <c:ext xmlns:c16="http://schemas.microsoft.com/office/drawing/2014/chart" uri="{C3380CC4-5D6E-409C-BE32-E72D297353CC}">
              <c16:uniqueId val="{00000002-63FA-4165-983C-4426180A4E78}"/>
            </c:ext>
          </c:extLst>
        </c:ser>
        <c:dLbls>
          <c:showLegendKey val="0"/>
          <c:showVal val="0"/>
          <c:showCatName val="0"/>
          <c:showSerName val="0"/>
          <c:showPercent val="0"/>
          <c:showBubbleSize val="0"/>
        </c:dLbls>
        <c:marker val="1"/>
        <c:smooth val="0"/>
        <c:axId val="483805791"/>
        <c:axId val="483804543"/>
      </c:lineChart>
      <c:catAx>
        <c:axId val="4837775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780831"/>
        <c:crosses val="autoZero"/>
        <c:auto val="1"/>
        <c:lblAlgn val="ctr"/>
        <c:lblOffset val="100"/>
        <c:noMultiLvlLbl val="0"/>
      </c:catAx>
      <c:valAx>
        <c:axId val="483780831"/>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777503"/>
        <c:crosses val="autoZero"/>
        <c:crossBetween val="between"/>
      </c:valAx>
      <c:valAx>
        <c:axId val="483804543"/>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805791"/>
        <c:crosses val="max"/>
        <c:crossBetween val="between"/>
      </c:valAx>
      <c:catAx>
        <c:axId val="483805791"/>
        <c:scaling>
          <c:orientation val="minMax"/>
        </c:scaling>
        <c:delete val="1"/>
        <c:axPos val="b"/>
        <c:numFmt formatCode="General" sourceLinked="1"/>
        <c:majorTickMark val="out"/>
        <c:minorTickMark val="none"/>
        <c:tickLblPos val="nextTo"/>
        <c:crossAx val="483804543"/>
        <c:crosses val="autoZero"/>
        <c:auto val="1"/>
        <c:lblAlgn val="ctr"/>
        <c:lblOffset val="100"/>
        <c:noMultiLvlLbl val="0"/>
      </c:cat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[AMINAT AMINU A.xlsx]Pivot!PivotTable28</c:name>
    <c:fmtId val="3"/>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Pivot!$B$247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E2A-44D0-9942-D0C5EB68338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E2A-44D0-9942-D0C5EB68338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E2A-44D0-9942-D0C5EB68338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E2A-44D0-9942-D0C5EB683380}"/>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15:layout/>
              </c:ext>
            </c:extLst>
          </c:dLbls>
          <c:cat>
            <c:strRef>
              <c:f>Pivot!$A$248:$A$252</c:f>
              <c:strCache>
                <c:ptCount val="4"/>
                <c:pt idx="0">
                  <c:v>Food</c:v>
                </c:pt>
                <c:pt idx="1">
                  <c:v>Electronics</c:v>
                </c:pt>
                <c:pt idx="2">
                  <c:v>Furniture</c:v>
                </c:pt>
                <c:pt idx="3">
                  <c:v>Clothing</c:v>
                </c:pt>
              </c:strCache>
            </c:strRef>
          </c:cat>
          <c:val>
            <c:numRef>
              <c:f>Pivot!$B$248:$B$252</c:f>
              <c:numCache>
                <c:formatCode>0</c:formatCode>
                <c:ptCount val="4"/>
                <c:pt idx="0">
                  <c:v>5608</c:v>
                </c:pt>
                <c:pt idx="1">
                  <c:v>6096</c:v>
                </c:pt>
                <c:pt idx="2">
                  <c:v>6729</c:v>
                </c:pt>
                <c:pt idx="3">
                  <c:v>6922</c:v>
                </c:pt>
              </c:numCache>
            </c:numRef>
          </c:val>
          <c:extLst>
            <c:ext xmlns:c16="http://schemas.microsoft.com/office/drawing/2014/chart" uri="{C3380CC4-5D6E-409C-BE32-E72D297353CC}">
              <c16:uniqueId val="{00000000-C1FB-4684-96B3-BC2FEBA75051}"/>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[AMINAT AMINU A.xlsx]Pivot!PivotTable29</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Product Sales by Unit cost</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w="28575" cap="rnd">
            <a:solidFill>
              <a:schemeClr val="accent1"/>
            </a:solidFill>
            <a:round/>
          </a:ln>
          <a:effectLst/>
        </c:spPr>
        <c:marker>
          <c:symbol val="none"/>
        </c:marker>
      </c:pivotFmt>
      <c:pivotFmt>
        <c:idx val="5"/>
        <c:spPr>
          <a:solidFill>
            <a:schemeClr val="accent1"/>
          </a:solidFill>
          <a:ln>
            <a:noFill/>
          </a:ln>
          <a:effectLst/>
        </c:spPr>
        <c:marker>
          <c:symbol val="none"/>
        </c:marker>
      </c:pivotFmt>
      <c:pivotFmt>
        <c:idx val="6"/>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s>
    <c:plotArea>
      <c:layout/>
      <c:barChart>
        <c:barDir val="col"/>
        <c:grouping val="clustered"/>
        <c:varyColors val="0"/>
        <c:ser>
          <c:idx val="0"/>
          <c:order val="0"/>
          <c:tx>
            <c:strRef>
              <c:f>Pivot!$B$263</c:f>
              <c:strCache>
                <c:ptCount val="1"/>
                <c:pt idx="0">
                  <c:v>Sum of Sales Amount</c:v>
                </c:pt>
              </c:strCache>
            </c:strRef>
          </c:tx>
          <c:spPr>
            <a:solidFill>
              <a:schemeClr val="accent1"/>
            </a:solidFill>
            <a:ln>
              <a:noFill/>
            </a:ln>
            <a:effectLst/>
          </c:spPr>
          <c:invertIfNegative val="0"/>
          <c:cat>
            <c:strRef>
              <c:f>Pivot!$A$264:$A$268</c:f>
              <c:strCache>
                <c:ptCount val="4"/>
                <c:pt idx="0">
                  <c:v>Food</c:v>
                </c:pt>
                <c:pt idx="1">
                  <c:v>Electronics</c:v>
                </c:pt>
                <c:pt idx="2">
                  <c:v>Furniture</c:v>
                </c:pt>
                <c:pt idx="3">
                  <c:v>Clothing</c:v>
                </c:pt>
              </c:strCache>
            </c:strRef>
          </c:cat>
          <c:val>
            <c:numRef>
              <c:f>Pivot!$B$264:$B$268</c:f>
              <c:numCache>
                <c:formatCode>_(* #,##0_);_(* \(#,##0\);_(* "-"??_);_(@_)</c:formatCode>
                <c:ptCount val="4"/>
                <c:pt idx="0">
                  <c:v>12808326.230800003</c:v>
                </c:pt>
                <c:pt idx="1">
                  <c:v>15153225.285399996</c:v>
                </c:pt>
                <c:pt idx="2">
                  <c:v>15363777.142799992</c:v>
                </c:pt>
                <c:pt idx="3">
                  <c:v>16360844.624700002</c:v>
                </c:pt>
              </c:numCache>
            </c:numRef>
          </c:val>
          <c:extLst>
            <c:ext xmlns:c16="http://schemas.microsoft.com/office/drawing/2014/chart" uri="{C3380CC4-5D6E-409C-BE32-E72D297353CC}">
              <c16:uniqueId val="{00000000-AA35-49A6-9F4E-5948398149A6}"/>
            </c:ext>
          </c:extLst>
        </c:ser>
        <c:dLbls>
          <c:showLegendKey val="0"/>
          <c:showVal val="0"/>
          <c:showCatName val="0"/>
          <c:showSerName val="0"/>
          <c:showPercent val="0"/>
          <c:showBubbleSize val="0"/>
        </c:dLbls>
        <c:gapWidth val="219"/>
        <c:axId val="453938543"/>
        <c:axId val="453925231"/>
      </c:barChart>
      <c:lineChart>
        <c:grouping val="standard"/>
        <c:varyColors val="0"/>
        <c:ser>
          <c:idx val="1"/>
          <c:order val="1"/>
          <c:tx>
            <c:strRef>
              <c:f>Pivot!$C$263</c:f>
              <c:strCache>
                <c:ptCount val="1"/>
                <c:pt idx="0">
                  <c:v>Average of Unit_Cost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Pivot!$A$264:$A$268</c:f>
              <c:strCache>
                <c:ptCount val="4"/>
                <c:pt idx="0">
                  <c:v>Food</c:v>
                </c:pt>
                <c:pt idx="1">
                  <c:v>Electronics</c:v>
                </c:pt>
                <c:pt idx="2">
                  <c:v>Furniture</c:v>
                </c:pt>
                <c:pt idx="3">
                  <c:v>Clothing</c:v>
                </c:pt>
              </c:strCache>
            </c:strRef>
          </c:cat>
          <c:val>
            <c:numRef>
              <c:f>Pivot!$C$264:$C$268</c:f>
              <c:numCache>
                <c:formatCode>0</c:formatCode>
                <c:ptCount val="4"/>
                <c:pt idx="0">
                  <c:v>2407.9989380530965</c:v>
                </c:pt>
                <c:pt idx="1">
                  <c:v>2545.3300813008113</c:v>
                </c:pt>
                <c:pt idx="2">
                  <c:v>2472.4161153846126</c:v>
                </c:pt>
                <c:pt idx="3">
                  <c:v>2470.5873134328353</c:v>
                </c:pt>
              </c:numCache>
            </c:numRef>
          </c:val>
          <c:smooth val="0"/>
          <c:extLst>
            <c:ext xmlns:c16="http://schemas.microsoft.com/office/drawing/2014/chart" uri="{C3380CC4-5D6E-409C-BE32-E72D297353CC}">
              <c16:uniqueId val="{00000001-AA35-49A6-9F4E-5948398149A6}"/>
            </c:ext>
          </c:extLst>
        </c:ser>
        <c:dLbls>
          <c:showLegendKey val="0"/>
          <c:showVal val="0"/>
          <c:showCatName val="0"/>
          <c:showSerName val="0"/>
          <c:showPercent val="0"/>
          <c:showBubbleSize val="0"/>
        </c:dLbls>
        <c:marker val="1"/>
        <c:smooth val="0"/>
        <c:axId val="483775423"/>
        <c:axId val="483798719"/>
      </c:lineChart>
      <c:catAx>
        <c:axId val="4539385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3925231"/>
        <c:crosses val="autoZero"/>
        <c:auto val="1"/>
        <c:lblAlgn val="ctr"/>
        <c:lblOffset val="100"/>
        <c:noMultiLvlLbl val="0"/>
      </c:catAx>
      <c:valAx>
        <c:axId val="453925231"/>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3938543"/>
        <c:crosses val="autoZero"/>
        <c:crossBetween val="between"/>
      </c:valAx>
      <c:valAx>
        <c:axId val="483798719"/>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775423"/>
        <c:crosses val="max"/>
        <c:crossBetween val="between"/>
      </c:valAx>
      <c:catAx>
        <c:axId val="483775423"/>
        <c:scaling>
          <c:orientation val="minMax"/>
        </c:scaling>
        <c:delete val="1"/>
        <c:axPos val="b"/>
        <c:numFmt formatCode="General" sourceLinked="1"/>
        <c:majorTickMark val="out"/>
        <c:minorTickMark val="none"/>
        <c:tickLblPos val="nextTo"/>
        <c:crossAx val="483798719"/>
        <c:crosses val="autoZero"/>
        <c:auto val="1"/>
        <c:lblAlgn val="ctr"/>
        <c:lblOffset val="100"/>
        <c:noMultiLvlLbl val="0"/>
      </c:cat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[AMINAT AMINU A.xlsx]Pivot!PivotTable10</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SALES GROWTH RATE OVER TIME</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pPr>
            <a:solidFill>
              <a:schemeClr val="accent1"/>
            </a:solidFill>
            <a:ln w="9525">
              <a:solidFill>
                <a:schemeClr val="accent1"/>
              </a:solidFill>
            </a:ln>
            <a:effectLst/>
          </c:spPr>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Pivot!$B$299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Pivot!$A$300:$A$315</c:f>
              <c:multiLvlStrCache>
                <c:ptCount val="13"/>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lvl>
                <c:lvl>
                  <c:pt idx="0">
                    <c:v>2023</c:v>
                  </c:pt>
                  <c:pt idx="12">
                    <c:v>2024</c:v>
                  </c:pt>
                </c:lvl>
              </c:multiLvlStrCache>
            </c:multiLvlStrRef>
          </c:cat>
          <c:val>
            <c:numRef>
              <c:f>Pivot!$B$300:$B$315</c:f>
              <c:numCache>
                <c:formatCode>0.00%</c:formatCode>
                <c:ptCount val="13"/>
                <c:pt idx="0">
                  <c:v>0.10681875579785487</c:v>
                </c:pt>
                <c:pt idx="1">
                  <c:v>7.8112722610635843E-2</c:v>
                </c:pt>
                <c:pt idx="2">
                  <c:v>8.5642447511306175E-2</c:v>
                </c:pt>
                <c:pt idx="3">
                  <c:v>7.5699268162562838E-2</c:v>
                </c:pt>
                <c:pt idx="4">
                  <c:v>8.1731857117270212E-2</c:v>
                </c:pt>
                <c:pt idx="5">
                  <c:v>8.8732644556161269E-2</c:v>
                </c:pt>
                <c:pt idx="6">
                  <c:v>6.7077182042986794E-2</c:v>
                </c:pt>
                <c:pt idx="7">
                  <c:v>9.5918190537832113E-2</c:v>
                </c:pt>
                <c:pt idx="8">
                  <c:v>6.4255972195948668E-2</c:v>
                </c:pt>
                <c:pt idx="9">
                  <c:v>9.5133752201042518E-2</c:v>
                </c:pt>
                <c:pt idx="10">
                  <c:v>6.9657416921976023E-2</c:v>
                </c:pt>
                <c:pt idx="11">
                  <c:v>9.0443258882442479E-2</c:v>
                </c:pt>
                <c:pt idx="12">
                  <c:v>7.7653146198028184E-4</c:v>
                </c:pt>
              </c:numCache>
            </c:numRef>
          </c:val>
          <c:extLst>
            <c:ext xmlns:c16="http://schemas.microsoft.com/office/drawing/2014/chart" uri="{C3380CC4-5D6E-409C-BE32-E72D297353CC}">
              <c16:uniqueId val="{00000000-CC9C-42AF-81D6-564F1EA5E359}"/>
            </c:ext>
          </c:extLst>
        </c:ser>
        <c:dLbls>
          <c:dLblPos val="outEnd"/>
          <c:showLegendKey val="0"/>
          <c:showVal val="1"/>
          <c:showCatName val="0"/>
          <c:showSerName val="0"/>
          <c:showPercent val="0"/>
          <c:showBubbleSize val="0"/>
        </c:dLbls>
        <c:gapWidth val="219"/>
        <c:axId val="832390703"/>
        <c:axId val="832394031"/>
      </c:barChart>
      <c:catAx>
        <c:axId val="8323907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2394031"/>
        <c:crosses val="autoZero"/>
        <c:auto val="1"/>
        <c:lblAlgn val="ctr"/>
        <c:lblOffset val="100"/>
        <c:noMultiLvlLbl val="0"/>
      </c:catAx>
      <c:valAx>
        <c:axId val="832394031"/>
        <c:scaling>
          <c:orientation val="minMax"/>
        </c:scaling>
        <c:delete val="1"/>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832390703"/>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[AMINAT AMINU A.xlsx]Pivot!PivotTable20</c:name>
    <c:fmtId val="20"/>
  </c:pivotSource>
  <c:chart>
    <c:autoTitleDeleted val="0"/>
    <c:pivotFmts>
      <c:pivotFmt>
        <c:idx val="0"/>
        <c:spPr>
          <a:ln w="28575" cap="rnd">
            <a:solidFill>
              <a:schemeClr val="accent1"/>
            </a:solidFill>
            <a:round/>
          </a:ln>
          <a:effectLst/>
        </c:spPr>
        <c:marker>
          <c:symbol val="none"/>
        </c:marker>
      </c:pivotFmt>
      <c:pivotFmt>
        <c:idx val="1"/>
        <c:spPr>
          <a:ln w="28575" cap="rnd">
            <a:solidFill>
              <a:schemeClr val="accent1"/>
            </a:solidFill>
            <a:round/>
          </a:ln>
          <a:effectLst/>
        </c:spPr>
        <c:marker>
          <c:symbol val="none"/>
        </c:marker>
      </c:pivotFmt>
      <c:pivotFmt>
        <c:idx val="2"/>
        <c:spPr>
          <a:ln w="28575" cap="rnd">
            <a:solidFill>
              <a:schemeClr val="accent1"/>
            </a:solidFill>
            <a:round/>
          </a:ln>
          <a:effectLst/>
        </c:spPr>
        <c:marker>
          <c:symbol val="none"/>
        </c:marker>
      </c:pivotFmt>
      <c:pivotFmt>
        <c:idx val="3"/>
        <c:spPr>
          <a:ln w="28575" cap="rnd">
            <a:solidFill>
              <a:schemeClr val="accent1"/>
            </a:solidFill>
            <a:round/>
          </a:ln>
          <a:effectLst/>
        </c:spPr>
        <c:marker>
          <c:symbol val="none"/>
        </c:marker>
      </c:pivotFmt>
      <c:pivotFmt>
        <c:idx val="4"/>
        <c:spPr>
          <a:ln w="28575" cap="rnd">
            <a:solidFill>
              <a:schemeClr val="accent1"/>
            </a:solidFill>
            <a:round/>
          </a:ln>
          <a:effectLst/>
        </c:spPr>
        <c:marker>
          <c:symbol val="none"/>
        </c:marker>
      </c:pivotFmt>
      <c:pivotFmt>
        <c:idx val="5"/>
        <c:spPr>
          <a:solidFill>
            <a:schemeClr val="accent1"/>
          </a:solidFill>
          <a:ln w="28575" cap="rnd">
            <a:solidFill>
              <a:schemeClr val="accent1"/>
            </a:solidFill>
            <a:round/>
          </a:ln>
          <a:effectLst/>
        </c:spPr>
        <c:marker>
          <c:symbol val="none"/>
        </c:marker>
      </c:pivotFmt>
    </c:pivotFmts>
    <c:plotArea>
      <c:layout/>
      <c:lineChart>
        <c:grouping val="standard"/>
        <c:varyColors val="0"/>
        <c:ser>
          <c:idx val="0"/>
          <c:order val="0"/>
          <c:tx>
            <c:strRef>
              <c:f>Pivot!$B$319:$B$320</c:f>
              <c:strCache>
                <c:ptCount val="1"/>
                <c:pt idx="0">
                  <c:v>Alice</c:v>
                </c:pt>
              </c:strCache>
            </c:strRef>
          </c:tx>
          <c:spPr>
            <a:ln w="28575" cap="rnd">
              <a:solidFill>
                <a:schemeClr val="accent1"/>
              </a:solidFill>
              <a:round/>
            </a:ln>
            <a:effectLst/>
          </c:spPr>
          <c:marker>
            <c:symbol val="none"/>
          </c:marker>
          <c:cat>
            <c:multiLvlStrRef>
              <c:f>Pivot!$A$321:$A$328</c:f>
              <c:multiLvlStrCache>
                <c:ptCount val="5"/>
                <c:lvl>
                  <c:pt idx="0">
                    <c:v>Qtr1</c:v>
                  </c:pt>
                  <c:pt idx="1">
                    <c:v>Qtr2</c:v>
                  </c:pt>
                  <c:pt idx="2">
                    <c:v>Qtr3</c:v>
                  </c:pt>
                  <c:pt idx="3">
                    <c:v>Qtr4</c:v>
                  </c:pt>
                  <c:pt idx="4">
                    <c:v>Qtr1</c:v>
                  </c:pt>
                </c:lvl>
                <c:lvl>
                  <c:pt idx="0">
                    <c:v>2023</c:v>
                  </c:pt>
                  <c:pt idx="4">
                    <c:v>2024</c:v>
                  </c:pt>
                </c:lvl>
              </c:multiLvlStrCache>
            </c:multiLvlStrRef>
          </c:cat>
          <c:val>
            <c:numRef>
              <c:f>Pivot!$B$321:$B$328</c:f>
              <c:numCache>
                <c:formatCode>_(* #,##0_);_(* \(#,##0\);_(* "-"??_);_(@_)</c:formatCode>
                <c:ptCount val="5"/>
                <c:pt idx="0">
                  <c:v>2882397.3272999991</c:v>
                </c:pt>
                <c:pt idx="1">
                  <c:v>2986487.2214999995</c:v>
                </c:pt>
                <c:pt idx="2">
                  <c:v>2474497.5472000004</c:v>
                </c:pt>
                <c:pt idx="3">
                  <c:v>3103787.5049000001</c:v>
                </c:pt>
                <c:pt idx="4">
                  <c:v>29475.9624</c:v>
                </c:pt>
              </c:numCache>
            </c:numRef>
          </c:val>
          <c:smooth val="0"/>
          <c:extLst>
            <c:ext xmlns:c16="http://schemas.microsoft.com/office/drawing/2014/chart" uri="{C3380CC4-5D6E-409C-BE32-E72D297353CC}">
              <c16:uniqueId val="{00000000-836C-4AF2-B2F5-4FCCCEB3CC3A}"/>
            </c:ext>
          </c:extLst>
        </c:ser>
        <c:ser>
          <c:idx val="1"/>
          <c:order val="1"/>
          <c:tx>
            <c:strRef>
              <c:f>Pivot!$C$319:$C$320</c:f>
              <c:strCache>
                <c:ptCount val="1"/>
                <c:pt idx="0">
                  <c:v>Bob</c:v>
                </c:pt>
              </c:strCache>
            </c:strRef>
          </c:tx>
          <c:spPr>
            <a:ln w="28575" cap="rnd">
              <a:solidFill>
                <a:schemeClr val="accent2"/>
              </a:solidFill>
              <a:round/>
            </a:ln>
            <a:effectLst/>
          </c:spPr>
          <c:marker>
            <c:symbol val="none"/>
          </c:marker>
          <c:cat>
            <c:multiLvlStrRef>
              <c:f>Pivot!$A$321:$A$328</c:f>
              <c:multiLvlStrCache>
                <c:ptCount val="5"/>
                <c:lvl>
                  <c:pt idx="0">
                    <c:v>Qtr1</c:v>
                  </c:pt>
                  <c:pt idx="1">
                    <c:v>Qtr2</c:v>
                  </c:pt>
                  <c:pt idx="2">
                    <c:v>Qtr3</c:v>
                  </c:pt>
                  <c:pt idx="3">
                    <c:v>Qtr4</c:v>
                  </c:pt>
                  <c:pt idx="4">
                    <c:v>Qtr1</c:v>
                  </c:pt>
                </c:lvl>
                <c:lvl>
                  <c:pt idx="0">
                    <c:v>2023</c:v>
                  </c:pt>
                  <c:pt idx="4">
                    <c:v>2024</c:v>
                  </c:pt>
                </c:lvl>
              </c:multiLvlStrCache>
            </c:multiLvlStrRef>
          </c:cat>
          <c:val>
            <c:numRef>
              <c:f>Pivot!$C$321:$C$328</c:f>
              <c:numCache>
                <c:formatCode>_(* #,##0_);_(* \(#,##0\);_(* "-"??_);_(@_)</c:formatCode>
                <c:ptCount val="5"/>
                <c:pt idx="0">
                  <c:v>3382340.9510999992</c:v>
                </c:pt>
                <c:pt idx="1">
                  <c:v>3030427.4931000005</c:v>
                </c:pt>
                <c:pt idx="2">
                  <c:v>2850130.9751000013</c:v>
                </c:pt>
                <c:pt idx="3">
                  <c:v>2501762.3086000006</c:v>
                </c:pt>
                <c:pt idx="4">
                  <c:v>4041.9807999999998</c:v>
                </c:pt>
              </c:numCache>
            </c:numRef>
          </c:val>
          <c:smooth val="0"/>
          <c:extLst>
            <c:ext xmlns:c16="http://schemas.microsoft.com/office/drawing/2014/chart" uri="{C3380CC4-5D6E-409C-BE32-E72D297353CC}">
              <c16:uniqueId val="{00000000-DFB4-406B-A60B-C4CA18B319A8}"/>
            </c:ext>
          </c:extLst>
        </c:ser>
        <c:ser>
          <c:idx val="2"/>
          <c:order val="2"/>
          <c:tx>
            <c:strRef>
              <c:f>Pivot!$D$319:$D$320</c:f>
              <c:strCache>
                <c:ptCount val="1"/>
                <c:pt idx="0">
                  <c:v>Charlie</c:v>
                </c:pt>
              </c:strCache>
            </c:strRef>
          </c:tx>
          <c:spPr>
            <a:ln w="28575" cap="rnd">
              <a:solidFill>
                <a:schemeClr val="accent3"/>
              </a:solidFill>
              <a:round/>
            </a:ln>
            <a:effectLst/>
          </c:spPr>
          <c:marker>
            <c:symbol val="none"/>
          </c:marker>
          <c:cat>
            <c:multiLvlStrRef>
              <c:f>Pivot!$A$321:$A$328</c:f>
              <c:multiLvlStrCache>
                <c:ptCount val="5"/>
                <c:lvl>
                  <c:pt idx="0">
                    <c:v>Qtr1</c:v>
                  </c:pt>
                  <c:pt idx="1">
                    <c:v>Qtr2</c:v>
                  </c:pt>
                  <c:pt idx="2">
                    <c:v>Qtr3</c:v>
                  </c:pt>
                  <c:pt idx="3">
                    <c:v>Qtr4</c:v>
                  </c:pt>
                  <c:pt idx="4">
                    <c:v>Qtr1</c:v>
                  </c:pt>
                </c:lvl>
                <c:lvl>
                  <c:pt idx="0">
                    <c:v>2023</c:v>
                  </c:pt>
                  <c:pt idx="4">
                    <c:v>2024</c:v>
                  </c:pt>
                </c:lvl>
              </c:multiLvlStrCache>
            </c:multiLvlStrRef>
          </c:cat>
          <c:val>
            <c:numRef>
              <c:f>Pivot!$D$321:$D$328</c:f>
              <c:numCache>
                <c:formatCode>_(* #,##0_);_(* \(#,##0\);_(* "-"??_);_(@_)</c:formatCode>
                <c:ptCount val="5"/>
                <c:pt idx="0">
                  <c:v>2914396.6551000001</c:v>
                </c:pt>
                <c:pt idx="1">
                  <c:v>2660621.2568000001</c:v>
                </c:pt>
                <c:pt idx="2">
                  <c:v>2418924.9046999998</c:v>
                </c:pt>
                <c:pt idx="3">
                  <c:v>1833748.0340999993</c:v>
                </c:pt>
              </c:numCache>
            </c:numRef>
          </c:val>
          <c:smooth val="0"/>
          <c:extLst>
            <c:ext xmlns:c16="http://schemas.microsoft.com/office/drawing/2014/chart" uri="{C3380CC4-5D6E-409C-BE32-E72D297353CC}">
              <c16:uniqueId val="{00000001-DFB4-406B-A60B-C4CA18B319A8}"/>
            </c:ext>
          </c:extLst>
        </c:ser>
        <c:ser>
          <c:idx val="3"/>
          <c:order val="3"/>
          <c:tx>
            <c:strRef>
              <c:f>Pivot!$E$319:$E$320</c:f>
              <c:strCache>
                <c:ptCount val="1"/>
                <c:pt idx="0">
                  <c:v>David</c:v>
                </c:pt>
              </c:strCache>
            </c:strRef>
          </c:tx>
          <c:spPr>
            <a:ln w="28575" cap="rnd">
              <a:solidFill>
                <a:schemeClr val="accent4"/>
              </a:solidFill>
              <a:round/>
            </a:ln>
            <a:effectLst/>
          </c:spPr>
          <c:marker>
            <c:symbol val="none"/>
          </c:marker>
          <c:cat>
            <c:multiLvlStrRef>
              <c:f>Pivot!$A$321:$A$328</c:f>
              <c:multiLvlStrCache>
                <c:ptCount val="5"/>
                <c:lvl>
                  <c:pt idx="0">
                    <c:v>Qtr1</c:v>
                  </c:pt>
                  <c:pt idx="1">
                    <c:v>Qtr2</c:v>
                  </c:pt>
                  <c:pt idx="2">
                    <c:v>Qtr3</c:v>
                  </c:pt>
                  <c:pt idx="3">
                    <c:v>Qtr4</c:v>
                  </c:pt>
                  <c:pt idx="4">
                    <c:v>Qtr1</c:v>
                  </c:pt>
                </c:lvl>
                <c:lvl>
                  <c:pt idx="0">
                    <c:v>2023</c:v>
                  </c:pt>
                  <c:pt idx="4">
                    <c:v>2024</c:v>
                  </c:pt>
                </c:lvl>
              </c:multiLvlStrCache>
            </c:multiLvlStrRef>
          </c:cat>
          <c:val>
            <c:numRef>
              <c:f>Pivot!$E$321:$E$328</c:f>
              <c:numCache>
                <c:formatCode>_(* #,##0_);_(* \(#,##0\);_(* "-"??_);_(@_)</c:formatCode>
                <c:ptCount val="5"/>
                <c:pt idx="0">
                  <c:v>3074893.6319000004</c:v>
                </c:pt>
                <c:pt idx="1">
                  <c:v>3120038.6709000007</c:v>
                </c:pt>
                <c:pt idx="2">
                  <c:v>2668479.3337000003</c:v>
                </c:pt>
                <c:pt idx="3">
                  <c:v>4798167.3171999995</c:v>
                </c:pt>
                <c:pt idx="4">
                  <c:v>12830.2482</c:v>
                </c:pt>
              </c:numCache>
            </c:numRef>
          </c:val>
          <c:smooth val="0"/>
          <c:extLst>
            <c:ext xmlns:c16="http://schemas.microsoft.com/office/drawing/2014/chart" uri="{C3380CC4-5D6E-409C-BE32-E72D297353CC}">
              <c16:uniqueId val="{00000002-DFB4-406B-A60B-C4CA18B319A8}"/>
            </c:ext>
          </c:extLst>
        </c:ser>
        <c:ser>
          <c:idx val="4"/>
          <c:order val="4"/>
          <c:tx>
            <c:strRef>
              <c:f>Pivot!$F$319:$F$320</c:f>
              <c:strCache>
                <c:ptCount val="1"/>
                <c:pt idx="0">
                  <c:v>Eve</c:v>
                </c:pt>
              </c:strCache>
            </c:strRef>
          </c:tx>
          <c:spPr>
            <a:ln w="28575" cap="rnd">
              <a:solidFill>
                <a:schemeClr val="accent5"/>
              </a:solidFill>
              <a:round/>
            </a:ln>
            <a:effectLst/>
          </c:spPr>
          <c:marker>
            <c:symbol val="none"/>
          </c:marker>
          <c:cat>
            <c:multiLvlStrRef>
              <c:f>Pivot!$A$321:$A$328</c:f>
              <c:multiLvlStrCache>
                <c:ptCount val="5"/>
                <c:lvl>
                  <c:pt idx="0">
                    <c:v>Qtr1</c:v>
                  </c:pt>
                  <c:pt idx="1">
                    <c:v>Qtr2</c:v>
                  </c:pt>
                  <c:pt idx="2">
                    <c:v>Qtr3</c:v>
                  </c:pt>
                  <c:pt idx="3">
                    <c:v>Qtr4</c:v>
                  </c:pt>
                  <c:pt idx="4">
                    <c:v>Qtr1</c:v>
                  </c:pt>
                </c:lvl>
                <c:lvl>
                  <c:pt idx="0">
                    <c:v>2023</c:v>
                  </c:pt>
                  <c:pt idx="4">
                    <c:v>2024</c:v>
                  </c:pt>
                </c:lvl>
              </c:multiLvlStrCache>
            </c:multiLvlStrRef>
          </c:cat>
          <c:val>
            <c:numRef>
              <c:f>Pivot!$F$321:$F$328</c:f>
              <c:numCache>
                <c:formatCode>_(* #,##0_);_(* \(#,##0\);_(* "-"??_);_(@_)</c:formatCode>
                <c:ptCount val="5"/>
                <c:pt idx="0">
                  <c:v>3895493.6630999995</c:v>
                </c:pt>
                <c:pt idx="1">
                  <c:v>2894998.7803000002</c:v>
                </c:pt>
                <c:pt idx="2">
                  <c:v>3151730.3826000001</c:v>
                </c:pt>
                <c:pt idx="3">
                  <c:v>2996501.1330999997</c:v>
                </c:pt>
              </c:numCache>
            </c:numRef>
          </c:val>
          <c:smooth val="0"/>
          <c:extLst>
            <c:ext xmlns:c16="http://schemas.microsoft.com/office/drawing/2014/chart" uri="{C3380CC4-5D6E-409C-BE32-E72D297353CC}">
              <c16:uniqueId val="{00000003-DFB4-406B-A60B-C4CA18B319A8}"/>
            </c:ext>
          </c:extLst>
        </c:ser>
        <c:dLbls>
          <c:showLegendKey val="0"/>
          <c:showVal val="0"/>
          <c:showCatName val="0"/>
          <c:showSerName val="0"/>
          <c:showPercent val="0"/>
          <c:showBubbleSize val="0"/>
        </c:dLbls>
        <c:smooth val="0"/>
        <c:axId val="834556287"/>
        <c:axId val="834562111"/>
      </c:lineChart>
      <c:catAx>
        <c:axId val="8345562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4562111"/>
        <c:crosses val="autoZero"/>
        <c:auto val="1"/>
        <c:lblAlgn val="ctr"/>
        <c:lblOffset val="100"/>
        <c:noMultiLvlLbl val="0"/>
      </c:catAx>
      <c:valAx>
        <c:axId val="834562111"/>
        <c:scaling>
          <c:orientation val="minMax"/>
        </c:scaling>
        <c:delete val="1"/>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crossAx val="834556287"/>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[AMINAT AMINU A.xlsx]Pivot!PivotTable15</c:name>
    <c:fmtId val="34"/>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bar"/>
        <c:grouping val="clustered"/>
        <c:varyColors val="0"/>
        <c:ser>
          <c:idx val="0"/>
          <c:order val="0"/>
          <c:tx>
            <c:strRef>
              <c:f>Pivot!$B$360:$B$361</c:f>
              <c:strCache>
                <c:ptCount val="1"/>
                <c:pt idx="0">
                  <c:v>High-Cost</c:v>
                </c:pt>
              </c:strCache>
            </c:strRef>
          </c:tx>
          <c:spPr>
            <a:solidFill>
              <a:schemeClr val="accent1"/>
            </a:solidFill>
            <a:ln>
              <a:noFill/>
            </a:ln>
            <a:effectLst/>
          </c:spPr>
          <c:invertIfNegative val="0"/>
          <c:cat>
            <c:strRef>
              <c:f>Pivot!$A$362:$A$366</c:f>
              <c:strCache>
                <c:ptCount val="4"/>
                <c:pt idx="0">
                  <c:v>East</c:v>
                </c:pt>
                <c:pt idx="1">
                  <c:v>North</c:v>
                </c:pt>
                <c:pt idx="2">
                  <c:v>South</c:v>
                </c:pt>
                <c:pt idx="3">
                  <c:v>West</c:v>
                </c:pt>
              </c:strCache>
            </c:strRef>
          </c:cat>
          <c:val>
            <c:numRef>
              <c:f>Pivot!$B$362:$B$366</c:f>
              <c:numCache>
                <c:formatCode>0.00%</c:formatCode>
                <c:ptCount val="4"/>
                <c:pt idx="0">
                  <c:v>0.73818335755803099</c:v>
                </c:pt>
                <c:pt idx="1">
                  <c:v>0.67395631496340602</c:v>
                </c:pt>
                <c:pt idx="2">
                  <c:v>0.73734882014464576</c:v>
                </c:pt>
                <c:pt idx="3">
                  <c:v>0.6855335528719001</c:v>
                </c:pt>
              </c:numCache>
            </c:numRef>
          </c:val>
          <c:extLst>
            <c:ext xmlns:c16="http://schemas.microsoft.com/office/drawing/2014/chart" uri="{C3380CC4-5D6E-409C-BE32-E72D297353CC}">
              <c16:uniqueId val="{00000000-91C4-4B1F-8DE2-D152235ED340}"/>
            </c:ext>
          </c:extLst>
        </c:ser>
        <c:ser>
          <c:idx val="1"/>
          <c:order val="1"/>
          <c:tx>
            <c:strRef>
              <c:f>Pivot!$C$360:$C$361</c:f>
              <c:strCache>
                <c:ptCount val="1"/>
                <c:pt idx="0">
                  <c:v>Low-Cost</c:v>
                </c:pt>
              </c:strCache>
            </c:strRef>
          </c:tx>
          <c:spPr>
            <a:solidFill>
              <a:schemeClr val="accent2"/>
            </a:solidFill>
            <a:ln>
              <a:noFill/>
            </a:ln>
            <a:effectLst/>
          </c:spPr>
          <c:invertIfNegative val="0"/>
          <c:cat>
            <c:strRef>
              <c:f>Pivot!$A$362:$A$366</c:f>
              <c:strCache>
                <c:ptCount val="4"/>
                <c:pt idx="0">
                  <c:v>East</c:v>
                </c:pt>
                <c:pt idx="1">
                  <c:v>North</c:v>
                </c:pt>
                <c:pt idx="2">
                  <c:v>South</c:v>
                </c:pt>
                <c:pt idx="3">
                  <c:v>West</c:v>
                </c:pt>
              </c:strCache>
            </c:strRef>
          </c:cat>
          <c:val>
            <c:numRef>
              <c:f>Pivot!$C$362:$C$366</c:f>
              <c:numCache>
                <c:formatCode>0.00%</c:formatCode>
                <c:ptCount val="4"/>
                <c:pt idx="0">
                  <c:v>0.26181664244196895</c:v>
                </c:pt>
                <c:pt idx="1">
                  <c:v>0.32604368503659403</c:v>
                </c:pt>
                <c:pt idx="2">
                  <c:v>0.26265117985535413</c:v>
                </c:pt>
                <c:pt idx="3">
                  <c:v>0.31446644712809985</c:v>
                </c:pt>
              </c:numCache>
            </c:numRef>
          </c:val>
          <c:extLst>
            <c:ext xmlns:c16="http://schemas.microsoft.com/office/drawing/2014/chart" uri="{C3380CC4-5D6E-409C-BE32-E72D297353CC}">
              <c16:uniqueId val="{00000001-D617-491D-A019-60E081173B9C}"/>
            </c:ext>
          </c:extLst>
        </c:ser>
        <c:dLbls>
          <c:showLegendKey val="0"/>
          <c:showVal val="0"/>
          <c:showCatName val="0"/>
          <c:showSerName val="0"/>
          <c:showPercent val="0"/>
          <c:showBubbleSize val="0"/>
        </c:dLbls>
        <c:gapWidth val="182"/>
        <c:axId val="1662805967"/>
        <c:axId val="1662814703"/>
      </c:barChart>
      <c:catAx>
        <c:axId val="16628059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2814703"/>
        <c:crosses val="autoZero"/>
        <c:auto val="1"/>
        <c:lblAlgn val="ctr"/>
        <c:lblOffset val="100"/>
        <c:noMultiLvlLbl val="0"/>
      </c:catAx>
      <c:valAx>
        <c:axId val="1662814703"/>
        <c:scaling>
          <c:orientation val="minMax"/>
        </c:scaling>
        <c:delete val="1"/>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1662805967"/>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 by</a:t>
            </a:r>
            <a:r>
              <a:rPr lang="en-US" baseline="0"/>
              <a:t> Unit Cost by Sales Amount</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Pivot!$A$387</c:f>
              <c:strCache>
                <c:ptCount val="1"/>
                <c:pt idx="0">
                  <c:v>Clothing</c:v>
                </c:pt>
              </c:strCache>
            </c:strRef>
          </c:tx>
          <c:spPr>
            <a:solidFill>
              <a:schemeClr val="accent1"/>
            </a:solidFill>
            <a:ln>
              <a:noFill/>
            </a:ln>
            <a:effectLst/>
          </c:spPr>
          <c:invertIfNegative val="0"/>
          <c:cat>
            <c:strRef>
              <c:f>Pivot!$B$386:$C$386</c:f>
              <c:strCache>
                <c:ptCount val="2"/>
                <c:pt idx="0">
                  <c:v>Sum of Unit_Cost</c:v>
                </c:pt>
                <c:pt idx="1">
                  <c:v>Sum of Sales Amount</c:v>
                </c:pt>
              </c:strCache>
            </c:strRef>
          </c:cat>
          <c:val>
            <c:numRef>
              <c:f>Pivot!$B$387:$C$387</c:f>
              <c:numCache>
                <c:formatCode>_(* #,##0_);_(* \(#,##0\);_(* "-"??_);_(@_)</c:formatCode>
                <c:ptCount val="2"/>
                <c:pt idx="0">
                  <c:v>662117.39999999991</c:v>
                </c:pt>
                <c:pt idx="1">
                  <c:v>16360844.624700002</c:v>
                </c:pt>
              </c:numCache>
            </c:numRef>
          </c:val>
          <c:extLst>
            <c:ext xmlns:c16="http://schemas.microsoft.com/office/drawing/2014/chart" uri="{C3380CC4-5D6E-409C-BE32-E72D297353CC}">
              <c16:uniqueId val="{00000000-8057-4B3B-A7E6-4B4A2E09A8F1}"/>
            </c:ext>
          </c:extLst>
        </c:ser>
        <c:ser>
          <c:idx val="1"/>
          <c:order val="1"/>
          <c:tx>
            <c:strRef>
              <c:f>Pivot!$A$388</c:f>
              <c:strCache>
                <c:ptCount val="1"/>
                <c:pt idx="0">
                  <c:v>Electronics</c:v>
                </c:pt>
              </c:strCache>
            </c:strRef>
          </c:tx>
          <c:spPr>
            <a:solidFill>
              <a:schemeClr val="accent2"/>
            </a:solidFill>
            <a:ln>
              <a:noFill/>
            </a:ln>
            <a:effectLst/>
          </c:spPr>
          <c:invertIfNegative val="0"/>
          <c:cat>
            <c:strRef>
              <c:f>Pivot!$B$386:$C$386</c:f>
              <c:strCache>
                <c:ptCount val="2"/>
                <c:pt idx="0">
                  <c:v>Sum of Unit_Cost</c:v>
                </c:pt>
                <c:pt idx="1">
                  <c:v>Sum of Sales Amount</c:v>
                </c:pt>
              </c:strCache>
            </c:strRef>
          </c:cat>
          <c:val>
            <c:numRef>
              <c:f>Pivot!$B$388:$C$388</c:f>
              <c:numCache>
                <c:formatCode>_(* #,##0_);_(* \(#,##0\);_(* "-"??_);_(@_)</c:formatCode>
                <c:ptCount val="2"/>
                <c:pt idx="0">
                  <c:v>642828.18999999925</c:v>
                </c:pt>
                <c:pt idx="1">
                  <c:v>15363777.142799992</c:v>
                </c:pt>
              </c:numCache>
            </c:numRef>
          </c:val>
          <c:extLst>
            <c:ext xmlns:c16="http://schemas.microsoft.com/office/drawing/2014/chart" uri="{C3380CC4-5D6E-409C-BE32-E72D297353CC}">
              <c16:uniqueId val="{00000001-8057-4B3B-A7E6-4B4A2E09A8F1}"/>
            </c:ext>
          </c:extLst>
        </c:ser>
        <c:ser>
          <c:idx val="2"/>
          <c:order val="2"/>
          <c:tx>
            <c:strRef>
              <c:f>Pivot!$A$389</c:f>
              <c:strCache>
                <c:ptCount val="1"/>
                <c:pt idx="0">
                  <c:v>Food</c:v>
                </c:pt>
              </c:strCache>
            </c:strRef>
          </c:tx>
          <c:spPr>
            <a:solidFill>
              <a:schemeClr val="accent3"/>
            </a:solidFill>
            <a:ln>
              <a:noFill/>
            </a:ln>
            <a:effectLst/>
          </c:spPr>
          <c:invertIfNegative val="0"/>
          <c:cat>
            <c:strRef>
              <c:f>Pivot!$B$386:$C$386</c:f>
              <c:strCache>
                <c:ptCount val="2"/>
                <c:pt idx="0">
                  <c:v>Sum of Unit_Cost</c:v>
                </c:pt>
                <c:pt idx="1">
                  <c:v>Sum of Sales Amount</c:v>
                </c:pt>
              </c:strCache>
            </c:strRef>
          </c:cat>
          <c:val>
            <c:numRef>
              <c:f>Pivot!$B$389:$C$389</c:f>
              <c:numCache>
                <c:formatCode>_(* #,##0_);_(* \(#,##0\);_(* "-"??_);_(@_)</c:formatCode>
                <c:ptCount val="2"/>
                <c:pt idx="0">
                  <c:v>626151.1999999996</c:v>
                </c:pt>
                <c:pt idx="1">
                  <c:v>15153225.285399996</c:v>
                </c:pt>
              </c:numCache>
            </c:numRef>
          </c:val>
          <c:extLst>
            <c:ext xmlns:c16="http://schemas.microsoft.com/office/drawing/2014/chart" uri="{C3380CC4-5D6E-409C-BE32-E72D297353CC}">
              <c16:uniqueId val="{00000002-8057-4B3B-A7E6-4B4A2E09A8F1}"/>
            </c:ext>
          </c:extLst>
        </c:ser>
        <c:ser>
          <c:idx val="3"/>
          <c:order val="3"/>
          <c:tx>
            <c:strRef>
              <c:f>Pivot!$A$390</c:f>
              <c:strCache>
                <c:ptCount val="1"/>
                <c:pt idx="0">
                  <c:v>Furniture</c:v>
                </c:pt>
              </c:strCache>
            </c:strRef>
          </c:tx>
          <c:spPr>
            <a:solidFill>
              <a:schemeClr val="accent4"/>
            </a:solidFill>
            <a:ln>
              <a:noFill/>
            </a:ln>
            <a:effectLst/>
          </c:spPr>
          <c:invertIfNegative val="0"/>
          <c:cat>
            <c:strRef>
              <c:f>Pivot!$B$386:$C$386</c:f>
              <c:strCache>
                <c:ptCount val="2"/>
                <c:pt idx="0">
                  <c:v>Sum of Unit_Cost</c:v>
                </c:pt>
                <c:pt idx="1">
                  <c:v>Sum of Sales Amount</c:v>
                </c:pt>
              </c:strCache>
            </c:strRef>
          </c:cat>
          <c:val>
            <c:numRef>
              <c:f>Pivot!$B$390:$C$390</c:f>
              <c:numCache>
                <c:formatCode>_(* #,##0_);_(* \(#,##0\);_(* "-"??_);_(@_)</c:formatCode>
                <c:ptCount val="2"/>
                <c:pt idx="0">
                  <c:v>544207.75999999978</c:v>
                </c:pt>
                <c:pt idx="1">
                  <c:v>12808326.230800003</c:v>
                </c:pt>
              </c:numCache>
            </c:numRef>
          </c:val>
          <c:extLst>
            <c:ext xmlns:c16="http://schemas.microsoft.com/office/drawing/2014/chart" uri="{C3380CC4-5D6E-409C-BE32-E72D297353CC}">
              <c16:uniqueId val="{00000003-8057-4B3B-A7E6-4B4A2E09A8F1}"/>
            </c:ext>
          </c:extLst>
        </c:ser>
        <c:dLbls>
          <c:dLblPos val="outEnd"/>
          <c:showLegendKey val="0"/>
          <c:showVal val="0"/>
          <c:showCatName val="0"/>
          <c:showSerName val="0"/>
          <c:showPercent val="0"/>
          <c:showBubbleSize val="0"/>
        </c:dLbls>
        <c:gapWidth val="219"/>
        <c:overlap val="-27"/>
        <c:axId val="1767315407"/>
        <c:axId val="1767321023"/>
      </c:barChart>
      <c:catAx>
        <c:axId val="176731540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7321023"/>
        <c:crosses val="autoZero"/>
        <c:auto val="1"/>
        <c:lblAlgn val="ctr"/>
        <c:lblOffset val="100"/>
        <c:noMultiLvlLbl val="0"/>
      </c:catAx>
      <c:valAx>
        <c:axId val="1767321023"/>
        <c:scaling>
          <c:orientation val="minMax"/>
        </c:scaling>
        <c:delete val="1"/>
        <c:axPos val="l"/>
        <c:majorGridlines>
          <c:spPr>
            <a:ln w="9525" cap="flat" cmpd="sng" algn="ctr">
              <a:solidFill>
                <a:schemeClr val="tx1">
                  <a:lumMod val="15000"/>
                  <a:lumOff val="85000"/>
                </a:schemeClr>
              </a:solidFill>
              <a:round/>
            </a:ln>
            <a:effectLst/>
          </c:spPr>
        </c:majorGridlines>
        <c:numFmt formatCode="_(* #,##0_);_(* \(#,##0\);_(* &quot;-&quot;??_);_(@_)" sourceLinked="1"/>
        <c:majorTickMark val="out"/>
        <c:minorTickMark val="none"/>
        <c:tickLblPos val="nextTo"/>
        <c:crossAx val="1767315407"/>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Pivot!$B$386</c:f>
              <c:strCache>
                <c:ptCount val="1"/>
                <c:pt idx="0">
                  <c:v>Sum of Unit_Cost</c:v>
                </c:pt>
              </c:strCache>
            </c:strRef>
          </c:tx>
          <c:spPr>
            <a:ln w="19050" cap="rnd">
              <a:no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xVal>
            <c:strRef>
              <c:f>Pivot!$A$387:$A$390</c:f>
              <c:strCache>
                <c:ptCount val="4"/>
                <c:pt idx="0">
                  <c:v>Clothing</c:v>
                </c:pt>
                <c:pt idx="1">
                  <c:v>Electronics</c:v>
                </c:pt>
                <c:pt idx="2">
                  <c:v>Food</c:v>
                </c:pt>
                <c:pt idx="3">
                  <c:v>Furniture</c:v>
                </c:pt>
              </c:strCache>
            </c:strRef>
          </c:xVal>
          <c:yVal>
            <c:numRef>
              <c:f>Pivot!$B$387:$B$390</c:f>
              <c:numCache>
                <c:formatCode>_(* #,##0_);_(* \(#,##0\);_(* "-"??_);_(@_)</c:formatCode>
                <c:ptCount val="4"/>
                <c:pt idx="0">
                  <c:v>662117.39999999991</c:v>
                </c:pt>
                <c:pt idx="1">
                  <c:v>642828.18999999925</c:v>
                </c:pt>
                <c:pt idx="2">
                  <c:v>626151.1999999996</c:v>
                </c:pt>
                <c:pt idx="3">
                  <c:v>544207.75999999978</c:v>
                </c:pt>
              </c:numCache>
            </c:numRef>
          </c:yVal>
          <c:smooth val="0"/>
          <c:extLst>
            <c:ext xmlns:c16="http://schemas.microsoft.com/office/drawing/2014/chart" uri="{C3380CC4-5D6E-409C-BE32-E72D297353CC}">
              <c16:uniqueId val="{00000000-471F-4F55-8D60-CC58CB403E44}"/>
            </c:ext>
          </c:extLst>
        </c:ser>
        <c:ser>
          <c:idx val="1"/>
          <c:order val="1"/>
          <c:tx>
            <c:strRef>
              <c:f>Pivot!$C$386</c:f>
              <c:strCache>
                <c:ptCount val="1"/>
                <c:pt idx="0">
                  <c:v>Sum of Sales Amount</c:v>
                </c:pt>
              </c:strCache>
            </c:strRef>
          </c:tx>
          <c:spPr>
            <a:ln w="19050" cap="rnd">
              <a:no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xVal>
            <c:strRef>
              <c:f>Pivot!$A$387:$A$390</c:f>
              <c:strCache>
                <c:ptCount val="4"/>
                <c:pt idx="0">
                  <c:v>Clothing</c:v>
                </c:pt>
                <c:pt idx="1">
                  <c:v>Electronics</c:v>
                </c:pt>
                <c:pt idx="2">
                  <c:v>Food</c:v>
                </c:pt>
                <c:pt idx="3">
                  <c:v>Furniture</c:v>
                </c:pt>
              </c:strCache>
            </c:strRef>
          </c:xVal>
          <c:yVal>
            <c:numRef>
              <c:f>Pivot!$C$387:$C$390</c:f>
              <c:numCache>
                <c:formatCode>_(* #,##0_);_(* \(#,##0\);_(* "-"??_);_(@_)</c:formatCode>
                <c:ptCount val="4"/>
                <c:pt idx="0">
                  <c:v>16360844.624700002</c:v>
                </c:pt>
                <c:pt idx="1">
                  <c:v>15363777.142799992</c:v>
                </c:pt>
                <c:pt idx="2">
                  <c:v>15153225.285399996</c:v>
                </c:pt>
                <c:pt idx="3">
                  <c:v>12808326.230800003</c:v>
                </c:pt>
              </c:numCache>
            </c:numRef>
          </c:yVal>
          <c:smooth val="0"/>
          <c:extLst>
            <c:ext xmlns:c16="http://schemas.microsoft.com/office/drawing/2014/chart" uri="{C3380CC4-5D6E-409C-BE32-E72D297353CC}">
              <c16:uniqueId val="{00000001-471F-4F55-8D60-CC58CB403E44}"/>
            </c:ext>
          </c:extLst>
        </c:ser>
        <c:dLbls>
          <c:dLblPos val="t"/>
          <c:showLegendKey val="0"/>
          <c:showVal val="1"/>
          <c:showCatName val="0"/>
          <c:showSerName val="0"/>
          <c:showPercent val="0"/>
          <c:showBubbleSize val="0"/>
        </c:dLbls>
        <c:axId val="1986091775"/>
        <c:axId val="1986080975"/>
      </c:scatterChart>
      <c:valAx>
        <c:axId val="1986091775"/>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6080975"/>
        <c:crosses val="autoZero"/>
        <c:crossBetween val="midCat"/>
      </c:valAx>
      <c:valAx>
        <c:axId val="1986080975"/>
        <c:scaling>
          <c:orientation val="minMax"/>
        </c:scaling>
        <c:delete val="1"/>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crossAx val="1986091775"/>
        <c:crosses val="autoZero"/>
        <c:crossBetween val="midCat"/>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[AMINAT AMINU A.xlsx]Pivot!PivotTable31</c:name>
    <c:fmtId val="4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Type Sales Distribution</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pivotFmt>
    </c:pivotFmts>
    <c:plotArea>
      <c:layout/>
      <c:pieChart>
        <c:varyColors val="1"/>
        <c:ser>
          <c:idx val="0"/>
          <c:order val="0"/>
          <c:tx>
            <c:strRef>
              <c:f>Pivot!$B$396</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15:layout/>
              </c:ext>
            </c:extLst>
          </c:dLbls>
          <c:cat>
            <c:strRef>
              <c:f>Pivot!$A$397:$A$399</c:f>
              <c:strCache>
                <c:ptCount val="2"/>
                <c:pt idx="0">
                  <c:v>New</c:v>
                </c:pt>
                <c:pt idx="1">
                  <c:v>Returning</c:v>
                </c:pt>
              </c:strCache>
            </c:strRef>
          </c:cat>
          <c:val>
            <c:numRef>
              <c:f>Pivot!$B$397:$B$399</c:f>
              <c:numCache>
                <c:formatCode>_(* #,##0_);_(* \(#,##0\);_(* "-"??_);_(@_)</c:formatCode>
                <c:ptCount val="2"/>
                <c:pt idx="0">
                  <c:v>31164860.843100041</c:v>
                </c:pt>
                <c:pt idx="1">
                  <c:v>28521312.440600011</c:v>
                </c:pt>
              </c:numCache>
            </c:numRef>
          </c:val>
          <c:extLst>
            <c:ext xmlns:c16="http://schemas.microsoft.com/office/drawing/2014/chart" uri="{C3380CC4-5D6E-409C-BE32-E72D297353CC}">
              <c16:uniqueId val="{00000000-392C-49C0-A2ED-DF34284E2FC3}"/>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[AMINAT AMINU A.xlsx]Pivot!PivotTable14</c:name>
    <c:fmtId val="3"/>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         Quarterly sales trend</a:t>
            </a:r>
          </a:p>
        </c:rich>
      </c:tx>
      <c:layout>
        <c:manualLayout>
          <c:xMode val="edge"/>
          <c:yMode val="edge"/>
          <c:x val="0.2008203366471083"/>
          <c:y val="0.13690965009741882"/>
        </c:manualLayout>
      </c:layout>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pivotFmt>
      <c:pivotFmt>
        <c:idx val="6"/>
      </c:pivotFmt>
      <c:pivotFmt>
        <c:idx val="7"/>
      </c:pivotFmt>
      <c:pivotFmt>
        <c:idx val="8"/>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9"/>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0"/>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lineChart>
        <c:grouping val="standard"/>
        <c:varyColors val="0"/>
        <c:ser>
          <c:idx val="0"/>
          <c:order val="0"/>
          <c:tx>
            <c:strRef>
              <c:f>Pivot!$B$44</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accent1">
                          <a:lumMod val="60000"/>
                          <a:lumOff val="40000"/>
                        </a:schemeClr>
                      </a:solidFill>
                    </a:ln>
                    <a:effectLst/>
                  </c:spPr>
                </c15:leaderLines>
              </c:ext>
            </c:extLst>
          </c:dLbls>
          <c:trendline>
            <c:spPr>
              <a:ln w="28575" cap="rnd">
                <a:solidFill>
                  <a:schemeClr val="lt1">
                    <a:alpha val="50000"/>
                  </a:schemeClr>
                </a:solidFill>
                <a:round/>
              </a:ln>
              <a:effectLst/>
            </c:spPr>
            <c:trendlineType val="linear"/>
            <c:dispRSqr val="0"/>
            <c:dispEq val="0"/>
          </c:trendline>
          <c:cat>
            <c:strRef>
              <c:f>Pivot!$A$45:$A$49</c:f>
              <c:strCache>
                <c:ptCount val="4"/>
                <c:pt idx="0">
                  <c:v>Qtr1</c:v>
                </c:pt>
                <c:pt idx="1">
                  <c:v>Qtr2</c:v>
                </c:pt>
                <c:pt idx="2">
                  <c:v>Qtr3</c:v>
                </c:pt>
                <c:pt idx="3">
                  <c:v>Qtr4</c:v>
                </c:pt>
              </c:strCache>
            </c:strRef>
          </c:cat>
          <c:val>
            <c:numRef>
              <c:f>Pivot!$B$45:$B$49</c:f>
              <c:numCache>
                <c:formatCode>_(* #,##0_);_(* \(#,##0\);_(* "-"??_);_(@_)</c:formatCode>
                <c:ptCount val="4"/>
                <c:pt idx="0">
                  <c:v>16195870.419900002</c:v>
                </c:pt>
                <c:pt idx="1">
                  <c:v>14692573.422599996</c:v>
                </c:pt>
                <c:pt idx="2">
                  <c:v>13563763.143299997</c:v>
                </c:pt>
                <c:pt idx="3">
                  <c:v>15233966.297900001</c:v>
                </c:pt>
              </c:numCache>
            </c:numRef>
          </c:val>
          <c:smooth val="0"/>
          <c:extLst>
            <c:ext xmlns:c16="http://schemas.microsoft.com/office/drawing/2014/chart" uri="{C3380CC4-5D6E-409C-BE32-E72D297353CC}">
              <c16:uniqueId val="{00000000-6441-4BE7-B40A-CDA493D5C833}"/>
            </c:ext>
          </c:extLst>
        </c:ser>
        <c:dLbls>
          <c:dLblPos val="t"/>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99525456"/>
        <c:axId val="99529200"/>
      </c:lineChart>
      <c:catAx>
        <c:axId val="99525456"/>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99529200"/>
        <c:crosses val="autoZero"/>
        <c:auto val="1"/>
        <c:lblAlgn val="ctr"/>
        <c:lblOffset val="100"/>
        <c:noMultiLvlLbl val="0"/>
      </c:catAx>
      <c:valAx>
        <c:axId val="99529200"/>
        <c:scaling>
          <c:orientation val="minMax"/>
        </c:scaling>
        <c:delete val="1"/>
        <c:axPos val="l"/>
        <c:numFmt formatCode="_(* #,##0_);_(* \(#,##0\);_(* &quot;-&quot;??_);_(@_)" sourceLinked="1"/>
        <c:majorTickMark val="none"/>
        <c:minorTickMark val="none"/>
        <c:tickLblPos val="nextTo"/>
        <c:crossAx val="99525456"/>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[AMINAT AMINU A.xlsx]Pivot!PivotTable19</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t>PRODUCT BY QUANTITY SOLD</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Pivot!$B$164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Pivot!$A$165:$A$169</c:f>
              <c:strCache>
                <c:ptCount val="4"/>
                <c:pt idx="0">
                  <c:v>Clothing</c:v>
                </c:pt>
                <c:pt idx="1">
                  <c:v>Furniture</c:v>
                </c:pt>
                <c:pt idx="2">
                  <c:v>Electronics</c:v>
                </c:pt>
                <c:pt idx="3">
                  <c:v>Food</c:v>
                </c:pt>
              </c:strCache>
            </c:strRef>
          </c:cat>
          <c:val>
            <c:numRef>
              <c:f>Pivot!$B$165:$B$169</c:f>
              <c:numCache>
                <c:formatCode>_(* #,##0_);_(* \(#,##0\);_(* "-"??_);_(@_)</c:formatCode>
                <c:ptCount val="4"/>
                <c:pt idx="0">
                  <c:v>6922</c:v>
                </c:pt>
                <c:pt idx="1">
                  <c:v>6729</c:v>
                </c:pt>
                <c:pt idx="2">
                  <c:v>6096</c:v>
                </c:pt>
                <c:pt idx="3">
                  <c:v>5608</c:v>
                </c:pt>
              </c:numCache>
            </c:numRef>
          </c:val>
          <c:extLst>
            <c:ext xmlns:c16="http://schemas.microsoft.com/office/drawing/2014/chart" uri="{C3380CC4-5D6E-409C-BE32-E72D297353CC}">
              <c16:uniqueId val="{00000000-7761-404E-8CF5-C43B8E951864}"/>
            </c:ext>
          </c:extLst>
        </c:ser>
        <c:dLbls>
          <c:dLblPos val="outEnd"/>
          <c:showLegendKey val="0"/>
          <c:showVal val="1"/>
          <c:showCatName val="0"/>
          <c:showSerName val="0"/>
          <c:showPercent val="0"/>
          <c:showBubbleSize val="0"/>
        </c:dLbls>
        <c:gapWidth val="182"/>
        <c:axId val="1477737120"/>
        <c:axId val="1477734208"/>
      </c:barChart>
      <c:catAx>
        <c:axId val="147773712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7734208"/>
        <c:crosses val="autoZero"/>
        <c:auto val="1"/>
        <c:lblAlgn val="ctr"/>
        <c:lblOffset val="100"/>
        <c:noMultiLvlLbl val="0"/>
      </c:catAx>
      <c:valAx>
        <c:axId val="1477734208"/>
        <c:scaling>
          <c:orientation val="minMax"/>
        </c:scaling>
        <c:delete val="1"/>
        <c:axPos val="b"/>
        <c:majorGridlines>
          <c:spPr>
            <a:ln w="9525" cap="flat" cmpd="sng" algn="ctr">
              <a:solidFill>
                <a:schemeClr val="tx1">
                  <a:lumMod val="15000"/>
                  <a:lumOff val="85000"/>
                </a:schemeClr>
              </a:solidFill>
              <a:round/>
            </a:ln>
            <a:effectLst/>
          </c:spPr>
        </c:majorGridlines>
        <c:numFmt formatCode="_(* #,##0_);_(* \(#,##0\);_(* &quot;-&quot;??_);_(@_)" sourceLinked="1"/>
        <c:majorTickMark val="out"/>
        <c:minorTickMark val="none"/>
        <c:tickLblPos val="nextTo"/>
        <c:crossAx val="147773712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[AMINAT AMINU A.xlsx]Pivot!PivotTable9</c:name>
    <c:fmtId val="7"/>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Sales Rep by</a:t>
            </a:r>
            <a:r>
              <a:rPr lang="en-US" baseline="0"/>
              <a:t> Revenue</a:t>
            </a:r>
            <a:endParaRPr lang="en-US"/>
          </a:p>
        </c:rich>
      </c:tx>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Pivot!$B$15</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2">
                          <a:lumMod val="35000"/>
                          <a:lumOff val="65000"/>
                        </a:schemeClr>
                      </a:solidFill>
                    </a:ln>
                    <a:effectLst/>
                  </c:spPr>
                </c15:leaderLines>
              </c:ext>
            </c:extLst>
          </c:dLbls>
          <c:cat>
            <c:strRef>
              <c:f>Pivot!$A$16:$A$21</c:f>
              <c:strCache>
                <c:ptCount val="5"/>
                <c:pt idx="0">
                  <c:v>David</c:v>
                </c:pt>
                <c:pt idx="1">
                  <c:v>Eve</c:v>
                </c:pt>
                <c:pt idx="2">
                  <c:v>Bob</c:v>
                </c:pt>
                <c:pt idx="3">
                  <c:v>Alice</c:v>
                </c:pt>
                <c:pt idx="4">
                  <c:v>Charlie</c:v>
                </c:pt>
              </c:strCache>
            </c:strRef>
          </c:cat>
          <c:val>
            <c:numRef>
              <c:f>Pivot!$B$16:$B$21</c:f>
              <c:numCache>
                <c:formatCode>0.00%</c:formatCode>
                <c:ptCount val="5"/>
                <c:pt idx="0">
                  <c:v>0.22910514193803105</c:v>
                </c:pt>
                <c:pt idx="1">
                  <c:v>0.21677925132843953</c:v>
                </c:pt>
                <c:pt idx="2">
                  <c:v>0.19717638208703811</c:v>
                </c:pt>
                <c:pt idx="3">
                  <c:v>0.1922831525611346</c:v>
                </c:pt>
                <c:pt idx="4">
                  <c:v>0.16465607208535668</c:v>
                </c:pt>
              </c:numCache>
            </c:numRef>
          </c:val>
          <c:extLst>
            <c:ext xmlns:c16="http://schemas.microsoft.com/office/drawing/2014/chart" uri="{C3380CC4-5D6E-409C-BE32-E72D297353CC}">
              <c16:uniqueId val="{00000000-16EE-489F-80F3-4BF0E9DB20D9}"/>
            </c:ext>
          </c:extLst>
        </c:ser>
        <c:dLbls>
          <c:dLblPos val="outEnd"/>
          <c:showLegendKey val="0"/>
          <c:showVal val="1"/>
          <c:showCatName val="0"/>
          <c:showSerName val="0"/>
          <c:showPercent val="0"/>
          <c:showBubbleSize val="0"/>
        </c:dLbls>
        <c:gapWidth val="150"/>
        <c:axId val="1670417615"/>
        <c:axId val="1670420111"/>
      </c:barChart>
      <c:catAx>
        <c:axId val="1670417615"/>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670420111"/>
        <c:crosses val="autoZero"/>
        <c:auto val="1"/>
        <c:lblAlgn val="ctr"/>
        <c:lblOffset val="100"/>
        <c:noMultiLvlLbl val="0"/>
      </c:catAx>
      <c:valAx>
        <c:axId val="1670420111"/>
        <c:scaling>
          <c:orientation val="minMax"/>
        </c:scaling>
        <c:delete val="1"/>
        <c:axPos val="b"/>
        <c:majorGridlines>
          <c:spPr>
            <a:ln w="9525" cap="flat" cmpd="sng" algn="ctr">
              <a:solidFill>
                <a:schemeClr val="tx2">
                  <a:lumMod val="15000"/>
                  <a:lumOff val="85000"/>
                </a:schemeClr>
              </a:solidFill>
              <a:round/>
            </a:ln>
            <a:effectLst/>
          </c:spPr>
        </c:majorGridlines>
        <c:numFmt formatCode="0.00%" sourceLinked="1"/>
        <c:majorTickMark val="none"/>
        <c:minorTickMark val="none"/>
        <c:tickLblPos val="nextTo"/>
        <c:crossAx val="1670417615"/>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[AMINAT AMINU A.xlsx]Pivot!PivotTable23</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t>PRODUCT BY SALES AMOUNT</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s>
    <c:plotArea>
      <c:layout/>
      <c:pieChart>
        <c:varyColors val="1"/>
        <c:ser>
          <c:idx val="0"/>
          <c:order val="0"/>
          <c:tx>
            <c:strRef>
              <c:f>Pivot!$B$184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FF5-4AE0-90B9-53369FF2321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FF5-4AE0-90B9-53369FF2321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FF5-4AE0-90B9-53369FF2321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FF5-4AE0-90B9-53369FF2321C}"/>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15:layout/>
              </c:ext>
            </c:extLst>
          </c:dLbls>
          <c:cat>
            <c:strRef>
              <c:f>Pivot!$A$185:$A$189</c:f>
              <c:strCache>
                <c:ptCount val="4"/>
                <c:pt idx="0">
                  <c:v>Clothing</c:v>
                </c:pt>
                <c:pt idx="1">
                  <c:v>Furniture</c:v>
                </c:pt>
                <c:pt idx="2">
                  <c:v>Electronics</c:v>
                </c:pt>
                <c:pt idx="3">
                  <c:v>Food</c:v>
                </c:pt>
              </c:strCache>
            </c:strRef>
          </c:cat>
          <c:val>
            <c:numRef>
              <c:f>Pivot!$B$185:$B$189</c:f>
              <c:numCache>
                <c:formatCode>0.00%</c:formatCode>
                <c:ptCount val="4"/>
                <c:pt idx="0">
                  <c:v>0.27411448455463422</c:v>
                </c:pt>
                <c:pt idx="1">
                  <c:v>0.25740931772879744</c:v>
                </c:pt>
                <c:pt idx="2">
                  <c:v>0.25388166893149222</c:v>
                </c:pt>
                <c:pt idx="3">
                  <c:v>0.21459452878507618</c:v>
                </c:pt>
              </c:numCache>
            </c:numRef>
          </c:val>
          <c:extLst>
            <c:ext xmlns:c16="http://schemas.microsoft.com/office/drawing/2014/chart" uri="{C3380CC4-5D6E-409C-BE32-E72D297353CC}">
              <c16:uniqueId val="{00000008-5FF5-4AE0-90B9-53369FF2321C}"/>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[AMINAT AMINU A.xlsx]Pivot!PivotTable12</c:name>
    <c:fmtId val="2"/>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Product</a:t>
            </a:r>
            <a:r>
              <a:rPr lang="en-US" baseline="0"/>
              <a:t> by Sales Amount</a:t>
            </a:r>
            <a:endParaRPr lang="en-US"/>
          </a:p>
        </c:rich>
      </c:tx>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pivotFmt>
      <c:pivotFmt>
        <c:idx val="1"/>
      </c:pivotFmt>
      <c:pivotFmt>
        <c:idx val="2"/>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Pivot!$B$34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2">
                          <a:lumMod val="35000"/>
                          <a:lumOff val="65000"/>
                        </a:schemeClr>
                      </a:solidFill>
                    </a:ln>
                    <a:effectLst/>
                  </c:spPr>
                </c15:leaderLines>
              </c:ext>
            </c:extLst>
          </c:dLbls>
          <c:cat>
            <c:strRef>
              <c:f>Pivot!$A$35:$A$39</c:f>
              <c:strCache>
                <c:ptCount val="4"/>
                <c:pt idx="0">
                  <c:v>Clothing</c:v>
                </c:pt>
                <c:pt idx="1">
                  <c:v>Furniture</c:v>
                </c:pt>
                <c:pt idx="2">
                  <c:v>Electronics</c:v>
                </c:pt>
                <c:pt idx="3">
                  <c:v>Food</c:v>
                </c:pt>
              </c:strCache>
            </c:strRef>
          </c:cat>
          <c:val>
            <c:numRef>
              <c:f>Pivot!$B$35:$B$39</c:f>
              <c:numCache>
                <c:formatCode>_(* #,##0_);_(* \(#,##0\);_(* "-"??_);_(@_)</c:formatCode>
                <c:ptCount val="4"/>
                <c:pt idx="0">
                  <c:v>16360844.624700002</c:v>
                </c:pt>
                <c:pt idx="1">
                  <c:v>15363777.142799992</c:v>
                </c:pt>
                <c:pt idx="2">
                  <c:v>15153225.285399996</c:v>
                </c:pt>
                <c:pt idx="3">
                  <c:v>12808326.230800003</c:v>
                </c:pt>
              </c:numCache>
            </c:numRef>
          </c:val>
          <c:extLst>
            <c:ext xmlns:c16="http://schemas.microsoft.com/office/drawing/2014/chart" uri="{C3380CC4-5D6E-409C-BE32-E72D297353CC}">
              <c16:uniqueId val="{00000000-22B7-4CD7-99FB-8F40EC98C4D5}"/>
            </c:ext>
          </c:extLst>
        </c:ser>
        <c:dLbls>
          <c:dLblPos val="outEnd"/>
          <c:showLegendKey val="0"/>
          <c:showVal val="1"/>
          <c:showCatName val="0"/>
          <c:showSerName val="0"/>
          <c:showPercent val="0"/>
          <c:showBubbleSize val="0"/>
        </c:dLbls>
        <c:gapWidth val="100"/>
        <c:overlap val="-24"/>
        <c:axId val="166625952"/>
        <c:axId val="166626368"/>
      </c:barChart>
      <c:catAx>
        <c:axId val="166625952"/>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66626368"/>
        <c:crosses val="autoZero"/>
        <c:auto val="1"/>
        <c:lblAlgn val="ctr"/>
        <c:lblOffset val="100"/>
        <c:noMultiLvlLbl val="0"/>
      </c:catAx>
      <c:valAx>
        <c:axId val="166626368"/>
        <c:scaling>
          <c:orientation val="minMax"/>
        </c:scaling>
        <c:delete val="1"/>
        <c:axPos val="l"/>
        <c:majorGridlines>
          <c:spPr>
            <a:ln w="9525" cap="flat" cmpd="sng" algn="ctr">
              <a:solidFill>
                <a:schemeClr val="tx2">
                  <a:lumMod val="15000"/>
                  <a:lumOff val="85000"/>
                </a:schemeClr>
              </a:solidFill>
              <a:round/>
            </a:ln>
            <a:effectLst/>
          </c:spPr>
        </c:majorGridlines>
        <c:numFmt formatCode="_(* #,##0_);_(* \(#,##0\);_(* &quot;-&quot;??_);_(@_)" sourceLinked="1"/>
        <c:majorTickMark val="out"/>
        <c:minorTickMark val="none"/>
        <c:tickLblPos val="nextTo"/>
        <c:crossAx val="166625952"/>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[AMINAT AMINU A.xlsx]Pivot!PivotTable1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Sales Rep by Quantity</a:t>
            </a:r>
            <a:r>
              <a:rPr lang="en-US" b="1" baseline="0"/>
              <a:t> Sold</a:t>
            </a:r>
            <a:endParaRPr lang="en-US" b="1"/>
          </a:p>
        </c:rich>
      </c:tx>
      <c:layout>
        <c:manualLayout>
          <c:xMode val="edge"/>
          <c:yMode val="edge"/>
          <c:x val="0.28167752442996741"/>
          <c:y val="0.14467599977879589"/>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Pivot!$B$91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Pivot!$A$92:$A$97</c:f>
              <c:strCache>
                <c:ptCount val="5"/>
                <c:pt idx="0">
                  <c:v>Charlie</c:v>
                </c:pt>
                <c:pt idx="1">
                  <c:v>Alice</c:v>
                </c:pt>
                <c:pt idx="2">
                  <c:v>Bob</c:v>
                </c:pt>
                <c:pt idx="3">
                  <c:v>Eve</c:v>
                </c:pt>
                <c:pt idx="4">
                  <c:v>David</c:v>
                </c:pt>
              </c:strCache>
            </c:strRef>
          </c:cat>
          <c:val>
            <c:numRef>
              <c:f>Pivot!$B$92:$B$97</c:f>
              <c:numCache>
                <c:formatCode>0</c:formatCode>
                <c:ptCount val="5"/>
                <c:pt idx="0">
                  <c:v>4217</c:v>
                </c:pt>
                <c:pt idx="1">
                  <c:v>4832</c:v>
                </c:pt>
                <c:pt idx="2">
                  <c:v>4977</c:v>
                </c:pt>
                <c:pt idx="3">
                  <c:v>5287</c:v>
                </c:pt>
                <c:pt idx="4">
                  <c:v>6042</c:v>
                </c:pt>
              </c:numCache>
            </c:numRef>
          </c:val>
          <c:extLst>
            <c:ext xmlns:c16="http://schemas.microsoft.com/office/drawing/2014/chart" uri="{C3380CC4-5D6E-409C-BE32-E72D297353CC}">
              <c16:uniqueId val="{00000000-24E2-4F1D-A426-DE3B6FAE899C}"/>
            </c:ext>
          </c:extLst>
        </c:ser>
        <c:dLbls>
          <c:dLblPos val="outEnd"/>
          <c:showLegendKey val="0"/>
          <c:showVal val="1"/>
          <c:showCatName val="0"/>
          <c:showSerName val="0"/>
          <c:showPercent val="0"/>
          <c:showBubbleSize val="0"/>
        </c:dLbls>
        <c:gapWidth val="219"/>
        <c:overlap val="-27"/>
        <c:axId val="1318703520"/>
        <c:axId val="1318702272"/>
      </c:barChart>
      <c:catAx>
        <c:axId val="13187035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8702272"/>
        <c:crosses val="autoZero"/>
        <c:auto val="1"/>
        <c:lblAlgn val="ctr"/>
        <c:lblOffset val="100"/>
        <c:noMultiLvlLbl val="0"/>
      </c:catAx>
      <c:valAx>
        <c:axId val="1318702272"/>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1318703520"/>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[AMINAT AMINU A.xlsx]Pivot!PivotTable3</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Monthly Sales</a:t>
            </a:r>
            <a:r>
              <a:rPr lang="en-US" b="1" baseline="0"/>
              <a:t> Trend</a:t>
            </a:r>
            <a:endParaRPr lang="en-US" b="1"/>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
        <c:idx val="13"/>
        <c:spPr>
          <a:solidFill>
            <a:schemeClr val="accent1"/>
          </a:solidFill>
          <a:ln>
            <a:noFill/>
          </a:ln>
          <a:effectLst/>
        </c:spPr>
      </c:pivotFmt>
      <c:pivotFmt>
        <c:idx val="14"/>
        <c:spPr>
          <a:solidFill>
            <a:schemeClr val="accent1"/>
          </a:solidFill>
          <a:ln>
            <a:noFill/>
          </a:ln>
          <a:effectLst/>
        </c:spPr>
      </c:pivotFmt>
      <c:pivotFmt>
        <c:idx val="15"/>
        <c:spPr>
          <a:solidFill>
            <a:schemeClr val="accent1"/>
          </a:solidFill>
          <a:ln>
            <a:noFill/>
          </a:ln>
          <a:effectLst/>
        </c:spPr>
        <c:marker>
          <c:symbol val="none"/>
        </c:marker>
      </c:pivotFmt>
      <c:pivotFmt>
        <c:idx val="16"/>
        <c:spPr>
          <a:solidFill>
            <a:schemeClr val="accent1"/>
          </a:solidFill>
          <a:ln>
            <a:noFill/>
          </a:ln>
          <a:effectLst/>
        </c:spPr>
        <c:marker>
          <c:symbol val="none"/>
        </c:marker>
      </c:pivotFmt>
      <c:pivotFmt>
        <c:idx val="17"/>
        <c:spPr>
          <a:solidFill>
            <a:schemeClr val="accent1"/>
          </a:solidFill>
          <a:ln>
            <a:noFill/>
          </a:ln>
          <a:effectLst/>
        </c:spPr>
        <c:marker>
          <c:symbol val="none"/>
        </c:marker>
      </c:pivotFmt>
      <c:pivotFmt>
        <c:idx val="18"/>
        <c:spPr>
          <a:solidFill>
            <a:schemeClr val="accent1"/>
          </a:solidFill>
          <a:ln>
            <a:noFill/>
          </a:ln>
          <a:effectLst/>
        </c:spPr>
        <c:marker>
          <c:symbol val="none"/>
        </c:marker>
      </c:pivotFmt>
      <c:pivotFmt>
        <c:idx val="19"/>
        <c:spPr>
          <a:solidFill>
            <a:schemeClr val="accent1"/>
          </a:solidFill>
          <a:ln>
            <a:noFill/>
          </a:ln>
          <a:effectLst/>
        </c:spPr>
        <c:marker>
          <c:symbol val="none"/>
        </c:marker>
      </c:pivotFmt>
      <c:pivotFmt>
        <c:idx val="20"/>
        <c:spPr>
          <a:solidFill>
            <a:schemeClr val="accent1"/>
          </a:solidFill>
          <a:ln>
            <a:noFill/>
          </a:ln>
          <a:effectLst/>
        </c:spPr>
        <c:marker>
          <c:symbol val="none"/>
        </c:marker>
      </c:pivotFmt>
      <c:pivotFmt>
        <c:idx val="21"/>
        <c:spPr>
          <a:solidFill>
            <a:schemeClr val="accent1"/>
          </a:solidFill>
          <a:ln>
            <a:noFill/>
          </a:ln>
          <a:effectLst/>
        </c:spPr>
        <c:marker>
          <c:symbol val="none"/>
        </c:marker>
      </c:pivotFmt>
      <c:pivotFmt>
        <c:idx val="22"/>
        <c:spPr>
          <a:solidFill>
            <a:schemeClr val="accent1"/>
          </a:solidFill>
          <a:ln>
            <a:noFill/>
          </a:ln>
          <a:effectLst/>
        </c:spPr>
        <c:marker>
          <c:symbol val="none"/>
        </c:marker>
      </c:pivotFmt>
      <c:pivotFmt>
        <c:idx val="23"/>
        <c:spPr>
          <a:solidFill>
            <a:schemeClr val="accent1"/>
          </a:solidFill>
          <a:ln>
            <a:noFill/>
          </a:ln>
          <a:effectLst/>
        </c:spPr>
        <c:marker>
          <c:symbol val="none"/>
        </c:marker>
      </c:pivotFmt>
      <c:pivotFmt>
        <c:idx val="24"/>
        <c:spPr>
          <a:solidFill>
            <a:schemeClr val="accent1"/>
          </a:solidFill>
          <a:ln>
            <a:noFill/>
          </a:ln>
          <a:effectLst/>
        </c:spPr>
        <c:marker>
          <c:symbol val="none"/>
        </c:marker>
      </c:pivotFmt>
      <c:pivotFmt>
        <c:idx val="25"/>
        <c:spPr>
          <a:solidFill>
            <a:schemeClr val="accent1"/>
          </a:solidFill>
          <a:ln>
            <a:noFill/>
          </a:ln>
          <a:effectLst/>
        </c:spPr>
        <c:marker>
          <c:symbol val="none"/>
        </c:marker>
      </c:pivotFmt>
      <c:pivotFmt>
        <c:idx val="26"/>
        <c:spPr>
          <a:solidFill>
            <a:schemeClr val="accent1"/>
          </a:solidFill>
          <a:ln>
            <a:noFill/>
          </a:ln>
          <a:effectLst/>
        </c:spPr>
        <c:marker>
          <c:symbol val="none"/>
        </c:marker>
      </c:pivotFmt>
      <c:pivotFmt>
        <c:idx val="27"/>
        <c:spPr>
          <a:solidFill>
            <a:schemeClr val="accent1"/>
          </a:solidFill>
          <a:ln>
            <a:noFill/>
          </a:ln>
          <a:effectLst/>
        </c:spPr>
        <c:marker>
          <c:symbol val="none"/>
        </c:marker>
      </c:pivotFmt>
      <c:pivotFmt>
        <c:idx val="28"/>
        <c:spPr>
          <a:solidFill>
            <a:schemeClr val="accent1"/>
          </a:solidFill>
          <a:ln>
            <a:noFill/>
          </a:ln>
          <a:effectLst/>
        </c:spPr>
        <c:marker>
          <c:symbol val="none"/>
        </c:marker>
      </c:pivotFmt>
      <c:pivotFmt>
        <c:idx val="29"/>
        <c:spPr>
          <a:solidFill>
            <a:schemeClr val="accent1"/>
          </a:solidFill>
          <a:ln>
            <a:noFill/>
          </a:ln>
          <a:effectLst/>
        </c:spPr>
        <c:marker>
          <c:symbol val="none"/>
        </c:marker>
      </c:pivotFmt>
    </c:pivotFmts>
    <c:plotArea>
      <c:layout/>
      <c:barChart>
        <c:barDir val="col"/>
        <c:grouping val="clustered"/>
        <c:varyColors val="0"/>
        <c:ser>
          <c:idx val="0"/>
          <c:order val="0"/>
          <c:tx>
            <c:strRef>
              <c:f>Pivot!$B$116:$B$117</c:f>
              <c:strCache>
                <c:ptCount val="1"/>
                <c:pt idx="0">
                  <c:v>Alice</c:v>
                </c:pt>
              </c:strCache>
            </c:strRef>
          </c:tx>
          <c:spPr>
            <a:solidFill>
              <a:schemeClr val="accent1"/>
            </a:solidFill>
            <a:ln>
              <a:noFill/>
            </a:ln>
            <a:effectLst/>
          </c:spPr>
          <c:invertIfNegative val="0"/>
          <c:cat>
            <c:strRef>
              <c:f>Pivot!$A$118:$A$130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Pivot!$B$118:$B$130</c:f>
              <c:numCache>
                <c:formatCode>0.00%</c:formatCode>
                <c:ptCount val="12"/>
                <c:pt idx="0">
                  <c:v>1.1336377483673979E-2</c:v>
                </c:pt>
                <c:pt idx="1">
                  <c:v>2.0974335051596973E-2</c:v>
                </c:pt>
                <c:pt idx="2">
                  <c:v>1.6475683534373172E-2</c:v>
                </c:pt>
                <c:pt idx="3">
                  <c:v>1.7791135431863839E-2</c:v>
                </c:pt>
                <c:pt idx="4">
                  <c:v>1.8149059138891546E-2</c:v>
                </c:pt>
                <c:pt idx="5">
                  <c:v>1.4096305630131086E-2</c:v>
                </c:pt>
                <c:pt idx="6">
                  <c:v>1.4553976030110641E-2</c:v>
                </c:pt>
                <c:pt idx="7">
                  <c:v>2.1603806733780699E-2</c:v>
                </c:pt>
                <c:pt idx="8">
                  <c:v>5.3006892919101115E-3</c:v>
                </c:pt>
                <c:pt idx="9">
                  <c:v>1.1651229732798349E-2</c:v>
                </c:pt>
                <c:pt idx="10">
                  <c:v>1.6367811388350396E-2</c:v>
                </c:pt>
                <c:pt idx="11">
                  <c:v>2.398274311365374E-2</c:v>
                </c:pt>
              </c:numCache>
            </c:numRef>
          </c:val>
          <c:extLst>
            <c:ext xmlns:c16="http://schemas.microsoft.com/office/drawing/2014/chart" uri="{C3380CC4-5D6E-409C-BE32-E72D297353CC}">
              <c16:uniqueId val="{00000000-25EF-455A-A581-8400408C5929}"/>
            </c:ext>
          </c:extLst>
        </c:ser>
        <c:ser>
          <c:idx val="1"/>
          <c:order val="1"/>
          <c:tx>
            <c:strRef>
              <c:f>Pivot!$C$116:$C$117</c:f>
              <c:strCache>
                <c:ptCount val="1"/>
                <c:pt idx="0">
                  <c:v>Bob</c:v>
                </c:pt>
              </c:strCache>
            </c:strRef>
          </c:tx>
          <c:spPr>
            <a:solidFill>
              <a:schemeClr val="accent2"/>
            </a:solidFill>
            <a:ln>
              <a:noFill/>
            </a:ln>
            <a:effectLst/>
          </c:spPr>
          <c:invertIfNegative val="0"/>
          <c:cat>
            <c:strRef>
              <c:f>Pivot!$A$118:$A$130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Pivot!$C$118:$C$130</c:f>
              <c:numCache>
                <c:formatCode>0.00%</c:formatCode>
                <c:ptCount val="12"/>
                <c:pt idx="0">
                  <c:v>2.6372936418925668E-2</c:v>
                </c:pt>
                <c:pt idx="1">
                  <c:v>1.3560358668881754E-2</c:v>
                </c:pt>
                <c:pt idx="2">
                  <c:v>1.6803177458419701E-2</c:v>
                </c:pt>
                <c:pt idx="3">
                  <c:v>7.7073661535213564E-3</c:v>
                </c:pt>
                <c:pt idx="4">
                  <c:v>2.4402329160508569E-2</c:v>
                </c:pt>
                <c:pt idx="5">
                  <c:v>1.8662993340271768E-2</c:v>
                </c:pt>
                <c:pt idx="6">
                  <c:v>9.429013664940266E-3</c:v>
                </c:pt>
                <c:pt idx="7">
                  <c:v>2.0199629369257188E-2</c:v>
                </c:pt>
                <c:pt idx="8">
                  <c:v>1.8123303828818424E-2</c:v>
                </c:pt>
                <c:pt idx="9">
                  <c:v>1.3691860674592408E-2</c:v>
                </c:pt>
                <c:pt idx="10">
                  <c:v>1.1003998508635586E-2</c:v>
                </c:pt>
                <c:pt idx="11">
                  <c:v>1.7219414840265464E-2</c:v>
                </c:pt>
              </c:numCache>
            </c:numRef>
          </c:val>
          <c:extLst>
            <c:ext xmlns:c16="http://schemas.microsoft.com/office/drawing/2014/chart" uri="{C3380CC4-5D6E-409C-BE32-E72D297353CC}">
              <c16:uniqueId val="{00000000-4A28-458F-8DA5-B3C3938A4862}"/>
            </c:ext>
          </c:extLst>
        </c:ser>
        <c:ser>
          <c:idx val="2"/>
          <c:order val="2"/>
          <c:tx>
            <c:strRef>
              <c:f>Pivot!$D$116:$D$117</c:f>
              <c:strCache>
                <c:ptCount val="1"/>
                <c:pt idx="0">
                  <c:v>Charlie</c:v>
                </c:pt>
              </c:strCache>
            </c:strRef>
          </c:tx>
          <c:spPr>
            <a:solidFill>
              <a:schemeClr val="accent3"/>
            </a:solidFill>
            <a:ln>
              <a:noFill/>
            </a:ln>
            <a:effectLst/>
          </c:spPr>
          <c:invertIfNegative val="0"/>
          <c:cat>
            <c:strRef>
              <c:f>Pivot!$A$118:$A$130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Pivot!$D$118:$D$130</c:f>
              <c:numCache>
                <c:formatCode>0.00%</c:formatCode>
                <c:ptCount val="12"/>
                <c:pt idx="0">
                  <c:v>2.7514276070174572E-2</c:v>
                </c:pt>
                <c:pt idx="1">
                  <c:v>1.2998241500797827E-2</c:v>
                </c:pt>
                <c:pt idx="2">
                  <c:v>8.3161557173502577E-3</c:v>
                </c:pt>
                <c:pt idx="3">
                  <c:v>1.7748484895567938E-2</c:v>
                </c:pt>
                <c:pt idx="4">
                  <c:v>9.5657827833288515E-3</c:v>
                </c:pt>
                <c:pt idx="5">
                  <c:v>1.7262576679235357E-2</c:v>
                </c:pt>
                <c:pt idx="6">
                  <c:v>1.197158471868621E-2</c:v>
                </c:pt>
                <c:pt idx="7">
                  <c:v>1.5634762295187159E-2</c:v>
                </c:pt>
                <c:pt idx="8">
                  <c:v>1.2921044367081462E-2</c:v>
                </c:pt>
                <c:pt idx="9">
                  <c:v>1.5742981171430043E-2</c:v>
                </c:pt>
                <c:pt idx="10">
                  <c:v>8.2511795564299325E-3</c:v>
                </c:pt>
                <c:pt idx="11">
                  <c:v>6.7290023300871048E-3</c:v>
                </c:pt>
              </c:numCache>
            </c:numRef>
          </c:val>
          <c:extLst>
            <c:ext xmlns:c16="http://schemas.microsoft.com/office/drawing/2014/chart" uri="{C3380CC4-5D6E-409C-BE32-E72D297353CC}">
              <c16:uniqueId val="{00000001-4A28-458F-8DA5-B3C3938A4862}"/>
            </c:ext>
          </c:extLst>
        </c:ser>
        <c:ser>
          <c:idx val="3"/>
          <c:order val="3"/>
          <c:tx>
            <c:strRef>
              <c:f>Pivot!$E$116:$E$117</c:f>
              <c:strCache>
                <c:ptCount val="1"/>
                <c:pt idx="0">
                  <c:v>David</c:v>
                </c:pt>
              </c:strCache>
            </c:strRef>
          </c:tx>
          <c:spPr>
            <a:solidFill>
              <a:schemeClr val="accent4"/>
            </a:solidFill>
            <a:ln>
              <a:noFill/>
            </a:ln>
            <a:effectLst/>
          </c:spPr>
          <c:invertIfNegative val="0"/>
          <c:cat>
            <c:strRef>
              <c:f>Pivot!$A$118:$A$130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Pivot!$E$118:$E$130</c:f>
              <c:numCache>
                <c:formatCode>0.00%</c:formatCode>
                <c:ptCount val="12"/>
                <c:pt idx="0">
                  <c:v>1.3251283008890702E-2</c:v>
                </c:pt>
                <c:pt idx="1">
                  <c:v>1.8670529856272919E-2</c:v>
                </c:pt>
                <c:pt idx="2">
                  <c:v>1.9810836594929042E-2</c:v>
                </c:pt>
                <c:pt idx="3">
                  <c:v>1.9065697691675786E-2</c:v>
                </c:pt>
                <c:pt idx="4">
                  <c:v>2.0212402972556831E-2</c:v>
                </c:pt>
                <c:pt idx="5">
                  <c:v>1.2995960466640168E-2</c:v>
                </c:pt>
                <c:pt idx="6">
                  <c:v>1.3316561919995964E-2</c:v>
                </c:pt>
                <c:pt idx="7">
                  <c:v>1.9018893883585727E-2</c:v>
                </c:pt>
                <c:pt idx="8">
                  <c:v>1.237304512537212E-2</c:v>
                </c:pt>
                <c:pt idx="9">
                  <c:v>3.4532730515375219E-2</c:v>
                </c:pt>
                <c:pt idx="10">
                  <c:v>2.2999765568400013E-2</c:v>
                </c:pt>
                <c:pt idx="11">
                  <c:v>2.2857434334336457E-2</c:v>
                </c:pt>
              </c:numCache>
            </c:numRef>
          </c:val>
          <c:extLst>
            <c:ext xmlns:c16="http://schemas.microsoft.com/office/drawing/2014/chart" uri="{C3380CC4-5D6E-409C-BE32-E72D297353CC}">
              <c16:uniqueId val="{00000002-4A28-458F-8DA5-B3C3938A4862}"/>
            </c:ext>
          </c:extLst>
        </c:ser>
        <c:ser>
          <c:idx val="4"/>
          <c:order val="4"/>
          <c:tx>
            <c:strRef>
              <c:f>Pivot!$F$116:$F$117</c:f>
              <c:strCache>
                <c:ptCount val="1"/>
                <c:pt idx="0">
                  <c:v>Eve</c:v>
                </c:pt>
              </c:strCache>
            </c:strRef>
          </c:tx>
          <c:spPr>
            <a:solidFill>
              <a:schemeClr val="accent5"/>
            </a:solidFill>
            <a:ln>
              <a:noFill/>
            </a:ln>
            <a:effectLst/>
          </c:spPr>
          <c:invertIfNegative val="0"/>
          <c:cat>
            <c:strRef>
              <c:f>Pivot!$A$118:$A$130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Pivot!$F$118:$F$130</c:f>
              <c:numCache>
                <c:formatCode>0.00%</c:formatCode>
                <c:ptCount val="12"/>
                <c:pt idx="0">
                  <c:v>2.9120414278170231E-2</c:v>
                </c:pt>
                <c:pt idx="1">
                  <c:v>1.1909257533086328E-2</c:v>
                </c:pt>
                <c:pt idx="2">
                  <c:v>2.4236594206233961E-2</c:v>
                </c:pt>
                <c:pt idx="3">
                  <c:v>1.3386583989933918E-2</c:v>
                </c:pt>
                <c:pt idx="4">
                  <c:v>9.4022830619844271E-3</c:v>
                </c:pt>
                <c:pt idx="5">
                  <c:v>2.5714808439882868E-2</c:v>
                </c:pt>
                <c:pt idx="6">
                  <c:v>1.7806045709253711E-2</c:v>
                </c:pt>
                <c:pt idx="7">
                  <c:v>1.9461098256021311E-2</c:v>
                </c:pt>
                <c:pt idx="8">
                  <c:v>1.5537889582766523E-2</c:v>
                </c:pt>
                <c:pt idx="9">
                  <c:v>1.95149501068465E-2</c:v>
                </c:pt>
                <c:pt idx="10">
                  <c:v>1.1034661900160133E-2</c:v>
                </c:pt>
                <c:pt idx="11">
                  <c:v>1.9654664264099689E-2</c:v>
                </c:pt>
              </c:numCache>
            </c:numRef>
          </c:val>
          <c:extLst>
            <c:ext xmlns:c16="http://schemas.microsoft.com/office/drawing/2014/chart" uri="{C3380CC4-5D6E-409C-BE32-E72D297353CC}">
              <c16:uniqueId val="{00000003-4A28-458F-8DA5-B3C3938A4862}"/>
            </c:ext>
          </c:extLst>
        </c:ser>
        <c:dLbls>
          <c:showLegendKey val="0"/>
          <c:showVal val="0"/>
          <c:showCatName val="0"/>
          <c:showSerName val="0"/>
          <c:showPercent val="0"/>
          <c:showBubbleSize val="0"/>
        </c:dLbls>
        <c:gapWidth val="219"/>
        <c:overlap val="-27"/>
        <c:axId val="1765036687"/>
        <c:axId val="1765037103"/>
      </c:barChart>
      <c:catAx>
        <c:axId val="17650366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5037103"/>
        <c:crosses val="autoZero"/>
        <c:auto val="1"/>
        <c:lblAlgn val="ctr"/>
        <c:lblOffset val="100"/>
        <c:noMultiLvlLbl val="0"/>
      </c:catAx>
      <c:valAx>
        <c:axId val="1765037103"/>
        <c:scaling>
          <c:orientation val="minMax"/>
        </c:scaling>
        <c:delete val="1"/>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1765036687"/>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[AMINAT AMINU A.xlsx]Pivot!PivotTable7</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Product</a:t>
            </a:r>
            <a:r>
              <a:rPr lang="en-US" b="1" baseline="0"/>
              <a:t> Sales Amount by Region</a:t>
            </a:r>
            <a:endParaRPr lang="en-US" b="1"/>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pivotFmt>
      <c:pivotFmt>
        <c:idx val="13"/>
        <c:spPr>
          <a:solidFill>
            <a:schemeClr val="accent1"/>
          </a:solidFill>
          <a:ln>
            <a:noFill/>
          </a:ln>
          <a:effectLst/>
        </c:spPr>
        <c:marker>
          <c:symbol val="none"/>
        </c:marker>
      </c:pivotFmt>
      <c:pivotFmt>
        <c:idx val="14"/>
        <c:spPr>
          <a:solidFill>
            <a:schemeClr val="accent1"/>
          </a:solidFill>
          <a:ln>
            <a:noFill/>
          </a:ln>
          <a:effectLst/>
        </c:spPr>
        <c:marker>
          <c:symbol val="none"/>
        </c:marker>
      </c:pivotFmt>
      <c:pivotFmt>
        <c:idx val="15"/>
        <c:spPr>
          <a:solidFill>
            <a:schemeClr val="accent1"/>
          </a:solidFill>
          <a:ln>
            <a:noFill/>
          </a:ln>
          <a:effectLst/>
        </c:spPr>
        <c:marker>
          <c:symbol val="none"/>
        </c:marker>
      </c:pivotFmt>
      <c:pivotFmt>
        <c:idx val="16"/>
        <c:spPr>
          <a:solidFill>
            <a:schemeClr val="accent1"/>
          </a:solidFill>
          <a:ln>
            <a:noFill/>
          </a:ln>
          <a:effectLst/>
        </c:spPr>
        <c:marker>
          <c:symbol val="none"/>
        </c:marker>
      </c:pivotFmt>
      <c:pivotFmt>
        <c:idx val="17"/>
        <c:spPr>
          <a:solidFill>
            <a:schemeClr val="accent1"/>
          </a:solidFill>
          <a:ln>
            <a:noFill/>
          </a:ln>
          <a:effectLst/>
        </c:spPr>
        <c:marker>
          <c:symbol val="none"/>
        </c:marker>
      </c:pivotFmt>
      <c:pivotFmt>
        <c:idx val="18"/>
        <c:spPr>
          <a:solidFill>
            <a:schemeClr val="accent1"/>
          </a:solidFill>
          <a:ln>
            <a:noFill/>
          </a:ln>
          <a:effectLst/>
        </c:spPr>
        <c:marker>
          <c:symbol val="none"/>
        </c:marker>
      </c:pivotFmt>
      <c:pivotFmt>
        <c:idx val="19"/>
        <c:spPr>
          <a:solidFill>
            <a:schemeClr val="accent1"/>
          </a:solidFill>
          <a:ln>
            <a:noFill/>
          </a:ln>
          <a:effectLst/>
        </c:spPr>
        <c:marker>
          <c:symbol val="none"/>
        </c:marker>
      </c:pivotFmt>
      <c:pivotFmt>
        <c:idx val="20"/>
        <c:spPr>
          <a:solidFill>
            <a:schemeClr val="accent1"/>
          </a:solidFill>
          <a:ln>
            <a:noFill/>
          </a:ln>
          <a:effectLst/>
        </c:spPr>
        <c:marker>
          <c:symbol val="none"/>
        </c:marker>
      </c:pivotFmt>
      <c:pivotFmt>
        <c:idx val="21"/>
        <c:spPr>
          <a:solidFill>
            <a:schemeClr val="accent1"/>
          </a:solidFill>
          <a:ln>
            <a:noFill/>
          </a:ln>
          <a:effectLst/>
        </c:spPr>
        <c:marker>
          <c:symbol val="none"/>
        </c:marker>
      </c:pivotFmt>
      <c:pivotFmt>
        <c:idx val="22"/>
        <c:spPr>
          <a:solidFill>
            <a:schemeClr val="accent1"/>
          </a:solidFill>
          <a:ln>
            <a:noFill/>
          </a:ln>
          <a:effectLst/>
        </c:spPr>
        <c:marker>
          <c:symbol val="none"/>
        </c:marker>
      </c:pivotFmt>
      <c:pivotFmt>
        <c:idx val="23"/>
        <c:spPr>
          <a:solidFill>
            <a:schemeClr val="accent1"/>
          </a:solidFill>
          <a:ln>
            <a:noFill/>
          </a:ln>
          <a:effectLst/>
        </c:spPr>
        <c:marker>
          <c:symbol val="none"/>
        </c:marker>
      </c:pivotFmt>
      <c:pivotFmt>
        <c:idx val="24"/>
        <c:spPr>
          <a:solidFill>
            <a:schemeClr val="accent1"/>
          </a:solidFill>
          <a:ln>
            <a:noFill/>
          </a:ln>
          <a:effectLst/>
        </c:spPr>
        <c:marker>
          <c:symbol val="none"/>
        </c:marker>
      </c:pivotFmt>
    </c:pivotFmts>
    <c:plotArea>
      <c:layout/>
      <c:barChart>
        <c:barDir val="col"/>
        <c:grouping val="clustered"/>
        <c:varyColors val="0"/>
        <c:ser>
          <c:idx val="0"/>
          <c:order val="0"/>
          <c:tx>
            <c:strRef>
              <c:f>Pivot!$B$135:$B$136</c:f>
              <c:strCache>
                <c:ptCount val="1"/>
                <c:pt idx="0">
                  <c:v>Clothing</c:v>
                </c:pt>
              </c:strCache>
            </c:strRef>
          </c:tx>
          <c:spPr>
            <a:solidFill>
              <a:schemeClr val="accent1"/>
            </a:solidFill>
            <a:ln>
              <a:noFill/>
            </a:ln>
            <a:effectLst/>
          </c:spPr>
          <c:invertIfNegative val="0"/>
          <c:cat>
            <c:strRef>
              <c:f>Pivot!$A$137:$A$141</c:f>
              <c:strCache>
                <c:ptCount val="4"/>
                <c:pt idx="0">
                  <c:v>East</c:v>
                </c:pt>
                <c:pt idx="1">
                  <c:v>North</c:v>
                </c:pt>
                <c:pt idx="2">
                  <c:v>South</c:v>
                </c:pt>
                <c:pt idx="3">
                  <c:v>West</c:v>
                </c:pt>
              </c:strCache>
            </c:strRef>
          </c:cat>
          <c:val>
            <c:numRef>
              <c:f>Pivot!$B$137:$B$141</c:f>
              <c:numCache>
                <c:formatCode>_(* #,##0_);_(* \(#,##0\);_(* "-"??_);_(@_)</c:formatCode>
                <c:ptCount val="4"/>
                <c:pt idx="0">
                  <c:v>4159577.4449999998</c:v>
                </c:pt>
                <c:pt idx="1">
                  <c:v>4424111.8028000006</c:v>
                </c:pt>
                <c:pt idx="2">
                  <c:v>3907815.9484000006</c:v>
                </c:pt>
                <c:pt idx="3">
                  <c:v>3869339.4285000004</c:v>
                </c:pt>
              </c:numCache>
            </c:numRef>
          </c:val>
          <c:extLst>
            <c:ext xmlns:c16="http://schemas.microsoft.com/office/drawing/2014/chart" uri="{C3380CC4-5D6E-409C-BE32-E72D297353CC}">
              <c16:uniqueId val="{00000000-70AF-4B2A-99C4-094EAF8700DE}"/>
            </c:ext>
          </c:extLst>
        </c:ser>
        <c:ser>
          <c:idx val="1"/>
          <c:order val="1"/>
          <c:tx>
            <c:strRef>
              <c:f>Pivot!$C$135:$C$136</c:f>
              <c:strCache>
                <c:ptCount val="1"/>
                <c:pt idx="0">
                  <c:v>Electronics</c:v>
                </c:pt>
              </c:strCache>
            </c:strRef>
          </c:tx>
          <c:spPr>
            <a:solidFill>
              <a:schemeClr val="accent2"/>
            </a:solidFill>
            <a:ln>
              <a:noFill/>
            </a:ln>
            <a:effectLst/>
          </c:spPr>
          <c:invertIfNegative val="0"/>
          <c:cat>
            <c:strRef>
              <c:f>Pivot!$A$137:$A$141</c:f>
              <c:strCache>
                <c:ptCount val="4"/>
                <c:pt idx="0">
                  <c:v>East</c:v>
                </c:pt>
                <c:pt idx="1">
                  <c:v>North</c:v>
                </c:pt>
                <c:pt idx="2">
                  <c:v>South</c:v>
                </c:pt>
                <c:pt idx="3">
                  <c:v>West</c:v>
                </c:pt>
              </c:strCache>
            </c:strRef>
          </c:cat>
          <c:val>
            <c:numRef>
              <c:f>Pivot!$C$137:$C$141</c:f>
              <c:numCache>
                <c:formatCode>_(* #,##0_);_(* \(#,##0\);_(* "-"??_);_(@_)</c:formatCode>
                <c:ptCount val="4"/>
                <c:pt idx="0">
                  <c:v>4192155.9304999989</c:v>
                </c:pt>
                <c:pt idx="1">
                  <c:v>3799465.8435000004</c:v>
                </c:pt>
                <c:pt idx="2">
                  <c:v>3246712.0266</c:v>
                </c:pt>
                <c:pt idx="3">
                  <c:v>3914891.4848000007</c:v>
                </c:pt>
              </c:numCache>
            </c:numRef>
          </c:val>
          <c:extLst>
            <c:ext xmlns:c16="http://schemas.microsoft.com/office/drawing/2014/chart" uri="{C3380CC4-5D6E-409C-BE32-E72D297353CC}">
              <c16:uniqueId val="{00000000-368F-428C-930F-A9C7FBFE4E04}"/>
            </c:ext>
          </c:extLst>
        </c:ser>
        <c:ser>
          <c:idx val="2"/>
          <c:order val="2"/>
          <c:tx>
            <c:strRef>
              <c:f>Pivot!$D$135:$D$136</c:f>
              <c:strCache>
                <c:ptCount val="1"/>
                <c:pt idx="0">
                  <c:v>Food</c:v>
                </c:pt>
              </c:strCache>
            </c:strRef>
          </c:tx>
          <c:spPr>
            <a:solidFill>
              <a:schemeClr val="accent3"/>
            </a:solidFill>
            <a:ln>
              <a:noFill/>
            </a:ln>
            <a:effectLst/>
          </c:spPr>
          <c:invertIfNegative val="0"/>
          <c:cat>
            <c:strRef>
              <c:f>Pivot!$A$137:$A$141</c:f>
              <c:strCache>
                <c:ptCount val="4"/>
                <c:pt idx="0">
                  <c:v>East</c:v>
                </c:pt>
                <c:pt idx="1">
                  <c:v>North</c:v>
                </c:pt>
                <c:pt idx="2">
                  <c:v>South</c:v>
                </c:pt>
                <c:pt idx="3">
                  <c:v>West</c:v>
                </c:pt>
              </c:strCache>
            </c:strRef>
          </c:cat>
          <c:val>
            <c:numRef>
              <c:f>Pivot!$D$137:$D$141</c:f>
              <c:numCache>
                <c:formatCode>_(* #,##0_);_(* \(#,##0\);_(* "-"??_);_(@_)</c:formatCode>
                <c:ptCount val="4"/>
                <c:pt idx="0">
                  <c:v>3383985.8214999987</c:v>
                </c:pt>
                <c:pt idx="1">
                  <c:v>3172617.0758000012</c:v>
                </c:pt>
                <c:pt idx="2">
                  <c:v>3307592.2702000001</c:v>
                </c:pt>
                <c:pt idx="3">
                  <c:v>2944131.0632999996</c:v>
                </c:pt>
              </c:numCache>
            </c:numRef>
          </c:val>
          <c:extLst>
            <c:ext xmlns:c16="http://schemas.microsoft.com/office/drawing/2014/chart" uri="{C3380CC4-5D6E-409C-BE32-E72D297353CC}">
              <c16:uniqueId val="{00000001-368F-428C-930F-A9C7FBFE4E04}"/>
            </c:ext>
          </c:extLst>
        </c:ser>
        <c:ser>
          <c:idx val="3"/>
          <c:order val="3"/>
          <c:tx>
            <c:strRef>
              <c:f>Pivot!$E$135:$E$136</c:f>
              <c:strCache>
                <c:ptCount val="1"/>
                <c:pt idx="0">
                  <c:v>Furniture</c:v>
                </c:pt>
              </c:strCache>
            </c:strRef>
          </c:tx>
          <c:spPr>
            <a:solidFill>
              <a:schemeClr val="accent4"/>
            </a:solidFill>
            <a:ln>
              <a:noFill/>
            </a:ln>
            <a:effectLst/>
          </c:spPr>
          <c:invertIfNegative val="0"/>
          <c:cat>
            <c:strRef>
              <c:f>Pivot!$A$137:$A$141</c:f>
              <c:strCache>
                <c:ptCount val="4"/>
                <c:pt idx="0">
                  <c:v>East</c:v>
                </c:pt>
                <c:pt idx="1">
                  <c:v>North</c:v>
                </c:pt>
                <c:pt idx="2">
                  <c:v>South</c:v>
                </c:pt>
                <c:pt idx="3">
                  <c:v>West</c:v>
                </c:pt>
              </c:strCache>
            </c:strRef>
          </c:cat>
          <c:val>
            <c:numRef>
              <c:f>Pivot!$E$137:$E$141</c:f>
              <c:numCache>
                <c:formatCode>_(* #,##0_);_(* \(#,##0\);_(* "-"??_);_(@_)</c:formatCode>
                <c:ptCount val="4"/>
                <c:pt idx="0">
                  <c:v>3466563.0275999992</c:v>
                </c:pt>
                <c:pt idx="1">
                  <c:v>4174147.4599000011</c:v>
                </c:pt>
                <c:pt idx="2">
                  <c:v>3432540.0343000009</c:v>
                </c:pt>
                <c:pt idx="3">
                  <c:v>4290526.6210000003</c:v>
                </c:pt>
              </c:numCache>
            </c:numRef>
          </c:val>
          <c:extLst>
            <c:ext xmlns:c16="http://schemas.microsoft.com/office/drawing/2014/chart" uri="{C3380CC4-5D6E-409C-BE32-E72D297353CC}">
              <c16:uniqueId val="{00000002-368F-428C-930F-A9C7FBFE4E04}"/>
            </c:ext>
          </c:extLst>
        </c:ser>
        <c:dLbls>
          <c:showLegendKey val="0"/>
          <c:showVal val="0"/>
          <c:showCatName val="0"/>
          <c:showSerName val="0"/>
          <c:showPercent val="0"/>
          <c:showBubbleSize val="0"/>
        </c:dLbls>
        <c:gapWidth val="219"/>
        <c:axId val="1399717696"/>
        <c:axId val="1399715616"/>
      </c:barChart>
      <c:catAx>
        <c:axId val="1399717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9715616"/>
        <c:crosses val="autoZero"/>
        <c:auto val="1"/>
        <c:lblAlgn val="ctr"/>
        <c:lblOffset val="100"/>
        <c:noMultiLvlLbl val="0"/>
      </c:catAx>
      <c:valAx>
        <c:axId val="1399715616"/>
        <c:scaling>
          <c:orientation val="minMax"/>
        </c:scaling>
        <c:delete val="1"/>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crossAx val="139971769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[AMINAT AMINU A.xlsx]Pivot!PivotTable13</c:name>
    <c:fmtId val="12"/>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pivotFmt>
      <c:pivotFmt>
        <c:idx val="12"/>
        <c:spPr>
          <a:solidFill>
            <a:schemeClr val="accent1"/>
          </a:solidFill>
          <a:ln>
            <a:noFill/>
          </a:ln>
          <a:effectLst/>
        </c:spPr>
        <c:marker>
          <c:symbol val="none"/>
        </c:marker>
      </c:pivotFmt>
    </c:pivotFmts>
    <c:plotArea>
      <c:layout/>
      <c:barChart>
        <c:barDir val="bar"/>
        <c:grouping val="clustered"/>
        <c:varyColors val="0"/>
        <c:ser>
          <c:idx val="0"/>
          <c:order val="0"/>
          <c:tx>
            <c:strRef>
              <c:f>Pivot!$B$147:$B$148</c:f>
              <c:strCache>
                <c:ptCount val="1"/>
                <c:pt idx="0">
                  <c:v>Clothing</c:v>
                </c:pt>
              </c:strCache>
            </c:strRef>
          </c:tx>
          <c:spPr>
            <a:solidFill>
              <a:schemeClr val="accent1"/>
            </a:solidFill>
            <a:ln>
              <a:noFill/>
            </a:ln>
            <a:effectLst/>
          </c:spPr>
          <c:invertIfNegative val="0"/>
          <c:cat>
            <c:strRef>
              <c:f>Pivot!$A$149:$A$153</c:f>
              <c:strCache>
                <c:ptCount val="4"/>
                <c:pt idx="0">
                  <c:v>South</c:v>
                </c:pt>
                <c:pt idx="1">
                  <c:v>West</c:v>
                </c:pt>
                <c:pt idx="2">
                  <c:v>East</c:v>
                </c:pt>
                <c:pt idx="3">
                  <c:v>North</c:v>
                </c:pt>
              </c:strCache>
            </c:strRef>
          </c:cat>
          <c:val>
            <c:numRef>
              <c:f>Pivot!$B$149:$B$153</c:f>
              <c:numCache>
                <c:formatCode>_(* #,##0_);_(* \(#,##0\);_(* "-"??_);_(@_)</c:formatCode>
                <c:ptCount val="4"/>
                <c:pt idx="0">
                  <c:v>1517</c:v>
                </c:pt>
                <c:pt idx="1">
                  <c:v>1669</c:v>
                </c:pt>
                <c:pt idx="2">
                  <c:v>1797</c:v>
                </c:pt>
                <c:pt idx="3">
                  <c:v>1939</c:v>
                </c:pt>
              </c:numCache>
            </c:numRef>
          </c:val>
          <c:extLst>
            <c:ext xmlns:c16="http://schemas.microsoft.com/office/drawing/2014/chart" uri="{C3380CC4-5D6E-409C-BE32-E72D297353CC}">
              <c16:uniqueId val="{00000000-0905-4F80-BACC-38EF2054127A}"/>
            </c:ext>
          </c:extLst>
        </c:ser>
        <c:ser>
          <c:idx val="1"/>
          <c:order val="1"/>
          <c:tx>
            <c:strRef>
              <c:f>Pivot!$C$147:$C$148</c:f>
              <c:strCache>
                <c:ptCount val="1"/>
                <c:pt idx="0">
                  <c:v>Electronics</c:v>
                </c:pt>
              </c:strCache>
            </c:strRef>
          </c:tx>
          <c:spPr>
            <a:solidFill>
              <a:schemeClr val="accent2"/>
            </a:solidFill>
            <a:ln>
              <a:noFill/>
            </a:ln>
            <a:effectLst/>
          </c:spPr>
          <c:invertIfNegative val="0"/>
          <c:cat>
            <c:strRef>
              <c:f>Pivot!$A$149:$A$153</c:f>
              <c:strCache>
                <c:ptCount val="4"/>
                <c:pt idx="0">
                  <c:v>South</c:v>
                </c:pt>
                <c:pt idx="1">
                  <c:v>West</c:v>
                </c:pt>
                <c:pt idx="2">
                  <c:v>East</c:v>
                </c:pt>
                <c:pt idx="3">
                  <c:v>North</c:v>
                </c:pt>
              </c:strCache>
            </c:strRef>
          </c:cat>
          <c:val>
            <c:numRef>
              <c:f>Pivot!$C$149:$C$153</c:f>
              <c:numCache>
                <c:formatCode>_(* #,##0_);_(* \(#,##0\);_(* "-"??_);_(@_)</c:formatCode>
                <c:ptCount val="4"/>
                <c:pt idx="0">
                  <c:v>1274</c:v>
                </c:pt>
                <c:pt idx="1">
                  <c:v>1539</c:v>
                </c:pt>
                <c:pt idx="2">
                  <c:v>1623</c:v>
                </c:pt>
                <c:pt idx="3">
                  <c:v>1660</c:v>
                </c:pt>
              </c:numCache>
            </c:numRef>
          </c:val>
          <c:extLst>
            <c:ext xmlns:c16="http://schemas.microsoft.com/office/drawing/2014/chart" uri="{C3380CC4-5D6E-409C-BE32-E72D297353CC}">
              <c16:uniqueId val="{00000000-1BA1-4FFE-B286-A6BA8FB1AA70}"/>
            </c:ext>
          </c:extLst>
        </c:ser>
        <c:ser>
          <c:idx val="2"/>
          <c:order val="2"/>
          <c:tx>
            <c:strRef>
              <c:f>Pivot!$D$147:$D$148</c:f>
              <c:strCache>
                <c:ptCount val="1"/>
                <c:pt idx="0">
                  <c:v>Food</c:v>
                </c:pt>
              </c:strCache>
            </c:strRef>
          </c:tx>
          <c:spPr>
            <a:solidFill>
              <a:schemeClr val="accent3"/>
            </a:solidFill>
            <a:ln>
              <a:noFill/>
            </a:ln>
            <a:effectLst/>
          </c:spPr>
          <c:invertIfNegative val="0"/>
          <c:cat>
            <c:strRef>
              <c:f>Pivot!$A$149:$A$153</c:f>
              <c:strCache>
                <c:ptCount val="4"/>
                <c:pt idx="0">
                  <c:v>South</c:v>
                </c:pt>
                <c:pt idx="1">
                  <c:v>West</c:v>
                </c:pt>
                <c:pt idx="2">
                  <c:v>East</c:v>
                </c:pt>
                <c:pt idx="3">
                  <c:v>North</c:v>
                </c:pt>
              </c:strCache>
            </c:strRef>
          </c:cat>
          <c:val>
            <c:numRef>
              <c:f>Pivot!$D$149:$D$153</c:f>
              <c:numCache>
                <c:formatCode>_(* #,##0_);_(* \(#,##0\);_(* "-"??_);_(@_)</c:formatCode>
                <c:ptCount val="4"/>
                <c:pt idx="0">
                  <c:v>1577</c:v>
                </c:pt>
                <c:pt idx="1">
                  <c:v>1389</c:v>
                </c:pt>
                <c:pt idx="2">
                  <c:v>1463</c:v>
                </c:pt>
                <c:pt idx="3">
                  <c:v>1179</c:v>
                </c:pt>
              </c:numCache>
            </c:numRef>
          </c:val>
          <c:extLst>
            <c:ext xmlns:c16="http://schemas.microsoft.com/office/drawing/2014/chart" uri="{C3380CC4-5D6E-409C-BE32-E72D297353CC}">
              <c16:uniqueId val="{00000001-1BA1-4FFE-B286-A6BA8FB1AA70}"/>
            </c:ext>
          </c:extLst>
        </c:ser>
        <c:ser>
          <c:idx val="3"/>
          <c:order val="3"/>
          <c:tx>
            <c:strRef>
              <c:f>Pivot!$E$147:$E$148</c:f>
              <c:strCache>
                <c:ptCount val="1"/>
                <c:pt idx="0">
                  <c:v>Furniture</c:v>
                </c:pt>
              </c:strCache>
            </c:strRef>
          </c:tx>
          <c:spPr>
            <a:solidFill>
              <a:schemeClr val="accent4"/>
            </a:solidFill>
            <a:ln>
              <a:noFill/>
            </a:ln>
            <a:effectLst/>
          </c:spPr>
          <c:invertIfNegative val="0"/>
          <c:cat>
            <c:strRef>
              <c:f>Pivot!$A$149:$A$153</c:f>
              <c:strCache>
                <c:ptCount val="4"/>
                <c:pt idx="0">
                  <c:v>South</c:v>
                </c:pt>
                <c:pt idx="1">
                  <c:v>West</c:v>
                </c:pt>
                <c:pt idx="2">
                  <c:v>East</c:v>
                </c:pt>
                <c:pt idx="3">
                  <c:v>North</c:v>
                </c:pt>
              </c:strCache>
            </c:strRef>
          </c:cat>
          <c:val>
            <c:numRef>
              <c:f>Pivot!$E$149:$E$153</c:f>
              <c:numCache>
                <c:formatCode>_(* #,##0_);_(* \(#,##0\);_(* "-"??_);_(@_)</c:formatCode>
                <c:ptCount val="4"/>
                <c:pt idx="0">
                  <c:v>1440</c:v>
                </c:pt>
                <c:pt idx="1">
                  <c:v>1889</c:v>
                </c:pt>
                <c:pt idx="2">
                  <c:v>1473</c:v>
                </c:pt>
                <c:pt idx="3">
                  <c:v>1927</c:v>
                </c:pt>
              </c:numCache>
            </c:numRef>
          </c:val>
          <c:extLst>
            <c:ext xmlns:c16="http://schemas.microsoft.com/office/drawing/2014/chart" uri="{C3380CC4-5D6E-409C-BE32-E72D297353CC}">
              <c16:uniqueId val="{00000002-1BA1-4FFE-B286-A6BA8FB1AA70}"/>
            </c:ext>
          </c:extLst>
        </c:ser>
        <c:dLbls>
          <c:showLegendKey val="0"/>
          <c:showVal val="0"/>
          <c:showCatName val="0"/>
          <c:showSerName val="0"/>
          <c:showPercent val="0"/>
          <c:showBubbleSize val="0"/>
        </c:dLbls>
        <c:gapWidth val="182"/>
        <c:axId val="1399723936"/>
        <c:axId val="1399718944"/>
      </c:barChart>
      <c:catAx>
        <c:axId val="13997239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9718944"/>
        <c:crosses val="autoZero"/>
        <c:auto val="1"/>
        <c:lblAlgn val="ctr"/>
        <c:lblOffset val="100"/>
        <c:noMultiLvlLbl val="0"/>
      </c:catAx>
      <c:valAx>
        <c:axId val="1399718944"/>
        <c:scaling>
          <c:orientation val="minMax"/>
        </c:scaling>
        <c:delete val="1"/>
        <c:axPos val="b"/>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crossAx val="139972393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[AMINAT AMINU A.xlsx]Pivot!PivotTable22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Sales Rep by Quantity Sold and Profit Margin</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pivotFmt>
      <c:pivotFmt>
        <c:idx val="3"/>
        <c:spPr>
          <a:solidFill>
            <a:schemeClr val="accent1"/>
          </a:solidFill>
          <a:ln w="28575" cap="rnd">
            <a:solidFill>
              <a:schemeClr val="accent1"/>
            </a:solidFill>
            <a:round/>
          </a:ln>
          <a:effectLst/>
        </c:spPr>
        <c:marker>
          <c:symbol val="none"/>
        </c:marker>
      </c:pivotFmt>
      <c:pivotFmt>
        <c:idx val="4"/>
        <c:spPr>
          <a:solidFill>
            <a:schemeClr val="accent1"/>
          </a:solidFill>
          <a:ln>
            <a:noFill/>
          </a:ln>
          <a:effectLst/>
        </c:spPr>
        <c:marker>
          <c:symbol val="none"/>
        </c:marker>
      </c:pivotFmt>
      <c:pivotFmt>
        <c:idx val="5"/>
        <c:spPr>
          <a:ln w="28575" cap="rnd">
            <a:solidFill>
              <a:schemeClr val="accent1"/>
            </a:solidFill>
            <a:round/>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Pivot!$B$219</c:f>
              <c:strCache>
                <c:ptCount val="1"/>
                <c:pt idx="0">
                  <c:v>Sum of Quantity_Sold</c:v>
                </c:pt>
              </c:strCache>
            </c:strRef>
          </c:tx>
          <c:spPr>
            <a:solidFill>
              <a:schemeClr val="accent1"/>
            </a:solidFill>
            <a:ln>
              <a:noFill/>
            </a:ln>
            <a:effectLst/>
          </c:spPr>
          <c:invertIfNegative val="0"/>
          <c:dLbls>
            <c:delete val="1"/>
          </c:dLbls>
          <c:cat>
            <c:strRef>
              <c:f>Pivot!$A$220:$A$225</c:f>
              <c:strCache>
                <c:ptCount val="5"/>
                <c:pt idx="0">
                  <c:v>Charlie</c:v>
                </c:pt>
                <c:pt idx="1">
                  <c:v>Alice</c:v>
                </c:pt>
                <c:pt idx="2">
                  <c:v>Bob</c:v>
                </c:pt>
                <c:pt idx="3">
                  <c:v>Eve</c:v>
                </c:pt>
                <c:pt idx="4">
                  <c:v>David</c:v>
                </c:pt>
              </c:strCache>
            </c:strRef>
          </c:cat>
          <c:val>
            <c:numRef>
              <c:f>Pivot!$B$220:$B$225</c:f>
              <c:numCache>
                <c:formatCode>0</c:formatCode>
                <c:ptCount val="5"/>
                <c:pt idx="0">
                  <c:v>4217</c:v>
                </c:pt>
                <c:pt idx="1">
                  <c:v>4832</c:v>
                </c:pt>
                <c:pt idx="2">
                  <c:v>4977</c:v>
                </c:pt>
                <c:pt idx="3">
                  <c:v>5287</c:v>
                </c:pt>
                <c:pt idx="4">
                  <c:v>6042</c:v>
                </c:pt>
              </c:numCache>
            </c:numRef>
          </c:val>
          <c:extLst>
            <c:ext xmlns:c16="http://schemas.microsoft.com/office/drawing/2014/chart" uri="{C3380CC4-5D6E-409C-BE32-E72D297353CC}">
              <c16:uniqueId val="{00000000-CE01-4507-8E15-FF8F5CA1F2CB}"/>
            </c:ext>
          </c:extLst>
        </c:ser>
        <c:dLbls>
          <c:dLblPos val="outEnd"/>
          <c:showLegendKey val="0"/>
          <c:showVal val="1"/>
          <c:showCatName val="0"/>
          <c:showSerName val="0"/>
          <c:showPercent val="0"/>
          <c:showBubbleSize val="0"/>
        </c:dLbls>
        <c:gapWidth val="219"/>
        <c:overlap val="-27"/>
        <c:axId val="461895007"/>
        <c:axId val="461906239"/>
      </c:barChart>
      <c:lineChart>
        <c:grouping val="standard"/>
        <c:varyColors val="0"/>
        <c:ser>
          <c:idx val="1"/>
          <c:order val="1"/>
          <c:tx>
            <c:strRef>
              <c:f>Pivot!$C$219</c:f>
              <c:strCache>
                <c:ptCount val="1"/>
                <c:pt idx="0">
                  <c:v>Average of Profit margin</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Pivot!$A$220:$A$225</c:f>
              <c:strCache>
                <c:ptCount val="5"/>
                <c:pt idx="0">
                  <c:v>Charlie</c:v>
                </c:pt>
                <c:pt idx="1">
                  <c:v>Alice</c:v>
                </c:pt>
                <c:pt idx="2">
                  <c:v>Bob</c:v>
                </c:pt>
                <c:pt idx="3">
                  <c:v>Eve</c:v>
                </c:pt>
                <c:pt idx="4">
                  <c:v>David</c:v>
                </c:pt>
              </c:strCache>
            </c:strRef>
          </c:cat>
          <c:val>
            <c:numRef>
              <c:f>Pivot!$C$220:$C$225</c:f>
              <c:numCache>
                <c:formatCode>0.00%</c:formatCode>
                <c:ptCount val="5"/>
                <c:pt idx="0">
                  <c:v>-1.9771899010473167E-2</c:v>
                </c:pt>
                <c:pt idx="1">
                  <c:v>-5.4682045333679895E-3</c:v>
                </c:pt>
                <c:pt idx="2">
                  <c:v>-1.4367830095610299E-2</c:v>
                </c:pt>
                <c:pt idx="3">
                  <c:v>-3.5046056842101152E-2</c:v>
                </c:pt>
                <c:pt idx="4">
                  <c:v>-3.1096443775982661E-2</c:v>
                </c:pt>
              </c:numCache>
            </c:numRef>
          </c:val>
          <c:smooth val="0"/>
          <c:extLst>
            <c:ext xmlns:c16="http://schemas.microsoft.com/office/drawing/2014/chart" uri="{C3380CC4-5D6E-409C-BE32-E72D297353CC}">
              <c16:uniqueId val="{00000001-CE01-4507-8E15-FF8F5CA1F2CB}"/>
            </c:ext>
          </c:extLst>
        </c:ser>
        <c:dLbls>
          <c:showLegendKey val="0"/>
          <c:showVal val="1"/>
          <c:showCatName val="0"/>
          <c:showSerName val="0"/>
          <c:showPercent val="0"/>
          <c:showBubbleSize val="0"/>
        </c:dLbls>
        <c:marker val="1"/>
        <c:smooth val="0"/>
        <c:axId val="461902911"/>
        <c:axId val="461902079"/>
      </c:lineChart>
      <c:catAx>
        <c:axId val="461895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1906239"/>
        <c:crosses val="autoZero"/>
        <c:auto val="1"/>
        <c:lblAlgn val="ctr"/>
        <c:lblOffset val="100"/>
        <c:noMultiLvlLbl val="0"/>
      </c:catAx>
      <c:valAx>
        <c:axId val="46190623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1895007"/>
        <c:crosses val="autoZero"/>
        <c:crossBetween val="between"/>
      </c:valAx>
      <c:valAx>
        <c:axId val="461902079"/>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1902911"/>
        <c:crosses val="max"/>
        <c:crossBetween val="between"/>
      </c:valAx>
      <c:catAx>
        <c:axId val="461902911"/>
        <c:scaling>
          <c:orientation val="minMax"/>
        </c:scaling>
        <c:delete val="1"/>
        <c:axPos val="b"/>
        <c:numFmt formatCode="General" sourceLinked="1"/>
        <c:majorTickMark val="out"/>
        <c:minorTickMark val="none"/>
        <c:tickLblPos val="nextTo"/>
        <c:crossAx val="461902079"/>
        <c:crosses val="autoZero"/>
        <c:auto val="1"/>
        <c:lblAlgn val="ctr"/>
        <c:lblOffset val="100"/>
        <c:noMultiLvlLbl val="0"/>
      </c:cat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[AMINAT AMINU A.xlsx]Pivot!PivotTable19</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t>PRODUCT BY QUANTITY SOLD</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bar"/>
        <c:grouping val="clustered"/>
        <c:varyColors val="0"/>
        <c:ser>
          <c:idx val="0"/>
          <c:order val="0"/>
          <c:tx>
            <c:strRef>
              <c:f>Pivot!$B$164</c:f>
              <c:strCache>
                <c:ptCount val="1"/>
                <c:pt idx="0">
                  <c:v>Total</c:v>
                </c:pt>
              </c:strCache>
            </c:strRef>
          </c:tx>
          <c:spPr>
            <a:solidFill>
              <a:schemeClr val="accent1"/>
            </a:solidFill>
            <a:ln>
              <a:noFill/>
            </a:ln>
            <a:effectLst/>
          </c:spPr>
          <c:invertIfNegative val="0"/>
          <c:cat>
            <c:strRef>
              <c:f>Pivot!$A$165:$A$169</c:f>
              <c:strCache>
                <c:ptCount val="4"/>
                <c:pt idx="0">
                  <c:v>Clothing</c:v>
                </c:pt>
                <c:pt idx="1">
                  <c:v>Furniture</c:v>
                </c:pt>
                <c:pt idx="2">
                  <c:v>Electronics</c:v>
                </c:pt>
                <c:pt idx="3">
                  <c:v>Food</c:v>
                </c:pt>
              </c:strCache>
            </c:strRef>
          </c:cat>
          <c:val>
            <c:numRef>
              <c:f>Pivot!$B$165:$B$169</c:f>
              <c:numCache>
                <c:formatCode>_(* #,##0_);_(* \(#,##0\);_(* "-"??_);_(@_)</c:formatCode>
                <c:ptCount val="4"/>
                <c:pt idx="0">
                  <c:v>6922</c:v>
                </c:pt>
                <c:pt idx="1">
                  <c:v>6729</c:v>
                </c:pt>
                <c:pt idx="2">
                  <c:v>6096</c:v>
                </c:pt>
                <c:pt idx="3">
                  <c:v>5608</c:v>
                </c:pt>
              </c:numCache>
            </c:numRef>
          </c:val>
          <c:extLst>
            <c:ext xmlns:c16="http://schemas.microsoft.com/office/drawing/2014/chart" uri="{C3380CC4-5D6E-409C-BE32-E72D297353CC}">
              <c16:uniqueId val="{00000000-00F6-4CC7-92D5-FE509A361A9E}"/>
            </c:ext>
          </c:extLst>
        </c:ser>
        <c:dLbls>
          <c:showLegendKey val="0"/>
          <c:showVal val="0"/>
          <c:showCatName val="0"/>
          <c:showSerName val="0"/>
          <c:showPercent val="0"/>
          <c:showBubbleSize val="0"/>
        </c:dLbls>
        <c:gapWidth val="182"/>
        <c:axId val="1477737120"/>
        <c:axId val="1477734208"/>
      </c:barChart>
      <c:catAx>
        <c:axId val="147773712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7734208"/>
        <c:crosses val="autoZero"/>
        <c:auto val="1"/>
        <c:lblAlgn val="ctr"/>
        <c:lblOffset val="100"/>
        <c:noMultiLvlLbl val="0"/>
      </c:catAx>
      <c:valAx>
        <c:axId val="1477734208"/>
        <c:scaling>
          <c:orientation val="minMax"/>
        </c:scaling>
        <c:delete val="1"/>
        <c:axPos val="b"/>
        <c:majorGridlines>
          <c:spPr>
            <a:ln w="9525" cap="flat" cmpd="sng" algn="ctr">
              <a:solidFill>
                <a:schemeClr val="tx1">
                  <a:lumMod val="15000"/>
                  <a:lumOff val="85000"/>
                </a:schemeClr>
              </a:solidFill>
              <a:round/>
            </a:ln>
            <a:effectLst/>
          </c:spPr>
        </c:majorGridlines>
        <c:numFmt formatCode="_(* #,##0_);_(* \(#,##0\);_(* &quot;-&quot;??_);_(@_)" sourceLinked="1"/>
        <c:majorTickMark val="out"/>
        <c:minorTickMark val="none"/>
        <c:tickLblPos val="nextTo"/>
        <c:crossAx val="147773712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[AMINAT AMINU A.xlsx]Pivot!PivotTable10</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SALES GROWTH RATE OVER TIME</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pPr>
            <a:solidFill>
              <a:schemeClr val="accent1"/>
            </a:solidFill>
            <a:ln w="9525">
              <a:solidFill>
                <a:schemeClr val="accent1"/>
              </a:solidFill>
            </a:ln>
            <a:effectLst/>
          </c:spPr>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Pivot!$B$299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Pivot!$A$300:$A$315</c:f>
              <c:multiLvlStrCache>
                <c:ptCount val="13"/>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lvl>
                <c:lvl>
                  <c:pt idx="0">
                    <c:v>2023</c:v>
                  </c:pt>
                  <c:pt idx="12">
                    <c:v>2024</c:v>
                  </c:pt>
                </c:lvl>
              </c:multiLvlStrCache>
            </c:multiLvlStrRef>
          </c:cat>
          <c:val>
            <c:numRef>
              <c:f>Pivot!$B$300:$B$315</c:f>
              <c:numCache>
                <c:formatCode>0.00%</c:formatCode>
                <c:ptCount val="13"/>
                <c:pt idx="0">
                  <c:v>0.10681875579785487</c:v>
                </c:pt>
                <c:pt idx="1">
                  <c:v>7.8112722610635843E-2</c:v>
                </c:pt>
                <c:pt idx="2">
                  <c:v>8.5642447511306175E-2</c:v>
                </c:pt>
                <c:pt idx="3">
                  <c:v>7.5699268162562838E-2</c:v>
                </c:pt>
                <c:pt idx="4">
                  <c:v>8.1731857117270212E-2</c:v>
                </c:pt>
                <c:pt idx="5">
                  <c:v>8.8732644556161269E-2</c:v>
                </c:pt>
                <c:pt idx="6">
                  <c:v>6.7077182042986794E-2</c:v>
                </c:pt>
                <c:pt idx="7">
                  <c:v>9.5918190537832113E-2</c:v>
                </c:pt>
                <c:pt idx="8">
                  <c:v>6.4255972195948668E-2</c:v>
                </c:pt>
                <c:pt idx="9">
                  <c:v>9.5133752201042518E-2</c:v>
                </c:pt>
                <c:pt idx="10">
                  <c:v>6.9657416921976023E-2</c:v>
                </c:pt>
                <c:pt idx="11">
                  <c:v>9.0443258882442479E-2</c:v>
                </c:pt>
                <c:pt idx="12">
                  <c:v>7.7653146198028184E-4</c:v>
                </c:pt>
              </c:numCache>
            </c:numRef>
          </c:val>
          <c:extLst>
            <c:ext xmlns:c16="http://schemas.microsoft.com/office/drawing/2014/chart" uri="{C3380CC4-5D6E-409C-BE32-E72D297353CC}">
              <c16:uniqueId val="{00000000-3C2E-41EC-B6DD-F2E48B4EE3F9}"/>
            </c:ext>
          </c:extLst>
        </c:ser>
        <c:dLbls>
          <c:dLblPos val="outEnd"/>
          <c:showLegendKey val="0"/>
          <c:showVal val="1"/>
          <c:showCatName val="0"/>
          <c:showSerName val="0"/>
          <c:showPercent val="0"/>
          <c:showBubbleSize val="0"/>
        </c:dLbls>
        <c:gapWidth val="219"/>
        <c:axId val="832390703"/>
        <c:axId val="832394031"/>
      </c:barChart>
      <c:catAx>
        <c:axId val="8323907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2394031"/>
        <c:crosses val="autoZero"/>
        <c:auto val="1"/>
        <c:lblAlgn val="ctr"/>
        <c:lblOffset val="100"/>
        <c:noMultiLvlLbl val="0"/>
      </c:catAx>
      <c:valAx>
        <c:axId val="832394031"/>
        <c:scaling>
          <c:orientation val="minMax"/>
        </c:scaling>
        <c:delete val="1"/>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832390703"/>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[AMINAT AMINU A.xlsx]Pivot!PivotTable20</c:name>
    <c:fmtId val="26"/>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Quarterly</a:t>
            </a:r>
            <a:r>
              <a:rPr lang="en-US" b="1" baseline="0"/>
              <a:t> Sales Trend</a:t>
            </a:r>
            <a:endParaRPr lang="en-US" b="1"/>
          </a:p>
        </c:rich>
      </c:tx>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pivotFmt>
      <c:pivotFmt>
        <c:idx val="6"/>
        <c:spPr>
          <a:solidFill>
            <a:schemeClr val="accent1"/>
          </a:solidFill>
          <a:ln w="28575" cap="rnd">
            <a:solidFill>
              <a:schemeClr val="accent1"/>
            </a:solidFill>
            <a:round/>
          </a:ln>
          <a:effectLst/>
        </c:spPr>
        <c:marker>
          <c:symbol val="none"/>
        </c:marker>
      </c:pivotFmt>
      <c:pivotFmt>
        <c:idx val="7"/>
        <c:spPr>
          <a:solidFill>
            <a:schemeClr val="accent1"/>
          </a:solidFill>
          <a:ln w="28575" cap="rnd">
            <a:solidFill>
              <a:schemeClr val="accent1"/>
            </a:solidFill>
            <a:round/>
          </a:ln>
          <a:effectLst/>
        </c:spPr>
        <c:marker>
          <c:symbol val="none"/>
        </c:marker>
      </c:pivotFmt>
      <c:pivotFmt>
        <c:idx val="8"/>
        <c:spPr>
          <a:solidFill>
            <a:schemeClr val="accent1"/>
          </a:solidFill>
          <a:ln w="28575" cap="rnd">
            <a:solidFill>
              <a:schemeClr val="accent1"/>
            </a:solidFill>
            <a:round/>
          </a:ln>
          <a:effectLst/>
        </c:spPr>
        <c:marker>
          <c:symbol val="none"/>
        </c:marker>
      </c:pivotFmt>
      <c:pivotFmt>
        <c:idx val="9"/>
        <c:spPr>
          <a:solidFill>
            <a:schemeClr val="accent1"/>
          </a:solidFill>
          <a:ln w="28575" cap="rnd">
            <a:solidFill>
              <a:schemeClr val="accent1"/>
            </a:solidFill>
            <a:round/>
          </a:ln>
          <a:effectLst/>
        </c:spPr>
        <c:marker>
          <c:symbol val="none"/>
        </c:marker>
      </c:pivotFmt>
      <c:pivotFmt>
        <c:idx val="10"/>
        <c:spPr>
          <a:ln w="28575" cap="rnd">
            <a:solidFill>
              <a:schemeClr val="accent1"/>
            </a:solidFill>
            <a:round/>
          </a:ln>
          <a:effectLst/>
        </c:spPr>
        <c:marker>
          <c:symbol val="none"/>
        </c:marker>
      </c:pivotFmt>
      <c:pivotFmt>
        <c:idx val="11"/>
        <c:spPr>
          <a:ln w="28575" cap="rnd">
            <a:solidFill>
              <a:schemeClr val="accent1"/>
            </a:solidFill>
            <a:round/>
          </a:ln>
          <a:effectLst/>
        </c:spPr>
        <c:marker>
          <c:symbol val="none"/>
        </c:marker>
      </c:pivotFmt>
      <c:pivotFmt>
        <c:idx val="12"/>
        <c:spPr>
          <a:ln w="28575" cap="rnd">
            <a:solidFill>
              <a:schemeClr val="accent1"/>
            </a:solidFill>
            <a:round/>
          </a:ln>
          <a:effectLst/>
        </c:spPr>
        <c:marker>
          <c:symbol val="none"/>
        </c:marker>
      </c:pivotFmt>
      <c:pivotFmt>
        <c:idx val="13"/>
        <c:spPr>
          <a:ln w="28575" cap="rnd">
            <a:solidFill>
              <a:schemeClr val="accent1"/>
            </a:solidFill>
            <a:round/>
          </a:ln>
          <a:effectLst/>
        </c:spPr>
        <c:marker>
          <c:symbol val="none"/>
        </c:marker>
      </c:pivotFmt>
      <c:pivotFmt>
        <c:idx val="14"/>
        <c:spPr>
          <a:ln w="28575" cap="rnd">
            <a:solidFill>
              <a:schemeClr val="accent1"/>
            </a:solidFill>
            <a:round/>
          </a:ln>
          <a:effectLst/>
        </c:spPr>
        <c:marker>
          <c:symbol val="none"/>
        </c:marker>
      </c:pivotFmt>
      <c:pivotFmt>
        <c:idx val="15"/>
        <c:spPr>
          <a:solidFill>
            <a:schemeClr val="accent1"/>
          </a:solidFill>
          <a:ln w="28575" cap="rnd">
            <a:solidFill>
              <a:schemeClr val="accent1"/>
            </a:solidFill>
            <a:round/>
          </a:ln>
          <a:effectLst/>
        </c:spPr>
        <c:marker>
          <c:symbol val="none"/>
        </c:marker>
      </c:pivotFmt>
    </c:pivotFmts>
    <c:plotArea>
      <c:layout/>
      <c:lineChart>
        <c:grouping val="standard"/>
        <c:varyColors val="0"/>
        <c:ser>
          <c:idx val="0"/>
          <c:order val="0"/>
          <c:tx>
            <c:strRef>
              <c:f>Pivot!$B$319:$B$320</c:f>
              <c:strCache>
                <c:ptCount val="1"/>
                <c:pt idx="0">
                  <c:v>Alice</c:v>
                </c:pt>
              </c:strCache>
            </c:strRef>
          </c:tx>
          <c:spPr>
            <a:ln w="28575" cap="rnd">
              <a:solidFill>
                <a:schemeClr val="accent1"/>
              </a:solidFill>
              <a:round/>
            </a:ln>
            <a:effectLst/>
          </c:spPr>
          <c:marker>
            <c:symbol val="none"/>
          </c:marker>
          <c:cat>
            <c:multiLvlStrRef>
              <c:f>Pivot!$A$321:$A$328</c:f>
              <c:multiLvlStrCache>
                <c:ptCount val="5"/>
                <c:lvl>
                  <c:pt idx="0">
                    <c:v>Qtr1</c:v>
                  </c:pt>
                  <c:pt idx="1">
                    <c:v>Qtr2</c:v>
                  </c:pt>
                  <c:pt idx="2">
                    <c:v>Qtr3</c:v>
                  </c:pt>
                  <c:pt idx="3">
                    <c:v>Qtr4</c:v>
                  </c:pt>
                  <c:pt idx="4">
                    <c:v>Qtr1</c:v>
                  </c:pt>
                </c:lvl>
                <c:lvl>
                  <c:pt idx="0">
                    <c:v>2023</c:v>
                  </c:pt>
                  <c:pt idx="4">
                    <c:v>2024</c:v>
                  </c:pt>
                </c:lvl>
              </c:multiLvlStrCache>
            </c:multiLvlStrRef>
          </c:cat>
          <c:val>
            <c:numRef>
              <c:f>Pivot!$B$321:$B$328</c:f>
              <c:numCache>
                <c:formatCode>_(* #,##0_);_(* \(#,##0\);_(* "-"??_);_(@_)</c:formatCode>
                <c:ptCount val="5"/>
                <c:pt idx="0">
                  <c:v>2882397.3272999991</c:v>
                </c:pt>
                <c:pt idx="1">
                  <c:v>2986487.2214999995</c:v>
                </c:pt>
                <c:pt idx="2">
                  <c:v>2474497.5472000004</c:v>
                </c:pt>
                <c:pt idx="3">
                  <c:v>3103787.5049000001</c:v>
                </c:pt>
                <c:pt idx="4">
                  <c:v>29475.9624</c:v>
                </c:pt>
              </c:numCache>
            </c:numRef>
          </c:val>
          <c:smooth val="0"/>
          <c:extLst>
            <c:ext xmlns:c16="http://schemas.microsoft.com/office/drawing/2014/chart" uri="{C3380CC4-5D6E-409C-BE32-E72D297353CC}">
              <c16:uniqueId val="{00000000-A059-4FFD-A72E-BA248A6AAF1C}"/>
            </c:ext>
          </c:extLst>
        </c:ser>
        <c:ser>
          <c:idx val="1"/>
          <c:order val="1"/>
          <c:tx>
            <c:strRef>
              <c:f>Pivot!$C$319:$C$320</c:f>
              <c:strCache>
                <c:ptCount val="1"/>
                <c:pt idx="0">
                  <c:v>Bob</c:v>
                </c:pt>
              </c:strCache>
            </c:strRef>
          </c:tx>
          <c:spPr>
            <a:ln w="28575" cap="rnd">
              <a:solidFill>
                <a:schemeClr val="accent2"/>
              </a:solidFill>
              <a:round/>
            </a:ln>
            <a:effectLst/>
          </c:spPr>
          <c:marker>
            <c:symbol val="none"/>
          </c:marker>
          <c:cat>
            <c:multiLvlStrRef>
              <c:f>Pivot!$A$321:$A$328</c:f>
              <c:multiLvlStrCache>
                <c:ptCount val="5"/>
                <c:lvl>
                  <c:pt idx="0">
                    <c:v>Qtr1</c:v>
                  </c:pt>
                  <c:pt idx="1">
                    <c:v>Qtr2</c:v>
                  </c:pt>
                  <c:pt idx="2">
                    <c:v>Qtr3</c:v>
                  </c:pt>
                  <c:pt idx="3">
                    <c:v>Qtr4</c:v>
                  </c:pt>
                  <c:pt idx="4">
                    <c:v>Qtr1</c:v>
                  </c:pt>
                </c:lvl>
                <c:lvl>
                  <c:pt idx="0">
                    <c:v>2023</c:v>
                  </c:pt>
                  <c:pt idx="4">
                    <c:v>2024</c:v>
                  </c:pt>
                </c:lvl>
              </c:multiLvlStrCache>
            </c:multiLvlStrRef>
          </c:cat>
          <c:val>
            <c:numRef>
              <c:f>Pivot!$C$321:$C$328</c:f>
              <c:numCache>
                <c:formatCode>_(* #,##0_);_(* \(#,##0\);_(* "-"??_);_(@_)</c:formatCode>
                <c:ptCount val="5"/>
                <c:pt idx="0">
                  <c:v>3382340.9510999992</c:v>
                </c:pt>
                <c:pt idx="1">
                  <c:v>3030427.4931000005</c:v>
                </c:pt>
                <c:pt idx="2">
                  <c:v>2850130.9751000013</c:v>
                </c:pt>
                <c:pt idx="3">
                  <c:v>2501762.3086000006</c:v>
                </c:pt>
                <c:pt idx="4">
                  <c:v>4041.9807999999998</c:v>
                </c:pt>
              </c:numCache>
            </c:numRef>
          </c:val>
          <c:smooth val="0"/>
          <c:extLst>
            <c:ext xmlns:c16="http://schemas.microsoft.com/office/drawing/2014/chart" uri="{C3380CC4-5D6E-409C-BE32-E72D297353CC}">
              <c16:uniqueId val="{00000000-A752-447C-BCC4-39CC84C70FA9}"/>
            </c:ext>
          </c:extLst>
        </c:ser>
        <c:ser>
          <c:idx val="2"/>
          <c:order val="2"/>
          <c:tx>
            <c:strRef>
              <c:f>Pivot!$D$319:$D$320</c:f>
              <c:strCache>
                <c:ptCount val="1"/>
                <c:pt idx="0">
                  <c:v>Charlie</c:v>
                </c:pt>
              </c:strCache>
            </c:strRef>
          </c:tx>
          <c:spPr>
            <a:ln w="28575" cap="rnd">
              <a:solidFill>
                <a:schemeClr val="accent3"/>
              </a:solidFill>
              <a:round/>
            </a:ln>
            <a:effectLst/>
          </c:spPr>
          <c:marker>
            <c:symbol val="none"/>
          </c:marker>
          <c:cat>
            <c:multiLvlStrRef>
              <c:f>Pivot!$A$321:$A$328</c:f>
              <c:multiLvlStrCache>
                <c:ptCount val="5"/>
                <c:lvl>
                  <c:pt idx="0">
                    <c:v>Qtr1</c:v>
                  </c:pt>
                  <c:pt idx="1">
                    <c:v>Qtr2</c:v>
                  </c:pt>
                  <c:pt idx="2">
                    <c:v>Qtr3</c:v>
                  </c:pt>
                  <c:pt idx="3">
                    <c:v>Qtr4</c:v>
                  </c:pt>
                  <c:pt idx="4">
                    <c:v>Qtr1</c:v>
                  </c:pt>
                </c:lvl>
                <c:lvl>
                  <c:pt idx="0">
                    <c:v>2023</c:v>
                  </c:pt>
                  <c:pt idx="4">
                    <c:v>2024</c:v>
                  </c:pt>
                </c:lvl>
              </c:multiLvlStrCache>
            </c:multiLvlStrRef>
          </c:cat>
          <c:val>
            <c:numRef>
              <c:f>Pivot!$D$321:$D$328</c:f>
              <c:numCache>
                <c:formatCode>_(* #,##0_);_(* \(#,##0\);_(* "-"??_);_(@_)</c:formatCode>
                <c:ptCount val="5"/>
                <c:pt idx="0">
                  <c:v>2914396.6551000001</c:v>
                </c:pt>
                <c:pt idx="1">
                  <c:v>2660621.2568000001</c:v>
                </c:pt>
                <c:pt idx="2">
                  <c:v>2418924.9046999998</c:v>
                </c:pt>
                <c:pt idx="3">
                  <c:v>1833748.0340999993</c:v>
                </c:pt>
              </c:numCache>
            </c:numRef>
          </c:val>
          <c:smooth val="0"/>
          <c:extLst>
            <c:ext xmlns:c16="http://schemas.microsoft.com/office/drawing/2014/chart" uri="{C3380CC4-5D6E-409C-BE32-E72D297353CC}">
              <c16:uniqueId val="{00000001-A752-447C-BCC4-39CC84C70FA9}"/>
            </c:ext>
          </c:extLst>
        </c:ser>
        <c:ser>
          <c:idx val="3"/>
          <c:order val="3"/>
          <c:tx>
            <c:strRef>
              <c:f>Pivot!$E$319:$E$320</c:f>
              <c:strCache>
                <c:ptCount val="1"/>
                <c:pt idx="0">
                  <c:v>David</c:v>
                </c:pt>
              </c:strCache>
            </c:strRef>
          </c:tx>
          <c:spPr>
            <a:ln w="28575" cap="rnd">
              <a:solidFill>
                <a:schemeClr val="accent4"/>
              </a:solidFill>
              <a:round/>
            </a:ln>
            <a:effectLst/>
          </c:spPr>
          <c:marker>
            <c:symbol val="none"/>
          </c:marker>
          <c:cat>
            <c:multiLvlStrRef>
              <c:f>Pivot!$A$321:$A$328</c:f>
              <c:multiLvlStrCache>
                <c:ptCount val="5"/>
                <c:lvl>
                  <c:pt idx="0">
                    <c:v>Qtr1</c:v>
                  </c:pt>
                  <c:pt idx="1">
                    <c:v>Qtr2</c:v>
                  </c:pt>
                  <c:pt idx="2">
                    <c:v>Qtr3</c:v>
                  </c:pt>
                  <c:pt idx="3">
                    <c:v>Qtr4</c:v>
                  </c:pt>
                  <c:pt idx="4">
                    <c:v>Qtr1</c:v>
                  </c:pt>
                </c:lvl>
                <c:lvl>
                  <c:pt idx="0">
                    <c:v>2023</c:v>
                  </c:pt>
                  <c:pt idx="4">
                    <c:v>2024</c:v>
                  </c:pt>
                </c:lvl>
              </c:multiLvlStrCache>
            </c:multiLvlStrRef>
          </c:cat>
          <c:val>
            <c:numRef>
              <c:f>Pivot!$E$321:$E$328</c:f>
              <c:numCache>
                <c:formatCode>_(* #,##0_);_(* \(#,##0\);_(* "-"??_);_(@_)</c:formatCode>
                <c:ptCount val="5"/>
                <c:pt idx="0">
                  <c:v>3074893.6319000004</c:v>
                </c:pt>
                <c:pt idx="1">
                  <c:v>3120038.6709000007</c:v>
                </c:pt>
                <c:pt idx="2">
                  <c:v>2668479.3337000003</c:v>
                </c:pt>
                <c:pt idx="3">
                  <c:v>4798167.3171999995</c:v>
                </c:pt>
                <c:pt idx="4">
                  <c:v>12830.2482</c:v>
                </c:pt>
              </c:numCache>
            </c:numRef>
          </c:val>
          <c:smooth val="0"/>
          <c:extLst>
            <c:ext xmlns:c16="http://schemas.microsoft.com/office/drawing/2014/chart" uri="{C3380CC4-5D6E-409C-BE32-E72D297353CC}">
              <c16:uniqueId val="{00000002-A752-447C-BCC4-39CC84C70FA9}"/>
            </c:ext>
          </c:extLst>
        </c:ser>
        <c:ser>
          <c:idx val="4"/>
          <c:order val="4"/>
          <c:tx>
            <c:strRef>
              <c:f>Pivot!$F$319:$F$320</c:f>
              <c:strCache>
                <c:ptCount val="1"/>
                <c:pt idx="0">
                  <c:v>Eve</c:v>
                </c:pt>
              </c:strCache>
            </c:strRef>
          </c:tx>
          <c:spPr>
            <a:ln w="28575" cap="rnd">
              <a:solidFill>
                <a:schemeClr val="accent5"/>
              </a:solidFill>
              <a:round/>
            </a:ln>
            <a:effectLst/>
          </c:spPr>
          <c:marker>
            <c:symbol val="none"/>
          </c:marker>
          <c:cat>
            <c:multiLvlStrRef>
              <c:f>Pivot!$A$321:$A$328</c:f>
              <c:multiLvlStrCache>
                <c:ptCount val="5"/>
                <c:lvl>
                  <c:pt idx="0">
                    <c:v>Qtr1</c:v>
                  </c:pt>
                  <c:pt idx="1">
                    <c:v>Qtr2</c:v>
                  </c:pt>
                  <c:pt idx="2">
                    <c:v>Qtr3</c:v>
                  </c:pt>
                  <c:pt idx="3">
                    <c:v>Qtr4</c:v>
                  </c:pt>
                  <c:pt idx="4">
                    <c:v>Qtr1</c:v>
                  </c:pt>
                </c:lvl>
                <c:lvl>
                  <c:pt idx="0">
                    <c:v>2023</c:v>
                  </c:pt>
                  <c:pt idx="4">
                    <c:v>2024</c:v>
                  </c:pt>
                </c:lvl>
              </c:multiLvlStrCache>
            </c:multiLvlStrRef>
          </c:cat>
          <c:val>
            <c:numRef>
              <c:f>Pivot!$F$321:$F$328</c:f>
              <c:numCache>
                <c:formatCode>_(* #,##0_);_(* \(#,##0\);_(* "-"??_);_(@_)</c:formatCode>
                <c:ptCount val="5"/>
                <c:pt idx="0">
                  <c:v>3895493.6630999995</c:v>
                </c:pt>
                <c:pt idx="1">
                  <c:v>2894998.7803000002</c:v>
                </c:pt>
                <c:pt idx="2">
                  <c:v>3151730.3826000001</c:v>
                </c:pt>
                <c:pt idx="3">
                  <c:v>2996501.1330999997</c:v>
                </c:pt>
              </c:numCache>
            </c:numRef>
          </c:val>
          <c:smooth val="0"/>
          <c:extLst>
            <c:ext xmlns:c16="http://schemas.microsoft.com/office/drawing/2014/chart" uri="{C3380CC4-5D6E-409C-BE32-E72D297353CC}">
              <c16:uniqueId val="{00000003-A752-447C-BCC4-39CC84C70FA9}"/>
            </c:ext>
          </c:extLst>
        </c:ser>
        <c:dLbls>
          <c:showLegendKey val="0"/>
          <c:showVal val="0"/>
          <c:showCatName val="0"/>
          <c:showSerName val="0"/>
          <c:showPercent val="0"/>
          <c:showBubbleSize val="0"/>
        </c:dLbls>
        <c:smooth val="0"/>
        <c:axId val="834556287"/>
        <c:axId val="834562111"/>
      </c:lineChart>
      <c:catAx>
        <c:axId val="8345562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4562111"/>
        <c:crosses val="autoZero"/>
        <c:auto val="1"/>
        <c:lblAlgn val="ctr"/>
        <c:lblOffset val="100"/>
        <c:noMultiLvlLbl val="0"/>
      </c:catAx>
      <c:valAx>
        <c:axId val="834562111"/>
        <c:scaling>
          <c:orientation val="minMax"/>
        </c:scaling>
        <c:delete val="1"/>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crossAx val="834556287"/>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[AMINAT AMINU A.xlsx]Pivot!PivotTable15</c:name>
    <c:fmtId val="4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s>
    <c:plotArea>
      <c:layout/>
      <c:barChart>
        <c:barDir val="bar"/>
        <c:grouping val="clustered"/>
        <c:varyColors val="0"/>
        <c:ser>
          <c:idx val="0"/>
          <c:order val="0"/>
          <c:tx>
            <c:strRef>
              <c:f>Pivot!$B$360:$B$361</c:f>
              <c:strCache>
                <c:ptCount val="1"/>
                <c:pt idx="0">
                  <c:v>High-Cost</c:v>
                </c:pt>
              </c:strCache>
            </c:strRef>
          </c:tx>
          <c:spPr>
            <a:solidFill>
              <a:schemeClr val="accent1"/>
            </a:solidFill>
            <a:ln>
              <a:noFill/>
            </a:ln>
            <a:effectLst/>
          </c:spPr>
          <c:invertIfNegative val="0"/>
          <c:cat>
            <c:strRef>
              <c:f>Pivot!$A$362:$A$366</c:f>
              <c:strCache>
                <c:ptCount val="4"/>
                <c:pt idx="0">
                  <c:v>East</c:v>
                </c:pt>
                <c:pt idx="1">
                  <c:v>North</c:v>
                </c:pt>
                <c:pt idx="2">
                  <c:v>South</c:v>
                </c:pt>
                <c:pt idx="3">
                  <c:v>West</c:v>
                </c:pt>
              </c:strCache>
            </c:strRef>
          </c:cat>
          <c:val>
            <c:numRef>
              <c:f>Pivot!$B$362:$B$366</c:f>
              <c:numCache>
                <c:formatCode>0.00%</c:formatCode>
                <c:ptCount val="4"/>
                <c:pt idx="0">
                  <c:v>0.73818335755803099</c:v>
                </c:pt>
                <c:pt idx="1">
                  <c:v>0.67395631496340602</c:v>
                </c:pt>
                <c:pt idx="2">
                  <c:v>0.73734882014464576</c:v>
                </c:pt>
                <c:pt idx="3">
                  <c:v>0.6855335528719001</c:v>
                </c:pt>
              </c:numCache>
            </c:numRef>
          </c:val>
          <c:extLst>
            <c:ext xmlns:c16="http://schemas.microsoft.com/office/drawing/2014/chart" uri="{C3380CC4-5D6E-409C-BE32-E72D297353CC}">
              <c16:uniqueId val="{00000000-5DC6-4D32-9624-3470DBA861C1}"/>
            </c:ext>
          </c:extLst>
        </c:ser>
        <c:ser>
          <c:idx val="1"/>
          <c:order val="1"/>
          <c:tx>
            <c:strRef>
              <c:f>Pivot!$C$360:$C$361</c:f>
              <c:strCache>
                <c:ptCount val="1"/>
                <c:pt idx="0">
                  <c:v>Low-Cost</c:v>
                </c:pt>
              </c:strCache>
            </c:strRef>
          </c:tx>
          <c:spPr>
            <a:solidFill>
              <a:schemeClr val="accent2"/>
            </a:solidFill>
            <a:ln>
              <a:noFill/>
            </a:ln>
            <a:effectLst/>
          </c:spPr>
          <c:invertIfNegative val="0"/>
          <c:cat>
            <c:strRef>
              <c:f>Pivot!$A$362:$A$366</c:f>
              <c:strCache>
                <c:ptCount val="4"/>
                <c:pt idx="0">
                  <c:v>East</c:v>
                </c:pt>
                <c:pt idx="1">
                  <c:v>North</c:v>
                </c:pt>
                <c:pt idx="2">
                  <c:v>South</c:v>
                </c:pt>
                <c:pt idx="3">
                  <c:v>West</c:v>
                </c:pt>
              </c:strCache>
            </c:strRef>
          </c:cat>
          <c:val>
            <c:numRef>
              <c:f>Pivot!$C$362:$C$366</c:f>
              <c:numCache>
                <c:formatCode>0.00%</c:formatCode>
                <c:ptCount val="4"/>
                <c:pt idx="0">
                  <c:v>0.26181664244196895</c:v>
                </c:pt>
                <c:pt idx="1">
                  <c:v>0.32604368503659403</c:v>
                </c:pt>
                <c:pt idx="2">
                  <c:v>0.26265117985535413</c:v>
                </c:pt>
                <c:pt idx="3">
                  <c:v>0.31446644712809985</c:v>
                </c:pt>
              </c:numCache>
            </c:numRef>
          </c:val>
          <c:extLst>
            <c:ext xmlns:c16="http://schemas.microsoft.com/office/drawing/2014/chart" uri="{C3380CC4-5D6E-409C-BE32-E72D297353CC}">
              <c16:uniqueId val="{00000001-FC2F-48C5-9B20-34EF9C11754D}"/>
            </c:ext>
          </c:extLst>
        </c:ser>
        <c:dLbls>
          <c:showLegendKey val="0"/>
          <c:showVal val="0"/>
          <c:showCatName val="0"/>
          <c:showSerName val="0"/>
          <c:showPercent val="0"/>
          <c:showBubbleSize val="0"/>
        </c:dLbls>
        <c:gapWidth val="182"/>
        <c:axId val="1662805967"/>
        <c:axId val="1662814703"/>
      </c:barChart>
      <c:catAx>
        <c:axId val="16628059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2814703"/>
        <c:crosses val="autoZero"/>
        <c:auto val="1"/>
        <c:lblAlgn val="ctr"/>
        <c:lblOffset val="100"/>
        <c:noMultiLvlLbl val="0"/>
      </c:catAx>
      <c:valAx>
        <c:axId val="1662814703"/>
        <c:scaling>
          <c:orientation val="minMax"/>
        </c:scaling>
        <c:delete val="1"/>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1662805967"/>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[AMINAT AMINU A.xlsx]Pivot!PivotTable21</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t>PRODUCT BY PROFIT</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s>
    <c:plotArea>
      <c:layout/>
      <c:barChart>
        <c:barDir val="col"/>
        <c:grouping val="clustered"/>
        <c:varyColors val="0"/>
        <c:ser>
          <c:idx val="0"/>
          <c:order val="0"/>
          <c:tx>
            <c:strRef>
              <c:f>Pivot!$B$173</c:f>
              <c:strCache>
                <c:ptCount val="1"/>
                <c:pt idx="0">
                  <c:v>Total</c:v>
                </c:pt>
              </c:strCache>
            </c:strRef>
          </c:tx>
          <c:spPr>
            <a:solidFill>
              <a:schemeClr val="accent1"/>
            </a:solidFill>
            <a:ln>
              <a:noFill/>
            </a:ln>
            <a:effectLst/>
          </c:spPr>
          <c:invertIfNegative val="0"/>
          <c:cat>
            <c:strRef>
              <c:f>Pivot!$A$174:$A$178</c:f>
              <c:strCache>
                <c:ptCount val="4"/>
                <c:pt idx="0">
                  <c:v>Electronics</c:v>
                </c:pt>
                <c:pt idx="1">
                  <c:v>Food</c:v>
                </c:pt>
                <c:pt idx="2">
                  <c:v>Furniture</c:v>
                </c:pt>
                <c:pt idx="3">
                  <c:v>Clothing</c:v>
                </c:pt>
              </c:strCache>
            </c:strRef>
          </c:cat>
          <c:val>
            <c:numRef>
              <c:f>Pivot!$B$174:$B$178</c:f>
              <c:numCache>
                <c:formatCode>0</c:formatCode>
                <c:ptCount val="4"/>
                <c:pt idx="0">
                  <c:v>-843495.22459999996</c:v>
                </c:pt>
                <c:pt idx="1">
                  <c:v>-912451.36920000042</c:v>
                </c:pt>
                <c:pt idx="2">
                  <c:v>-1187042.2571999989</c:v>
                </c:pt>
                <c:pt idx="3">
                  <c:v>-1212931.5052999998</c:v>
                </c:pt>
              </c:numCache>
            </c:numRef>
          </c:val>
          <c:extLst>
            <c:ext xmlns:c16="http://schemas.microsoft.com/office/drawing/2014/chart" uri="{C3380CC4-5D6E-409C-BE32-E72D297353CC}">
              <c16:uniqueId val="{00000000-76D5-4C9B-9444-3D39DB5C7DA0}"/>
            </c:ext>
          </c:extLst>
        </c:ser>
        <c:dLbls>
          <c:showLegendKey val="0"/>
          <c:showVal val="0"/>
          <c:showCatName val="0"/>
          <c:showSerName val="0"/>
          <c:showPercent val="0"/>
          <c:showBubbleSize val="0"/>
        </c:dLbls>
        <c:gapWidth val="150"/>
        <c:axId val="1400554080"/>
        <c:axId val="1400554912"/>
      </c:barChart>
      <c:catAx>
        <c:axId val="1400554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0554912"/>
        <c:crosses val="autoZero"/>
        <c:auto val="1"/>
        <c:lblAlgn val="ctr"/>
        <c:lblOffset val="100"/>
        <c:noMultiLvlLbl val="0"/>
      </c:catAx>
      <c:valAx>
        <c:axId val="1400554912"/>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140055408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[AMINAT AMINU A.xlsx]Pivot!PivotTable8</c:name>
    <c:fmtId val="2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Regional</a:t>
            </a:r>
            <a:r>
              <a:rPr lang="en-US" b="1" baseline="0"/>
              <a:t> Sales Amount</a:t>
            </a:r>
            <a:endParaRPr lang="en-US" b="1"/>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23413670166229222"/>
          <c:y val="0.25865522018081066"/>
          <c:w val="0.59990026246719164"/>
          <c:h val="0.6293157626130067"/>
        </c:manualLayout>
      </c:layout>
      <c:barChart>
        <c:barDir val="bar"/>
        <c:grouping val="clustered"/>
        <c:varyColors val="0"/>
        <c:ser>
          <c:idx val="0"/>
          <c:order val="0"/>
          <c:tx>
            <c:strRef>
              <c:f>Pivot!$B$7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Pivot!$A$8:$A$12</c:f>
              <c:strCache>
                <c:ptCount val="4"/>
                <c:pt idx="0">
                  <c:v>North</c:v>
                </c:pt>
                <c:pt idx="1">
                  <c:v>East</c:v>
                </c:pt>
                <c:pt idx="2">
                  <c:v>West</c:v>
                </c:pt>
                <c:pt idx="3">
                  <c:v>South</c:v>
                </c:pt>
              </c:strCache>
            </c:strRef>
          </c:cat>
          <c:val>
            <c:numRef>
              <c:f>Pivot!$B$8:$B$12</c:f>
              <c:numCache>
                <c:formatCode>0.00%</c:formatCode>
                <c:ptCount val="4"/>
                <c:pt idx="0">
                  <c:v>0.26087017018147779</c:v>
                </c:pt>
                <c:pt idx="1">
                  <c:v>0.25470358356433065</c:v>
                </c:pt>
                <c:pt idx="2">
                  <c:v>0.25163095188247875</c:v>
                </c:pt>
                <c:pt idx="3">
                  <c:v>0.23279529437171281</c:v>
                </c:pt>
              </c:numCache>
            </c:numRef>
          </c:val>
          <c:extLst>
            <c:ext xmlns:c16="http://schemas.microsoft.com/office/drawing/2014/chart" uri="{C3380CC4-5D6E-409C-BE32-E72D297353CC}">
              <c16:uniqueId val="{00000000-E44D-4F48-8608-56AB150616EA}"/>
            </c:ext>
          </c:extLst>
        </c:ser>
        <c:dLbls>
          <c:dLblPos val="outEnd"/>
          <c:showLegendKey val="0"/>
          <c:showVal val="1"/>
          <c:showCatName val="0"/>
          <c:showSerName val="0"/>
          <c:showPercent val="0"/>
          <c:showBubbleSize val="0"/>
        </c:dLbls>
        <c:gapWidth val="182"/>
        <c:axId val="1401256384"/>
        <c:axId val="1401259296"/>
      </c:barChart>
      <c:catAx>
        <c:axId val="14012563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1259296"/>
        <c:crosses val="autoZero"/>
        <c:auto val="1"/>
        <c:lblAlgn val="ctr"/>
        <c:lblOffset val="100"/>
        <c:noMultiLvlLbl val="0"/>
      </c:catAx>
      <c:valAx>
        <c:axId val="1401259296"/>
        <c:scaling>
          <c:orientation val="minMax"/>
        </c:scaling>
        <c:delete val="1"/>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140125638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Pivot!$B$386</c:f>
              <c:strCache>
                <c:ptCount val="1"/>
                <c:pt idx="0">
                  <c:v>Sum of Unit_Cost</c:v>
                </c:pt>
              </c:strCache>
            </c:strRef>
          </c:tx>
          <c:spPr>
            <a:ln w="19050" cap="rnd">
              <a:no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xVal>
            <c:strRef>
              <c:f>Pivot!$A$387:$A$390</c:f>
              <c:strCache>
                <c:ptCount val="4"/>
                <c:pt idx="0">
                  <c:v>Clothing</c:v>
                </c:pt>
                <c:pt idx="1">
                  <c:v>Electronics</c:v>
                </c:pt>
                <c:pt idx="2">
                  <c:v>Food</c:v>
                </c:pt>
                <c:pt idx="3">
                  <c:v>Furniture</c:v>
                </c:pt>
              </c:strCache>
            </c:strRef>
          </c:xVal>
          <c:yVal>
            <c:numRef>
              <c:f>Pivot!$B$387:$B$390</c:f>
              <c:numCache>
                <c:formatCode>_(* #,##0_);_(* \(#,##0\);_(* "-"??_);_(@_)</c:formatCode>
                <c:ptCount val="4"/>
                <c:pt idx="0">
                  <c:v>662117.39999999991</c:v>
                </c:pt>
                <c:pt idx="1">
                  <c:v>642828.18999999925</c:v>
                </c:pt>
                <c:pt idx="2">
                  <c:v>626151.1999999996</c:v>
                </c:pt>
                <c:pt idx="3">
                  <c:v>544207.75999999978</c:v>
                </c:pt>
              </c:numCache>
            </c:numRef>
          </c:yVal>
          <c:smooth val="0"/>
          <c:extLst>
            <c:ext xmlns:c16="http://schemas.microsoft.com/office/drawing/2014/chart" uri="{C3380CC4-5D6E-409C-BE32-E72D297353CC}">
              <c16:uniqueId val="{00000000-69F9-4092-88D7-64732FB64169}"/>
            </c:ext>
          </c:extLst>
        </c:ser>
        <c:ser>
          <c:idx val="1"/>
          <c:order val="1"/>
          <c:tx>
            <c:strRef>
              <c:f>Pivot!$C$386</c:f>
              <c:strCache>
                <c:ptCount val="1"/>
                <c:pt idx="0">
                  <c:v>Sum of Sales Amount</c:v>
                </c:pt>
              </c:strCache>
            </c:strRef>
          </c:tx>
          <c:spPr>
            <a:ln w="19050" cap="rnd">
              <a:no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xVal>
            <c:strRef>
              <c:f>Pivot!$A$387:$A$390</c:f>
              <c:strCache>
                <c:ptCount val="4"/>
                <c:pt idx="0">
                  <c:v>Clothing</c:v>
                </c:pt>
                <c:pt idx="1">
                  <c:v>Electronics</c:v>
                </c:pt>
                <c:pt idx="2">
                  <c:v>Food</c:v>
                </c:pt>
                <c:pt idx="3">
                  <c:v>Furniture</c:v>
                </c:pt>
              </c:strCache>
            </c:strRef>
          </c:xVal>
          <c:yVal>
            <c:numRef>
              <c:f>Pivot!$C$387:$C$390</c:f>
              <c:numCache>
                <c:formatCode>_(* #,##0_);_(* \(#,##0\);_(* "-"??_);_(@_)</c:formatCode>
                <c:ptCount val="4"/>
                <c:pt idx="0">
                  <c:v>16360844.624700002</c:v>
                </c:pt>
                <c:pt idx="1">
                  <c:v>15363777.142799992</c:v>
                </c:pt>
                <c:pt idx="2">
                  <c:v>15153225.285399996</c:v>
                </c:pt>
                <c:pt idx="3">
                  <c:v>12808326.230800003</c:v>
                </c:pt>
              </c:numCache>
            </c:numRef>
          </c:yVal>
          <c:smooth val="0"/>
          <c:extLst>
            <c:ext xmlns:c16="http://schemas.microsoft.com/office/drawing/2014/chart" uri="{C3380CC4-5D6E-409C-BE32-E72D297353CC}">
              <c16:uniqueId val="{00000001-69F9-4092-88D7-64732FB64169}"/>
            </c:ext>
          </c:extLst>
        </c:ser>
        <c:dLbls>
          <c:dLblPos val="t"/>
          <c:showLegendKey val="0"/>
          <c:showVal val="1"/>
          <c:showCatName val="0"/>
          <c:showSerName val="0"/>
          <c:showPercent val="0"/>
          <c:showBubbleSize val="0"/>
        </c:dLbls>
        <c:axId val="1986091775"/>
        <c:axId val="1986080975"/>
      </c:scatterChart>
      <c:valAx>
        <c:axId val="1986091775"/>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6080975"/>
        <c:crosses val="autoZero"/>
        <c:crossBetween val="midCat"/>
      </c:valAx>
      <c:valAx>
        <c:axId val="1986080975"/>
        <c:scaling>
          <c:orientation val="minMax"/>
        </c:scaling>
        <c:delete val="1"/>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crossAx val="1986091775"/>
        <c:crosses val="autoZero"/>
        <c:crossBetween val="midCat"/>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 by</a:t>
            </a:r>
            <a:r>
              <a:rPr lang="en-US" baseline="0"/>
              <a:t> Unit Cost by Sales Amount</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Pivot!$A$387</c:f>
              <c:strCache>
                <c:ptCount val="1"/>
                <c:pt idx="0">
                  <c:v>Clothing</c:v>
                </c:pt>
              </c:strCache>
            </c:strRef>
          </c:tx>
          <c:spPr>
            <a:solidFill>
              <a:schemeClr val="accent1"/>
            </a:solidFill>
            <a:ln>
              <a:noFill/>
            </a:ln>
            <a:effectLst/>
          </c:spPr>
          <c:invertIfNegative val="0"/>
          <c:cat>
            <c:strRef>
              <c:f>Pivot!$B$386:$C$386</c:f>
              <c:strCache>
                <c:ptCount val="2"/>
                <c:pt idx="0">
                  <c:v>Sum of Unit_Cost</c:v>
                </c:pt>
                <c:pt idx="1">
                  <c:v>Sum of Sales Amount</c:v>
                </c:pt>
              </c:strCache>
            </c:strRef>
          </c:cat>
          <c:val>
            <c:numRef>
              <c:f>Pivot!$B$387:$C$387</c:f>
              <c:numCache>
                <c:formatCode>_(* #,##0_);_(* \(#,##0\);_(* "-"??_);_(@_)</c:formatCode>
                <c:ptCount val="2"/>
                <c:pt idx="0">
                  <c:v>662117.39999999991</c:v>
                </c:pt>
                <c:pt idx="1">
                  <c:v>16360844.624700002</c:v>
                </c:pt>
              </c:numCache>
            </c:numRef>
          </c:val>
          <c:extLst>
            <c:ext xmlns:c16="http://schemas.microsoft.com/office/drawing/2014/chart" uri="{C3380CC4-5D6E-409C-BE32-E72D297353CC}">
              <c16:uniqueId val="{00000000-5482-491C-95C1-D2C7E9C73B5E}"/>
            </c:ext>
          </c:extLst>
        </c:ser>
        <c:ser>
          <c:idx val="1"/>
          <c:order val="1"/>
          <c:tx>
            <c:strRef>
              <c:f>Pivot!$A$388</c:f>
              <c:strCache>
                <c:ptCount val="1"/>
                <c:pt idx="0">
                  <c:v>Electronics</c:v>
                </c:pt>
              </c:strCache>
            </c:strRef>
          </c:tx>
          <c:spPr>
            <a:solidFill>
              <a:schemeClr val="accent2"/>
            </a:solidFill>
            <a:ln>
              <a:noFill/>
            </a:ln>
            <a:effectLst/>
          </c:spPr>
          <c:invertIfNegative val="0"/>
          <c:cat>
            <c:strRef>
              <c:f>Pivot!$B$386:$C$386</c:f>
              <c:strCache>
                <c:ptCount val="2"/>
                <c:pt idx="0">
                  <c:v>Sum of Unit_Cost</c:v>
                </c:pt>
                <c:pt idx="1">
                  <c:v>Sum of Sales Amount</c:v>
                </c:pt>
              </c:strCache>
            </c:strRef>
          </c:cat>
          <c:val>
            <c:numRef>
              <c:f>Pivot!$B$388:$C$388</c:f>
              <c:numCache>
                <c:formatCode>_(* #,##0_);_(* \(#,##0\);_(* "-"??_);_(@_)</c:formatCode>
                <c:ptCount val="2"/>
                <c:pt idx="0">
                  <c:v>642828.18999999925</c:v>
                </c:pt>
                <c:pt idx="1">
                  <c:v>15363777.142799992</c:v>
                </c:pt>
              </c:numCache>
            </c:numRef>
          </c:val>
          <c:extLst>
            <c:ext xmlns:c16="http://schemas.microsoft.com/office/drawing/2014/chart" uri="{C3380CC4-5D6E-409C-BE32-E72D297353CC}">
              <c16:uniqueId val="{00000001-5482-491C-95C1-D2C7E9C73B5E}"/>
            </c:ext>
          </c:extLst>
        </c:ser>
        <c:ser>
          <c:idx val="2"/>
          <c:order val="2"/>
          <c:tx>
            <c:strRef>
              <c:f>Pivot!$A$389</c:f>
              <c:strCache>
                <c:ptCount val="1"/>
                <c:pt idx="0">
                  <c:v>Food</c:v>
                </c:pt>
              </c:strCache>
            </c:strRef>
          </c:tx>
          <c:spPr>
            <a:solidFill>
              <a:schemeClr val="accent3"/>
            </a:solidFill>
            <a:ln>
              <a:noFill/>
            </a:ln>
            <a:effectLst/>
          </c:spPr>
          <c:invertIfNegative val="0"/>
          <c:cat>
            <c:strRef>
              <c:f>Pivot!$B$386:$C$386</c:f>
              <c:strCache>
                <c:ptCount val="2"/>
                <c:pt idx="0">
                  <c:v>Sum of Unit_Cost</c:v>
                </c:pt>
                <c:pt idx="1">
                  <c:v>Sum of Sales Amount</c:v>
                </c:pt>
              </c:strCache>
            </c:strRef>
          </c:cat>
          <c:val>
            <c:numRef>
              <c:f>Pivot!$B$389:$C$389</c:f>
              <c:numCache>
                <c:formatCode>_(* #,##0_);_(* \(#,##0\);_(* "-"??_);_(@_)</c:formatCode>
                <c:ptCount val="2"/>
                <c:pt idx="0">
                  <c:v>626151.1999999996</c:v>
                </c:pt>
                <c:pt idx="1">
                  <c:v>15153225.285399996</c:v>
                </c:pt>
              </c:numCache>
            </c:numRef>
          </c:val>
          <c:extLst>
            <c:ext xmlns:c16="http://schemas.microsoft.com/office/drawing/2014/chart" uri="{C3380CC4-5D6E-409C-BE32-E72D297353CC}">
              <c16:uniqueId val="{00000002-5482-491C-95C1-D2C7E9C73B5E}"/>
            </c:ext>
          </c:extLst>
        </c:ser>
        <c:ser>
          <c:idx val="3"/>
          <c:order val="3"/>
          <c:tx>
            <c:strRef>
              <c:f>Pivot!$A$390</c:f>
              <c:strCache>
                <c:ptCount val="1"/>
                <c:pt idx="0">
                  <c:v>Furniture</c:v>
                </c:pt>
              </c:strCache>
            </c:strRef>
          </c:tx>
          <c:spPr>
            <a:solidFill>
              <a:schemeClr val="accent4"/>
            </a:solidFill>
            <a:ln>
              <a:noFill/>
            </a:ln>
            <a:effectLst/>
          </c:spPr>
          <c:invertIfNegative val="0"/>
          <c:cat>
            <c:strRef>
              <c:f>Pivot!$B$386:$C$386</c:f>
              <c:strCache>
                <c:ptCount val="2"/>
                <c:pt idx="0">
                  <c:v>Sum of Unit_Cost</c:v>
                </c:pt>
                <c:pt idx="1">
                  <c:v>Sum of Sales Amount</c:v>
                </c:pt>
              </c:strCache>
            </c:strRef>
          </c:cat>
          <c:val>
            <c:numRef>
              <c:f>Pivot!$B$390:$C$390</c:f>
              <c:numCache>
                <c:formatCode>_(* #,##0_);_(* \(#,##0\);_(* "-"??_);_(@_)</c:formatCode>
                <c:ptCount val="2"/>
                <c:pt idx="0">
                  <c:v>544207.75999999978</c:v>
                </c:pt>
                <c:pt idx="1">
                  <c:v>12808326.230800003</c:v>
                </c:pt>
              </c:numCache>
            </c:numRef>
          </c:val>
          <c:extLst>
            <c:ext xmlns:c16="http://schemas.microsoft.com/office/drawing/2014/chart" uri="{C3380CC4-5D6E-409C-BE32-E72D297353CC}">
              <c16:uniqueId val="{00000003-5482-491C-95C1-D2C7E9C73B5E}"/>
            </c:ext>
          </c:extLst>
        </c:ser>
        <c:dLbls>
          <c:showLegendKey val="0"/>
          <c:showVal val="0"/>
          <c:showCatName val="0"/>
          <c:showSerName val="0"/>
          <c:showPercent val="0"/>
          <c:showBubbleSize val="0"/>
        </c:dLbls>
        <c:gapWidth val="219"/>
        <c:overlap val="-27"/>
        <c:axId val="1767315407"/>
        <c:axId val="1767321023"/>
      </c:barChart>
      <c:catAx>
        <c:axId val="176731540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7321023"/>
        <c:crosses val="autoZero"/>
        <c:auto val="1"/>
        <c:lblAlgn val="ctr"/>
        <c:lblOffset val="100"/>
        <c:noMultiLvlLbl val="0"/>
      </c:catAx>
      <c:valAx>
        <c:axId val="1767321023"/>
        <c:scaling>
          <c:orientation val="minMax"/>
        </c:scaling>
        <c:delete val="1"/>
        <c:axPos val="l"/>
        <c:majorGridlines>
          <c:spPr>
            <a:ln w="9525" cap="flat" cmpd="sng" algn="ctr">
              <a:solidFill>
                <a:schemeClr val="tx1">
                  <a:lumMod val="15000"/>
                  <a:lumOff val="85000"/>
                </a:schemeClr>
              </a:solidFill>
              <a:round/>
            </a:ln>
            <a:effectLst/>
          </c:spPr>
        </c:majorGridlines>
        <c:numFmt formatCode="_(* #,##0_);_(* \(#,##0\);_(* &quot;-&quot;??_);_(@_)" sourceLinked="1"/>
        <c:majorTickMark val="out"/>
        <c:minorTickMark val="none"/>
        <c:tickLblPos val="nextTo"/>
        <c:crossAx val="1767315407"/>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9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9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18" Type="http://schemas.openxmlformats.org/officeDocument/2006/relationships/image" Target="../media/image1.emf"/><Relationship Id="rId3" Type="http://schemas.openxmlformats.org/officeDocument/2006/relationships/chart" Target="../charts/chart3.xml"/><Relationship Id="rId21" Type="http://schemas.openxmlformats.org/officeDocument/2006/relationships/chart" Target="../charts/chart20.xml"/><Relationship Id="rId7" Type="http://schemas.openxmlformats.org/officeDocument/2006/relationships/chart" Target="../charts/chart7.xml"/><Relationship Id="rId12" Type="http://schemas.openxmlformats.org/officeDocument/2006/relationships/chart" Target="../charts/chart12.xml"/><Relationship Id="rId17" Type="http://schemas.openxmlformats.org/officeDocument/2006/relationships/chart" Target="../charts/chart17.xml"/><Relationship Id="rId2" Type="http://schemas.openxmlformats.org/officeDocument/2006/relationships/chart" Target="../charts/chart2.xml"/><Relationship Id="rId16" Type="http://schemas.openxmlformats.org/officeDocument/2006/relationships/chart" Target="../charts/chart16.xml"/><Relationship Id="rId20" Type="http://schemas.openxmlformats.org/officeDocument/2006/relationships/chart" Target="../charts/chart19.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24" Type="http://schemas.openxmlformats.org/officeDocument/2006/relationships/chart" Target="../charts/chart23.xml"/><Relationship Id="rId5" Type="http://schemas.openxmlformats.org/officeDocument/2006/relationships/chart" Target="../charts/chart5.xml"/><Relationship Id="rId15" Type="http://schemas.openxmlformats.org/officeDocument/2006/relationships/chart" Target="../charts/chart15.xml"/><Relationship Id="rId23" Type="http://schemas.openxmlformats.org/officeDocument/2006/relationships/chart" Target="../charts/chart22.xml"/><Relationship Id="rId10" Type="http://schemas.openxmlformats.org/officeDocument/2006/relationships/chart" Target="../charts/chart10.xml"/><Relationship Id="rId19" Type="http://schemas.openxmlformats.org/officeDocument/2006/relationships/chart" Target="../charts/chart18.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4.xml"/><Relationship Id="rId22" Type="http://schemas.openxmlformats.org/officeDocument/2006/relationships/chart" Target="../charts/chart2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31.xml"/><Relationship Id="rId13" Type="http://schemas.openxmlformats.org/officeDocument/2006/relationships/chart" Target="../charts/chart35.xml"/><Relationship Id="rId18" Type="http://schemas.openxmlformats.org/officeDocument/2006/relationships/chart" Target="../charts/chart40.xml"/><Relationship Id="rId3" Type="http://schemas.openxmlformats.org/officeDocument/2006/relationships/chart" Target="../charts/chart26.xml"/><Relationship Id="rId7" Type="http://schemas.openxmlformats.org/officeDocument/2006/relationships/chart" Target="../charts/chart30.xml"/><Relationship Id="rId12" Type="http://schemas.openxmlformats.org/officeDocument/2006/relationships/image" Target="../media/image1.emf"/><Relationship Id="rId17" Type="http://schemas.openxmlformats.org/officeDocument/2006/relationships/chart" Target="../charts/chart39.xml"/><Relationship Id="rId2" Type="http://schemas.openxmlformats.org/officeDocument/2006/relationships/chart" Target="../charts/chart25.xml"/><Relationship Id="rId16" Type="http://schemas.openxmlformats.org/officeDocument/2006/relationships/chart" Target="../charts/chart38.xml"/><Relationship Id="rId1" Type="http://schemas.openxmlformats.org/officeDocument/2006/relationships/chart" Target="../charts/chart24.xml"/><Relationship Id="rId6" Type="http://schemas.openxmlformats.org/officeDocument/2006/relationships/chart" Target="../charts/chart29.xml"/><Relationship Id="rId11" Type="http://schemas.openxmlformats.org/officeDocument/2006/relationships/chart" Target="../charts/chart34.xml"/><Relationship Id="rId5" Type="http://schemas.openxmlformats.org/officeDocument/2006/relationships/chart" Target="../charts/chart28.xml"/><Relationship Id="rId15" Type="http://schemas.openxmlformats.org/officeDocument/2006/relationships/chart" Target="../charts/chart37.xml"/><Relationship Id="rId10" Type="http://schemas.openxmlformats.org/officeDocument/2006/relationships/chart" Target="../charts/chart33.xml"/><Relationship Id="rId19" Type="http://schemas.openxmlformats.org/officeDocument/2006/relationships/chart" Target="../charts/chart41.xml"/><Relationship Id="rId4" Type="http://schemas.openxmlformats.org/officeDocument/2006/relationships/chart" Target="../charts/chart27.xml"/><Relationship Id="rId9" Type="http://schemas.openxmlformats.org/officeDocument/2006/relationships/chart" Target="../charts/chart32.xml"/><Relationship Id="rId14" Type="http://schemas.openxmlformats.org/officeDocument/2006/relationships/chart" Target="../charts/chart36.xml"/></Relationships>
</file>

<file path=xl/drawings/drawing1.xml><?xml version="1.0" encoding="utf-8"?>
<xdr:wsDr xmlns:xdr="http://schemas.openxmlformats.org/drawingml/2006/spreadsheetDrawing" xmlns:a="http://schemas.openxmlformats.org/drawingml/2006/main">
  <xdr:twoCellAnchor>
    <xdr:from>
      <xdr:col>4</xdr:col>
      <xdr:colOff>449580</xdr:colOff>
      <xdr:row>40</xdr:row>
      <xdr:rowOff>114300</xdr:rowOff>
    </xdr:from>
    <xdr:to>
      <xdr:col>8</xdr:col>
      <xdr:colOff>944880</xdr:colOff>
      <xdr:row>54</xdr:row>
      <xdr:rowOff>60960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0</xdr:colOff>
      <xdr:row>27</xdr:row>
      <xdr:rowOff>91440</xdr:rowOff>
    </xdr:from>
    <xdr:to>
      <xdr:col>7</xdr:col>
      <xdr:colOff>1303020</xdr:colOff>
      <xdr:row>40</xdr:row>
      <xdr:rowOff>53340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419100</xdr:colOff>
      <xdr:row>14</xdr:row>
      <xdr:rowOff>22860</xdr:rowOff>
    </xdr:from>
    <xdr:to>
      <xdr:col>7</xdr:col>
      <xdr:colOff>1310640</xdr:colOff>
      <xdr:row>27</xdr:row>
      <xdr:rowOff>91440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114300</xdr:colOff>
      <xdr:row>115</xdr:row>
      <xdr:rowOff>11430</xdr:rowOff>
    </xdr:from>
    <xdr:to>
      <xdr:col>15</xdr:col>
      <xdr:colOff>228600</xdr:colOff>
      <xdr:row>130</xdr:row>
      <xdr:rowOff>11430</xdr:rowOff>
    </xdr:to>
    <xdr:graphicFrame macro="">
      <xdr:nvGraphicFramePr>
        <xdr:cNvPr id="7" name="Chart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365760</xdr:colOff>
      <xdr:row>1</xdr:row>
      <xdr:rowOff>91440</xdr:rowOff>
    </xdr:from>
    <xdr:to>
      <xdr:col>7</xdr:col>
      <xdr:colOff>1325880</xdr:colOff>
      <xdr:row>13</xdr:row>
      <xdr:rowOff>45720</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259080</xdr:colOff>
      <xdr:row>132</xdr:row>
      <xdr:rowOff>83820</xdr:rowOff>
    </xdr:from>
    <xdr:to>
      <xdr:col>13</xdr:col>
      <xdr:colOff>556260</xdr:colOff>
      <xdr:row>146</xdr:row>
      <xdr:rowOff>19050</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251460</xdr:colOff>
      <xdr:row>146</xdr:row>
      <xdr:rowOff>38100</xdr:rowOff>
    </xdr:from>
    <xdr:to>
      <xdr:col>13</xdr:col>
      <xdr:colOff>30480</xdr:colOff>
      <xdr:row>159</xdr:row>
      <xdr:rowOff>175260</xdr:rowOff>
    </xdr:to>
    <xdr:graphicFrame macro="">
      <xdr:nvGraphicFramePr>
        <xdr:cNvPr id="8" name="Chart 7"/>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114300</xdr:colOff>
      <xdr:row>185</xdr:row>
      <xdr:rowOff>160020</xdr:rowOff>
    </xdr:from>
    <xdr:to>
      <xdr:col>7</xdr:col>
      <xdr:colOff>1150620</xdr:colOff>
      <xdr:row>198</xdr:row>
      <xdr:rowOff>41910</xdr:rowOff>
    </xdr:to>
    <xdr:graphicFrame macro="">
      <xdr:nvGraphicFramePr>
        <xdr:cNvPr id="9" name="Chart 8"/>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457200</xdr:colOff>
      <xdr:row>160</xdr:row>
      <xdr:rowOff>7620</xdr:rowOff>
    </xdr:from>
    <xdr:to>
      <xdr:col>7</xdr:col>
      <xdr:colOff>541020</xdr:colOff>
      <xdr:row>171</xdr:row>
      <xdr:rowOff>125730</xdr:rowOff>
    </xdr:to>
    <xdr:graphicFrame macro="">
      <xdr:nvGraphicFramePr>
        <xdr:cNvPr id="10" name="Chart 9"/>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xdr:col>
      <xdr:colOff>967740</xdr:colOff>
      <xdr:row>171</xdr:row>
      <xdr:rowOff>121920</xdr:rowOff>
    </xdr:from>
    <xdr:to>
      <xdr:col>6</xdr:col>
      <xdr:colOff>723900</xdr:colOff>
      <xdr:row>184</xdr:row>
      <xdr:rowOff>140970</xdr:rowOff>
    </xdr:to>
    <xdr:graphicFrame macro="">
      <xdr:nvGraphicFramePr>
        <xdr:cNvPr id="11" name="Chart 10"/>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3</xdr:col>
      <xdr:colOff>182880</xdr:colOff>
      <xdr:row>71</xdr:row>
      <xdr:rowOff>140970</xdr:rowOff>
    </xdr:from>
    <xdr:to>
      <xdr:col>8</xdr:col>
      <xdr:colOff>1013460</xdr:colOff>
      <xdr:row>86</xdr:row>
      <xdr:rowOff>140970</xdr:rowOff>
    </xdr:to>
    <xdr:graphicFrame macro="">
      <xdr:nvGraphicFramePr>
        <xdr:cNvPr id="14" name="Chart 1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3</xdr:col>
      <xdr:colOff>655320</xdr:colOff>
      <xdr:row>99</xdr:row>
      <xdr:rowOff>156210</xdr:rowOff>
    </xdr:from>
    <xdr:to>
      <xdr:col>8</xdr:col>
      <xdr:colOff>289560</xdr:colOff>
      <xdr:row>114</xdr:row>
      <xdr:rowOff>156210</xdr:rowOff>
    </xdr:to>
    <xdr:graphicFrame macro="">
      <xdr:nvGraphicFramePr>
        <xdr:cNvPr id="15" name="Chart 1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3</xdr:col>
      <xdr:colOff>0</xdr:colOff>
      <xdr:row>86</xdr:row>
      <xdr:rowOff>160020</xdr:rowOff>
    </xdr:from>
    <xdr:to>
      <xdr:col>7</xdr:col>
      <xdr:colOff>655320</xdr:colOff>
      <xdr:row>99</xdr:row>
      <xdr:rowOff>133350</xdr:rowOff>
    </xdr:to>
    <xdr:graphicFrame macro="">
      <xdr:nvGraphicFramePr>
        <xdr:cNvPr id="16" name="Chart 1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3</xdr:col>
      <xdr:colOff>304800</xdr:colOff>
      <xdr:row>212</xdr:row>
      <xdr:rowOff>95250</xdr:rowOff>
    </xdr:from>
    <xdr:to>
      <xdr:col>7</xdr:col>
      <xdr:colOff>853440</xdr:colOff>
      <xdr:row>227</xdr:row>
      <xdr:rowOff>95250</xdr:rowOff>
    </xdr:to>
    <xdr:graphicFrame macro="">
      <xdr:nvGraphicFramePr>
        <xdr:cNvPr id="13" name="Chart 1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5</xdr:col>
      <xdr:colOff>403860</xdr:colOff>
      <xdr:row>227</xdr:row>
      <xdr:rowOff>133350</xdr:rowOff>
    </xdr:from>
    <xdr:to>
      <xdr:col>9</xdr:col>
      <xdr:colOff>632460</xdr:colOff>
      <xdr:row>242</xdr:row>
      <xdr:rowOff>133350</xdr:rowOff>
    </xdr:to>
    <xdr:graphicFrame macro="">
      <xdr:nvGraphicFramePr>
        <xdr:cNvPr id="17" name="Chart 1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4</xdr:col>
      <xdr:colOff>53340</xdr:colOff>
      <xdr:row>243</xdr:row>
      <xdr:rowOff>87630</xdr:rowOff>
    </xdr:from>
    <xdr:to>
      <xdr:col>8</xdr:col>
      <xdr:colOff>1066800</xdr:colOff>
      <xdr:row>258</xdr:row>
      <xdr:rowOff>87630</xdr:rowOff>
    </xdr:to>
    <xdr:graphicFrame macro="">
      <xdr:nvGraphicFramePr>
        <xdr:cNvPr id="18" name="Chart 17"/>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4</xdr:col>
      <xdr:colOff>236220</xdr:colOff>
      <xdr:row>260</xdr:row>
      <xdr:rowOff>87630</xdr:rowOff>
    </xdr:from>
    <xdr:to>
      <xdr:col>12</xdr:col>
      <xdr:colOff>312420</xdr:colOff>
      <xdr:row>275</xdr:row>
      <xdr:rowOff>87630</xdr:rowOff>
    </xdr:to>
    <xdr:graphicFrame macro="">
      <xdr:nvGraphicFramePr>
        <xdr:cNvPr id="19" name="Chart 18"/>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oneCellAnchor>
    <xdr:from>
      <xdr:col>7</xdr:col>
      <xdr:colOff>1257300</xdr:colOff>
      <xdr:row>288</xdr:row>
      <xdr:rowOff>144780</xdr:rowOff>
    </xdr:from>
    <xdr:ext cx="2705100" cy="802714"/>
    <xdr:pic>
      <xdr:nvPicPr>
        <xdr:cNvPr id="25" name="Picture 24"/>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7376160" y="52814220"/>
          <a:ext cx="2705100" cy="802714"/>
        </a:xfrm>
        <a:prstGeom prst="rect">
          <a:avLst/>
        </a:prstGeom>
        <a:solidFill>
          <a:schemeClr val="accent6"/>
        </a:solidFill>
      </xdr:spPr>
    </xdr:pic>
    <xdr:clientData/>
  </xdr:oneCellAnchor>
  <xdr:twoCellAnchor>
    <xdr:from>
      <xdr:col>5</xdr:col>
      <xdr:colOff>491490</xdr:colOff>
      <xdr:row>300</xdr:row>
      <xdr:rowOff>91440</xdr:rowOff>
    </xdr:from>
    <xdr:to>
      <xdr:col>12</xdr:col>
      <xdr:colOff>533400</xdr:colOff>
      <xdr:row>315</xdr:row>
      <xdr:rowOff>91440</xdr:rowOff>
    </xdr:to>
    <xdr:graphicFrame macro="">
      <xdr:nvGraphicFramePr>
        <xdr:cNvPr id="27" name="Chart 2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7</xdr:col>
      <xdr:colOff>83820</xdr:colOff>
      <xdr:row>317</xdr:row>
      <xdr:rowOff>129540</xdr:rowOff>
    </xdr:from>
    <xdr:to>
      <xdr:col>13</xdr:col>
      <xdr:colOff>461010</xdr:colOff>
      <xdr:row>332</xdr:row>
      <xdr:rowOff>129540</xdr:rowOff>
    </xdr:to>
    <xdr:graphicFrame macro="">
      <xdr:nvGraphicFramePr>
        <xdr:cNvPr id="29" name="Chart 28"/>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4</xdr:col>
      <xdr:colOff>236220</xdr:colOff>
      <xdr:row>357</xdr:row>
      <xdr:rowOff>91440</xdr:rowOff>
    </xdr:from>
    <xdr:to>
      <xdr:col>11</xdr:col>
      <xdr:colOff>320040</xdr:colOff>
      <xdr:row>372</xdr:row>
      <xdr:rowOff>91440</xdr:rowOff>
    </xdr:to>
    <xdr:graphicFrame macro="">
      <xdr:nvGraphicFramePr>
        <xdr:cNvPr id="12" name="Chart 1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4</xdr:col>
      <xdr:colOff>350520</xdr:colOff>
      <xdr:row>376</xdr:row>
      <xdr:rowOff>26670</xdr:rowOff>
    </xdr:from>
    <xdr:to>
      <xdr:col>11</xdr:col>
      <xdr:colOff>53340</xdr:colOff>
      <xdr:row>391</xdr:row>
      <xdr:rowOff>26670</xdr:rowOff>
    </xdr:to>
    <xdr:graphicFrame macro="">
      <xdr:nvGraphicFramePr>
        <xdr:cNvPr id="20" name="Chart 19"/>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11</xdr:col>
      <xdr:colOff>320040</xdr:colOff>
      <xdr:row>376</xdr:row>
      <xdr:rowOff>34290</xdr:rowOff>
    </xdr:from>
    <xdr:to>
      <xdr:col>18</xdr:col>
      <xdr:colOff>525780</xdr:colOff>
      <xdr:row>391</xdr:row>
      <xdr:rowOff>34290</xdr:rowOff>
    </xdr:to>
    <xdr:graphicFrame macro="">
      <xdr:nvGraphicFramePr>
        <xdr:cNvPr id="21" name="Chart 20"/>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3</xdr:col>
      <xdr:colOff>457200</xdr:colOff>
      <xdr:row>392</xdr:row>
      <xdr:rowOff>19050</xdr:rowOff>
    </xdr:from>
    <xdr:to>
      <xdr:col>10</xdr:col>
      <xdr:colOff>335280</xdr:colOff>
      <xdr:row>407</xdr:row>
      <xdr:rowOff>19050</xdr:rowOff>
    </xdr:to>
    <xdr:graphicFrame macro="">
      <xdr:nvGraphicFramePr>
        <xdr:cNvPr id="23" name="Chart 2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8</xdr:col>
      <xdr:colOff>106680</xdr:colOff>
      <xdr:row>5</xdr:row>
      <xdr:rowOff>22860</xdr:rowOff>
    </xdr:from>
    <xdr:to>
      <xdr:col>16</xdr:col>
      <xdr:colOff>205740</xdr:colOff>
      <xdr:row>18</xdr:row>
      <xdr:rowOff>129540</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7620</xdr:colOff>
      <xdr:row>18</xdr:row>
      <xdr:rowOff>152400</xdr:rowOff>
    </xdr:from>
    <xdr:to>
      <xdr:col>8</xdr:col>
      <xdr:colOff>114300</xdr:colOff>
      <xdr:row>30</xdr:row>
      <xdr:rowOff>87630</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7620</xdr:colOff>
      <xdr:row>61</xdr:row>
      <xdr:rowOff>15240</xdr:rowOff>
    </xdr:from>
    <xdr:to>
      <xdr:col>8</xdr:col>
      <xdr:colOff>236220</xdr:colOff>
      <xdr:row>75</xdr:row>
      <xdr:rowOff>7620</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15240</xdr:colOff>
      <xdr:row>137</xdr:row>
      <xdr:rowOff>15240</xdr:rowOff>
    </xdr:from>
    <xdr:to>
      <xdr:col>9</xdr:col>
      <xdr:colOff>106680</xdr:colOff>
      <xdr:row>151</xdr:row>
      <xdr:rowOff>121920</xdr:rowOff>
    </xdr:to>
    <xdr:graphicFrame macro="">
      <xdr:nvGraphicFramePr>
        <xdr:cNvPr id="10" name="Chart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838200</xdr:colOff>
      <xdr:row>30</xdr:row>
      <xdr:rowOff>91440</xdr:rowOff>
    </xdr:from>
    <xdr:to>
      <xdr:col>8</xdr:col>
      <xdr:colOff>121920</xdr:colOff>
      <xdr:row>43</xdr:row>
      <xdr:rowOff>53340</xdr:rowOff>
    </xdr:to>
    <xdr:graphicFrame macro="">
      <xdr:nvGraphicFramePr>
        <xdr:cNvPr id="15" name="Chart 1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251460</xdr:colOff>
      <xdr:row>60</xdr:row>
      <xdr:rowOff>220980</xdr:rowOff>
    </xdr:from>
    <xdr:to>
      <xdr:col>15</xdr:col>
      <xdr:colOff>15240</xdr:colOff>
      <xdr:row>75</xdr:row>
      <xdr:rowOff>7620</xdr:rowOff>
    </xdr:to>
    <xdr:graphicFrame macro="">
      <xdr:nvGraphicFramePr>
        <xdr:cNvPr id="16" name="Chart 1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845820</xdr:colOff>
      <xdr:row>75</xdr:row>
      <xdr:rowOff>22860</xdr:rowOff>
    </xdr:from>
    <xdr:to>
      <xdr:col>8</xdr:col>
      <xdr:colOff>510540</xdr:colOff>
      <xdr:row>90</xdr:row>
      <xdr:rowOff>144780</xdr:rowOff>
    </xdr:to>
    <xdr:graphicFrame macro="">
      <xdr:nvGraphicFramePr>
        <xdr:cNvPr id="20" name="Chart 1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0</xdr:colOff>
      <xdr:row>92</xdr:row>
      <xdr:rowOff>0</xdr:rowOff>
    </xdr:from>
    <xdr:to>
      <xdr:col>8</xdr:col>
      <xdr:colOff>502920</xdr:colOff>
      <xdr:row>106</xdr:row>
      <xdr:rowOff>121920</xdr:rowOff>
    </xdr:to>
    <xdr:graphicFrame macro="">
      <xdr:nvGraphicFramePr>
        <xdr:cNvPr id="23" name="Chart 2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8</xdr:col>
      <xdr:colOff>518160</xdr:colOff>
      <xdr:row>92</xdr:row>
      <xdr:rowOff>7620</xdr:rowOff>
    </xdr:from>
    <xdr:to>
      <xdr:col>15</xdr:col>
      <xdr:colOff>243840</xdr:colOff>
      <xdr:row>106</xdr:row>
      <xdr:rowOff>137160</xdr:rowOff>
    </xdr:to>
    <xdr:graphicFrame macro="">
      <xdr:nvGraphicFramePr>
        <xdr:cNvPr id="25" name="Chart 2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8</xdr:col>
      <xdr:colOff>518160</xdr:colOff>
      <xdr:row>75</xdr:row>
      <xdr:rowOff>15240</xdr:rowOff>
    </xdr:from>
    <xdr:to>
      <xdr:col>15</xdr:col>
      <xdr:colOff>7620</xdr:colOff>
      <xdr:row>90</xdr:row>
      <xdr:rowOff>137160</xdr:rowOff>
    </xdr:to>
    <xdr:graphicFrame macro="">
      <xdr:nvGraphicFramePr>
        <xdr:cNvPr id="28" name="Chart 2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xdr:col>
      <xdr:colOff>0</xdr:colOff>
      <xdr:row>124</xdr:row>
      <xdr:rowOff>0</xdr:rowOff>
    </xdr:from>
    <xdr:to>
      <xdr:col>9</xdr:col>
      <xdr:colOff>106680</xdr:colOff>
      <xdr:row>137</xdr:row>
      <xdr:rowOff>7620</xdr:rowOff>
    </xdr:to>
    <xdr:graphicFrame macro="">
      <xdr:nvGraphicFramePr>
        <xdr:cNvPr id="36" name="Chart 3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8</xdr:col>
      <xdr:colOff>121920</xdr:colOff>
      <xdr:row>33</xdr:row>
      <xdr:rowOff>152400</xdr:rowOff>
    </xdr:from>
    <xdr:to>
      <xdr:col>14</xdr:col>
      <xdr:colOff>160020</xdr:colOff>
      <xdr:row>41</xdr:row>
      <xdr:rowOff>45720</xdr:rowOff>
    </xdr:to>
    <xdr:pic>
      <xdr:nvPicPr>
        <xdr:cNvPr id="30" name="Picture 29"/>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5463540" y="6416040"/>
          <a:ext cx="3695700" cy="1356360"/>
        </a:xfrm>
        <a:prstGeom prst="rect">
          <a:avLst/>
        </a:prstGeom>
        <a:solidFill>
          <a:schemeClr val="accent6"/>
        </a:solidFill>
      </xdr:spPr>
    </xdr:pic>
    <xdr:clientData/>
  </xdr:twoCellAnchor>
  <xdr:twoCellAnchor>
    <xdr:from>
      <xdr:col>8</xdr:col>
      <xdr:colOff>106680</xdr:colOff>
      <xdr:row>18</xdr:row>
      <xdr:rowOff>144780</xdr:rowOff>
    </xdr:from>
    <xdr:to>
      <xdr:col>16</xdr:col>
      <xdr:colOff>194310</xdr:colOff>
      <xdr:row>33</xdr:row>
      <xdr:rowOff>144780</xdr:rowOff>
    </xdr:to>
    <xdr:graphicFrame macro="">
      <xdr:nvGraphicFramePr>
        <xdr:cNvPr id="35" name="Chart 3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15</xdr:col>
      <xdr:colOff>22860</xdr:colOff>
      <xdr:row>63</xdr:row>
      <xdr:rowOff>30480</xdr:rowOff>
    </xdr:from>
    <xdr:to>
      <xdr:col>22</xdr:col>
      <xdr:colOff>327660</xdr:colOff>
      <xdr:row>84</xdr:row>
      <xdr:rowOff>15240</xdr:rowOff>
    </xdr:to>
    <xdr:graphicFrame macro="">
      <xdr:nvGraphicFramePr>
        <xdr:cNvPr id="37" name="Chart 3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2</xdr:col>
      <xdr:colOff>15240</xdr:colOff>
      <xdr:row>106</xdr:row>
      <xdr:rowOff>137160</xdr:rowOff>
    </xdr:from>
    <xdr:to>
      <xdr:col>9</xdr:col>
      <xdr:colOff>99060</xdr:colOff>
      <xdr:row>121</xdr:row>
      <xdr:rowOff>137160</xdr:rowOff>
    </xdr:to>
    <xdr:graphicFrame macro="">
      <xdr:nvGraphicFramePr>
        <xdr:cNvPr id="24" name="Chart 2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9</xdr:col>
      <xdr:colOff>114300</xdr:colOff>
      <xdr:row>124</xdr:row>
      <xdr:rowOff>0</xdr:rowOff>
    </xdr:from>
    <xdr:to>
      <xdr:col>16</xdr:col>
      <xdr:colOff>411480</xdr:colOff>
      <xdr:row>137</xdr:row>
      <xdr:rowOff>19050</xdr:rowOff>
    </xdr:to>
    <xdr:graphicFrame macro="">
      <xdr:nvGraphicFramePr>
        <xdr:cNvPr id="27" name="Chart 2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2</xdr:col>
      <xdr:colOff>0</xdr:colOff>
      <xdr:row>5</xdr:row>
      <xdr:rowOff>38100</xdr:rowOff>
    </xdr:from>
    <xdr:to>
      <xdr:col>8</xdr:col>
      <xdr:colOff>106680</xdr:colOff>
      <xdr:row>18</xdr:row>
      <xdr:rowOff>137160</xdr:rowOff>
    </xdr:to>
    <xdr:graphicFrame macro="">
      <xdr:nvGraphicFramePr>
        <xdr:cNvPr id="22" name="Chart 2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oneCell">
    <xdr:from>
      <xdr:col>0</xdr:col>
      <xdr:colOff>0</xdr:colOff>
      <xdr:row>5</xdr:row>
      <xdr:rowOff>152400</xdr:rowOff>
    </xdr:from>
    <xdr:to>
      <xdr:col>1</xdr:col>
      <xdr:colOff>845820</xdr:colOff>
      <xdr:row>12</xdr:row>
      <xdr:rowOff>99059</xdr:rowOff>
    </xdr:to>
    <mc:AlternateContent xmlns:mc="http://schemas.openxmlformats.org/markup-compatibility/2006" xmlns:a14="http://schemas.microsoft.com/office/drawing/2010/main">
      <mc:Choice Requires="a14">
        <xdr:graphicFrame macro="">
          <xdr:nvGraphicFramePr>
            <xdr:cNvPr id="3"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1295400"/>
              <a:ext cx="1455420" cy="12268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18</xdr:row>
      <xdr:rowOff>160021</xdr:rowOff>
    </xdr:from>
    <xdr:to>
      <xdr:col>2</xdr:col>
      <xdr:colOff>0</xdr:colOff>
      <xdr:row>26</xdr:row>
      <xdr:rowOff>144781</xdr:rowOff>
    </xdr:to>
    <mc:AlternateContent xmlns:mc="http://schemas.openxmlformats.org/markup-compatibility/2006" xmlns:a14="http://schemas.microsoft.com/office/drawing/2010/main">
      <mc:Choice Requires="a14">
        <xdr:graphicFrame macro="">
          <xdr:nvGraphicFramePr>
            <xdr:cNvPr id="5" name="Sale_Date"/>
            <xdr:cNvGraphicFramePr/>
          </xdr:nvGraphicFramePr>
          <xdr:xfrm>
            <a:off x="0" y="0"/>
            <a:ext cx="0" cy="0"/>
          </xdr:xfrm>
          <a:graphic>
            <a:graphicData uri="http://schemas.microsoft.com/office/drawing/2010/slicer">
              <sle:slicer xmlns:sle="http://schemas.microsoft.com/office/drawing/2010/slicer" name="Sale_Date"/>
            </a:graphicData>
          </a:graphic>
        </xdr:graphicFrame>
      </mc:Choice>
      <mc:Fallback xmlns="">
        <xdr:sp macro="" textlink="">
          <xdr:nvSpPr>
            <xdr:cNvPr id="0" name=""/>
            <xdr:cNvSpPr>
              <a:spLocks noTextEdit="1"/>
            </xdr:cNvSpPr>
          </xdr:nvSpPr>
          <xdr:spPr>
            <a:xfrm>
              <a:off x="0" y="3680461"/>
              <a:ext cx="1463040" cy="14478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0</xdr:row>
      <xdr:rowOff>0</xdr:rowOff>
    </xdr:from>
    <xdr:to>
      <xdr:col>1</xdr:col>
      <xdr:colOff>838200</xdr:colOff>
      <xdr:row>5</xdr:row>
      <xdr:rowOff>152400</xdr:rowOff>
    </xdr:to>
    <mc:AlternateContent xmlns:mc="http://schemas.openxmlformats.org/markup-compatibility/2006" xmlns:a14="http://schemas.microsoft.com/office/drawing/2010/main">
      <mc:Choice Requires="a14">
        <xdr:graphicFrame macro="">
          <xdr:nvGraphicFramePr>
            <xdr:cNvPr id="7" name="Sales_Rep"/>
            <xdr:cNvGraphicFramePr/>
          </xdr:nvGraphicFramePr>
          <xdr:xfrm>
            <a:off x="0" y="0"/>
            <a:ext cx="0" cy="0"/>
          </xdr:xfrm>
          <a:graphic>
            <a:graphicData uri="http://schemas.microsoft.com/office/drawing/2010/slicer">
              <sle:slicer xmlns:sle="http://schemas.microsoft.com/office/drawing/2010/slicer" name="Sales_Rep"/>
            </a:graphicData>
          </a:graphic>
        </xdr:graphicFrame>
      </mc:Choice>
      <mc:Fallback xmlns="">
        <xdr:sp macro="" textlink="">
          <xdr:nvSpPr>
            <xdr:cNvPr id="0" name=""/>
            <xdr:cNvSpPr>
              <a:spLocks noTextEdit="1"/>
            </xdr:cNvSpPr>
          </xdr:nvSpPr>
          <xdr:spPr>
            <a:xfrm>
              <a:off x="0" y="0"/>
              <a:ext cx="1447800" cy="1295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12</xdr:row>
      <xdr:rowOff>106681</xdr:rowOff>
    </xdr:from>
    <xdr:to>
      <xdr:col>1</xdr:col>
      <xdr:colOff>845820</xdr:colOff>
      <xdr:row>18</xdr:row>
      <xdr:rowOff>152401</xdr:rowOff>
    </xdr:to>
    <mc:AlternateContent xmlns:mc="http://schemas.openxmlformats.org/markup-compatibility/2006" xmlns:a14="http://schemas.microsoft.com/office/drawing/2010/main">
      <mc:Choice Requires="a14">
        <xdr:graphicFrame macro="">
          <xdr:nvGraphicFramePr>
            <xdr:cNvPr id="9" name="Product_Category"/>
            <xdr:cNvGraphicFramePr/>
          </xdr:nvGraphicFramePr>
          <xdr:xfrm>
            <a:off x="0" y="0"/>
            <a:ext cx="0" cy="0"/>
          </xdr:xfrm>
          <a:graphic>
            <a:graphicData uri="http://schemas.microsoft.com/office/drawing/2010/slicer">
              <sle:slicer xmlns:sle="http://schemas.microsoft.com/office/drawing/2010/slicer" name="Product_Category"/>
            </a:graphicData>
          </a:graphic>
        </xdr:graphicFrame>
      </mc:Choice>
      <mc:Fallback xmlns="">
        <xdr:sp macro="" textlink="">
          <xdr:nvSpPr>
            <xdr:cNvPr id="0" name=""/>
            <xdr:cNvSpPr>
              <a:spLocks noTextEdit="1"/>
            </xdr:cNvSpPr>
          </xdr:nvSpPr>
          <xdr:spPr>
            <a:xfrm>
              <a:off x="0" y="2529841"/>
              <a:ext cx="1455420" cy="1143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34</xdr:row>
      <xdr:rowOff>53340</xdr:rowOff>
    </xdr:from>
    <xdr:to>
      <xdr:col>2</xdr:col>
      <xdr:colOff>22860</xdr:colOff>
      <xdr:row>39</xdr:row>
      <xdr:rowOff>114299</xdr:rowOff>
    </xdr:to>
    <mc:AlternateContent xmlns:mc="http://schemas.openxmlformats.org/markup-compatibility/2006" xmlns:a14="http://schemas.microsoft.com/office/drawing/2010/main">
      <mc:Choice Requires="a14">
        <xdr:graphicFrame macro="">
          <xdr:nvGraphicFramePr>
            <xdr:cNvPr id="11" name="Cost Category"/>
            <xdr:cNvGraphicFramePr/>
          </xdr:nvGraphicFramePr>
          <xdr:xfrm>
            <a:off x="0" y="0"/>
            <a:ext cx="0" cy="0"/>
          </xdr:xfrm>
          <a:graphic>
            <a:graphicData uri="http://schemas.microsoft.com/office/drawing/2010/slicer">
              <sle:slicer xmlns:sle="http://schemas.microsoft.com/office/drawing/2010/slicer" name="Cost Category"/>
            </a:graphicData>
          </a:graphic>
        </xdr:graphicFrame>
      </mc:Choice>
      <mc:Fallback xmlns="">
        <xdr:sp macro="" textlink="">
          <xdr:nvSpPr>
            <xdr:cNvPr id="0" name=""/>
            <xdr:cNvSpPr>
              <a:spLocks noTextEdit="1"/>
            </xdr:cNvSpPr>
          </xdr:nvSpPr>
          <xdr:spPr>
            <a:xfrm>
              <a:off x="0" y="6499860"/>
              <a:ext cx="1485900" cy="9753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26</xdr:row>
      <xdr:rowOff>160021</xdr:rowOff>
    </xdr:from>
    <xdr:to>
      <xdr:col>1</xdr:col>
      <xdr:colOff>845820</xdr:colOff>
      <xdr:row>34</xdr:row>
      <xdr:rowOff>53340</xdr:rowOff>
    </xdr:to>
    <mc:AlternateContent xmlns:mc="http://schemas.openxmlformats.org/markup-compatibility/2006" xmlns:a14="http://schemas.microsoft.com/office/drawing/2010/main">
      <mc:Choice Requires="a14">
        <xdr:graphicFrame macro="">
          <xdr:nvGraphicFramePr>
            <xdr:cNvPr id="12" name="Quarters"/>
            <xdr:cNvGraphicFramePr/>
          </xdr:nvGraphicFramePr>
          <xdr:xfrm>
            <a:off x="0" y="0"/>
            <a:ext cx="0" cy="0"/>
          </xdr:xfrm>
          <a:graphic>
            <a:graphicData uri="http://schemas.microsoft.com/office/drawing/2010/slicer">
              <sle:slicer xmlns:sle="http://schemas.microsoft.com/office/drawing/2010/slicer" name="Quarters"/>
            </a:graphicData>
          </a:graphic>
        </xdr:graphicFrame>
      </mc:Choice>
      <mc:Fallback xmlns="">
        <xdr:sp macro="" textlink="">
          <xdr:nvSpPr>
            <xdr:cNvPr id="0" name=""/>
            <xdr:cNvSpPr>
              <a:spLocks noTextEdit="1"/>
            </xdr:cNvSpPr>
          </xdr:nvSpPr>
          <xdr:spPr>
            <a:xfrm>
              <a:off x="0" y="5143501"/>
              <a:ext cx="1455420" cy="13563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144780</xdr:colOff>
      <xdr:row>151</xdr:row>
      <xdr:rowOff>129540</xdr:rowOff>
    </xdr:from>
    <xdr:to>
      <xdr:col>12</xdr:col>
      <xdr:colOff>449580</xdr:colOff>
      <xdr:row>165</xdr:row>
      <xdr:rowOff>129540</xdr:rowOff>
    </xdr:to>
    <xdr:graphicFrame macro="">
      <xdr:nvGraphicFramePr>
        <xdr:cNvPr id="26" name="Chart 2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9</xdr:col>
      <xdr:colOff>137160</xdr:colOff>
      <xdr:row>137</xdr:row>
      <xdr:rowOff>38100</xdr:rowOff>
    </xdr:from>
    <xdr:to>
      <xdr:col>16</xdr:col>
      <xdr:colOff>457200</xdr:colOff>
      <xdr:row>151</xdr:row>
      <xdr:rowOff>129540</xdr:rowOff>
    </xdr:to>
    <xdr:graphicFrame macro="">
      <xdr:nvGraphicFramePr>
        <xdr:cNvPr id="29" name="Chart 2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r:id="rId1" refreshedBy="User" refreshedDate="45986.463201620369" createdVersion="6" refreshedVersion="6" minRefreshableVersion="3" recordCount="1000">
  <cacheSource type="worksheet">
    <worksheetSource ref="A1:U1001" sheet="sales_data_For Excel Dashboard."/>
  </cacheSource>
  <cacheFields count="25">
    <cacheField name="Product_ID" numFmtId="0">
      <sharedItems containsSemiMixedTypes="0" containsString="0" containsNumber="1" containsInteger="1" minValue="1001" maxValue="1100"/>
    </cacheField>
    <cacheField name="Sale_Date" numFmtId="14">
      <sharedItems containsSemiMixedTypes="0" containsNonDate="0" containsDate="1" containsString="0" minDate="2023-01-01T00:00:00" maxDate="2024-01-02T00:00:00" count="340">
        <d v="2023-08-03T00:00:00"/>
        <d v="2023-08-04T00:00:00"/>
        <d v="2023-08-05T00:00:00"/>
        <d v="2023-10-08T00:00:00"/>
        <d v="2023-05-10T00:00:00"/>
        <d v="2023-10-10T00:00:00"/>
        <d v="2023-05-11T00:00:00"/>
        <d v="2023-11-12T00:00:00"/>
        <d v="2023-04-14T00:00:00"/>
        <d v="2023-05-14T00:00:00"/>
        <d v="2023-09-14T00:00:00"/>
        <d v="2023-11-14T00:00:00"/>
        <d v="2023-02-18T00:00:00"/>
        <d v="2023-12-22T00:00:00"/>
        <d v="2023-04-27T00:00:00"/>
        <d v="2023-05-27T00:00:00"/>
        <d v="2023-01-04T00:00:00"/>
        <d v="2023-04-11T00:00:00"/>
        <d v="2023-10-14T00:00:00"/>
        <d v="2023-06-19T00:00:00"/>
        <d v="2023-02-20T00:00:00"/>
        <d v="2023-10-20T00:00:00"/>
        <d v="2023-05-21T00:00:00"/>
        <d v="2023-04-22T00:00:00"/>
        <d v="2023-11-29T00:00:00"/>
        <d v="2023-05-30T00:00:00"/>
        <d v="2023-07-31T00:00:00"/>
        <d v="2023-09-11T00:00:00"/>
        <d v="2023-07-17T00:00:00"/>
        <d v="2023-02-19T00:00:00"/>
        <d v="2023-01-21T00:00:00"/>
        <d v="2023-11-24T00:00:00"/>
        <d v="2023-07-25T00:00:00"/>
        <d v="2023-04-28T00:00:00"/>
        <d v="2023-12-30T00:00:00"/>
        <d v="2023-12-31T00:00:00"/>
        <d v="2023-07-07T00:00:00"/>
        <d v="2023-07-13T00:00:00"/>
        <d v="2023-06-15T00:00:00"/>
        <d v="2023-05-17T00:00:00"/>
        <d v="2023-11-18T00:00:00"/>
        <d v="2023-06-22T00:00:00"/>
        <d v="2023-06-27T00:00:00"/>
        <d v="2023-06-28T00:00:00"/>
        <d v="2023-09-28T00:00:00"/>
        <d v="2023-03-31T00:00:00"/>
        <d v="2023-04-02T00:00:00"/>
        <d v="2023-03-08T00:00:00"/>
        <d v="2023-09-08T00:00:00"/>
        <d v="2023-08-20T00:00:00"/>
        <d v="2023-09-24T00:00:00"/>
        <d v="2023-03-25T00:00:00"/>
        <d v="2023-05-25T00:00:00"/>
        <d v="2023-12-25T00:00:00"/>
        <d v="2023-11-28T00:00:00"/>
        <d v="2023-03-30T00:00:00"/>
        <d v="2023-06-06T00:00:00"/>
        <d v="2023-11-06T00:00:00"/>
        <d v="2023-09-16T00:00:00"/>
        <d v="2023-09-18T00:00:00"/>
        <d v="2023-01-22T00:00:00"/>
        <d v="2023-09-26T00:00:00"/>
        <d v="2023-05-28T00:00:00"/>
        <d v="2023-04-30T00:00:00"/>
        <d v="2023-03-03T00:00:00"/>
        <d v="2023-04-08T00:00:00"/>
        <d v="2023-06-14T00:00:00"/>
        <d v="2023-08-17T00:00:00"/>
        <d v="2023-02-28T00:00:00"/>
        <d v="2023-01-29T00:00:00"/>
        <d v="2023-01-01T00:00:00"/>
        <d v="2023-12-05T00:00:00"/>
        <d v="2023-12-08T00:00:00"/>
        <d v="2023-06-12T00:00:00"/>
        <d v="2023-04-13T00:00:00"/>
        <d v="2023-10-13T00:00:00"/>
        <d v="2023-12-20T00:00:00"/>
        <d v="2023-04-23T00:00:00"/>
        <d v="2023-02-24T00:00:00"/>
        <d v="2023-08-27T00:00:00"/>
        <d v="2023-11-01T00:00:00"/>
        <d v="2023-03-04T00:00:00"/>
        <d v="2023-01-17T00:00:00"/>
        <d v="2023-04-21T00:00:00"/>
        <d v="2023-10-12T00:00:00"/>
        <d v="2023-04-15T00:00:00"/>
        <d v="2023-02-16T00:00:00"/>
        <d v="2023-03-27T00:00:00"/>
        <d v="2023-03-29T00:00:00"/>
        <d v="2023-12-03T00:00:00"/>
        <d v="2023-03-20T00:00:00"/>
        <d v="2023-01-25T00:00:00"/>
        <d v="2023-06-08T00:00:00"/>
        <d v="2023-05-09T00:00:00"/>
        <d v="2023-01-13T00:00:00"/>
        <d v="2023-12-15T00:00:00"/>
        <d v="2023-04-18T00:00:00"/>
        <d v="2023-05-20T00:00:00"/>
        <d v="2023-06-20T00:00:00"/>
        <d v="2023-11-20T00:00:00"/>
        <d v="2023-10-22T00:00:00"/>
        <d v="2023-06-01T00:00:00"/>
        <d v="2023-02-03T00:00:00"/>
        <d v="2023-09-07T00:00:00"/>
        <d v="2023-01-12T00:00:00"/>
        <d v="2023-08-14T00:00:00"/>
        <d v="2023-01-16T00:00:00"/>
        <d v="2023-10-21T00:00:00"/>
        <d v="2023-02-25T00:00:00"/>
        <d v="2023-07-02T00:00:00"/>
        <d v="2023-12-04T00:00:00"/>
        <d v="2023-06-07T00:00:00"/>
        <d v="2023-11-09T00:00:00"/>
        <d v="2023-02-11T00:00:00"/>
        <d v="2023-09-12T00:00:00"/>
        <d v="2023-08-16T00:00:00"/>
        <d v="2023-12-18T00:00:00"/>
        <d v="2023-11-22T00:00:00"/>
        <d v="2023-05-03T00:00:00"/>
        <d v="2023-08-07T00:00:00"/>
        <d v="2023-02-08T00:00:00"/>
        <d v="2023-08-11T00:00:00"/>
        <d v="2023-10-16T00:00:00"/>
        <d v="2023-11-16T00:00:00"/>
        <d v="2023-09-21T00:00:00"/>
        <d v="2023-09-22T00:00:00"/>
        <d v="2023-07-26T00:00:00"/>
        <d v="2023-06-03T00:00:00"/>
        <d v="2023-03-18T00:00:00"/>
        <d v="2023-11-23T00:00:00"/>
        <d v="2023-06-25T00:00:00"/>
        <d v="2023-06-26T00:00:00"/>
        <d v="2023-01-27T00:00:00"/>
        <d v="2023-02-07T00:00:00"/>
        <d v="2023-06-09T00:00:00"/>
        <d v="2023-08-10T00:00:00"/>
        <d v="2023-01-15T00:00:00"/>
        <d v="2023-07-15T00:00:00"/>
        <d v="2023-07-16T00:00:00"/>
        <d v="2023-03-17T00:00:00"/>
        <d v="2023-01-20T00:00:00"/>
        <d v="2023-07-21T00:00:00"/>
        <d v="2023-12-23T00:00:00"/>
        <d v="2023-01-24T00:00:00"/>
        <d v="2023-10-29T00:00:00"/>
        <d v="2023-08-12T00:00:00"/>
        <d v="2024-01-01T00:00:00"/>
        <d v="2023-06-21T00:00:00"/>
        <d v="2023-01-23T00:00:00"/>
        <d v="2023-01-26T00:00:00"/>
        <d v="2023-08-31T00:00:00"/>
        <d v="2023-09-01T00:00:00"/>
        <d v="2023-11-10T00:00:00"/>
        <d v="2023-10-11T00:00:00"/>
        <d v="2023-07-18T00:00:00"/>
        <d v="2023-09-19T00:00:00"/>
        <d v="2023-05-24T00:00:00"/>
        <d v="2023-09-06T00:00:00"/>
        <d v="2023-02-09T00:00:00"/>
        <d v="2023-12-10T00:00:00"/>
        <d v="2023-03-19T00:00:00"/>
        <d v="2023-06-04T00:00:00"/>
        <d v="2023-01-07T00:00:00"/>
        <d v="2023-03-14T00:00:00"/>
        <d v="2023-06-24T00:00:00"/>
        <d v="2023-11-27T00:00:00"/>
        <d v="2023-12-29T00:00:00"/>
        <d v="2023-03-02T00:00:00"/>
        <d v="2023-09-03T00:00:00"/>
        <d v="2023-01-05T00:00:00"/>
        <d v="2023-07-12T00:00:00"/>
        <d v="2023-08-13T00:00:00"/>
        <d v="2023-10-23T00:00:00"/>
        <d v="2023-09-30T00:00:00"/>
        <d v="2023-06-02T00:00:00"/>
        <d v="2023-03-06T00:00:00"/>
        <d v="2023-02-10T00:00:00"/>
        <d v="2023-11-11T00:00:00"/>
        <d v="2023-01-14T00:00:00"/>
        <d v="2023-04-24T00:00:00"/>
        <d v="2023-08-25T00:00:00"/>
        <d v="2023-12-26T00:00:00"/>
        <d v="2023-07-11T00:00:00"/>
        <d v="2023-02-15T00:00:00"/>
        <d v="2023-10-15T00:00:00"/>
        <d v="2023-07-28T00:00:00"/>
        <d v="2023-02-04T00:00:00"/>
        <d v="2023-02-06T00:00:00"/>
        <d v="2023-04-06T00:00:00"/>
        <d v="2023-05-08T00:00:00"/>
        <d v="2023-10-24T00:00:00"/>
        <d v="2023-07-01T00:00:00"/>
        <d v="2023-01-03T00:00:00"/>
        <d v="2023-03-10T00:00:00"/>
        <d v="2023-07-14T00:00:00"/>
        <d v="2023-04-16T00:00:00"/>
        <d v="2023-08-23T00:00:00"/>
        <d v="2023-11-03T00:00:00"/>
        <d v="2023-06-10T00:00:00"/>
        <d v="2023-03-01T00:00:00"/>
        <d v="2023-08-02T00:00:00"/>
        <d v="2023-07-04T00:00:00"/>
        <d v="2023-12-19T00:00:00"/>
        <d v="2023-10-30T00:00:00"/>
        <d v="2023-02-05T00:00:00"/>
        <d v="2023-03-13T00:00:00"/>
        <d v="2023-06-13T00:00:00"/>
        <d v="2023-11-15T00:00:00"/>
        <d v="2023-11-26T00:00:00"/>
        <d v="2023-03-23T00:00:00"/>
        <d v="2023-06-30T00:00:00"/>
        <d v="2023-04-07T00:00:00"/>
        <d v="2023-05-12T00:00:00"/>
        <d v="2023-08-15T00:00:00"/>
        <d v="2023-04-19T00:00:00"/>
        <d v="2023-11-19T00:00:00"/>
        <d v="2023-10-28T00:00:00"/>
        <d v="2023-08-30T00:00:00"/>
        <d v="2023-10-31T00:00:00"/>
        <d v="2023-05-22T00:00:00"/>
        <d v="2023-05-02T00:00:00"/>
        <d v="2023-09-23T00:00:00"/>
        <d v="2023-09-29T00:00:00"/>
        <d v="2023-01-09T00:00:00"/>
        <d v="2023-09-13T00:00:00"/>
        <d v="2023-03-11T00:00:00"/>
        <d v="2023-06-18T00:00:00"/>
        <d v="2023-08-01T00:00:00"/>
        <d v="2023-01-08T00:00:00"/>
        <d v="2023-04-09T00:00:00"/>
        <d v="2023-05-13T00:00:00"/>
        <d v="2023-03-16T00:00:00"/>
        <d v="2023-07-22T00:00:00"/>
        <d v="2023-04-25T00:00:00"/>
        <d v="2023-09-25T00:00:00"/>
        <d v="2023-07-08T00:00:00"/>
        <d v="2023-07-23T00:00:00"/>
        <d v="2023-05-26T00:00:00"/>
        <d v="2023-08-29T00:00:00"/>
        <d v="2023-01-31T00:00:00"/>
        <d v="2023-08-08T00:00:00"/>
        <d v="2023-01-11T00:00:00"/>
        <d v="2023-02-14T00:00:00"/>
        <d v="2023-06-17T00:00:00"/>
        <d v="2023-04-20T00:00:00"/>
        <d v="2023-05-23T00:00:00"/>
        <d v="2023-07-29T00:00:00"/>
        <d v="2023-12-11T00:00:00"/>
        <d v="2023-03-28T00:00:00"/>
        <d v="2023-02-22T00:00:00"/>
        <d v="2023-08-09T00:00:00"/>
        <d v="2023-07-10T00:00:00"/>
        <d v="2023-09-27T00:00:00"/>
        <d v="2023-01-19T00:00:00"/>
        <d v="2023-02-23T00:00:00"/>
        <d v="2023-07-30T00:00:00"/>
        <d v="2023-10-19T00:00:00"/>
        <d v="2023-02-21T00:00:00"/>
        <d v="2023-03-05T00:00:00"/>
        <d v="2023-11-13T00:00:00"/>
        <d v="2023-05-19T00:00:00"/>
        <d v="2023-08-21T00:00:00"/>
        <d v="2023-04-04T00:00:00"/>
        <d v="2023-10-07T00:00:00"/>
        <d v="2023-12-12T00:00:00"/>
        <d v="2023-04-05T00:00:00"/>
        <d v="2023-11-08T00:00:00"/>
        <d v="2023-10-09T00:00:00"/>
        <d v="2023-04-17T00:00:00"/>
        <d v="2023-10-02T00:00:00"/>
        <d v="2023-07-06T00:00:00"/>
        <d v="2023-12-21T00:00:00"/>
        <d v="2023-01-10T00:00:00"/>
        <d v="2023-09-15T00:00:00"/>
        <d v="2023-06-23T00:00:00"/>
        <d v="2023-12-01T00:00:00"/>
        <d v="2023-07-20T00:00:00"/>
        <d v="2023-05-29T00:00:00"/>
        <d v="2023-05-07T00:00:00"/>
        <d v="2023-12-27T00:00:00"/>
        <d v="2023-04-29T00:00:00"/>
        <d v="2023-11-07T00:00:00"/>
        <d v="2023-09-02T00:00:00"/>
        <d v="2023-03-09T00:00:00"/>
        <d v="2023-10-18T00:00:00"/>
        <d v="2023-03-15T00:00:00"/>
        <d v="2023-12-16T00:00:00"/>
        <d v="2023-03-22T00:00:00"/>
        <d v="2023-03-24T00:00:00"/>
        <d v="2023-05-05T00:00:00"/>
        <d v="2023-01-06T00:00:00"/>
        <d v="2023-05-16T00:00:00"/>
        <d v="2023-11-17T00:00:00"/>
        <d v="2023-07-19T00:00:00"/>
        <d v="2023-07-27T00:00:00"/>
        <d v="2023-10-05T00:00:00"/>
        <d v="2023-04-12T00:00:00"/>
        <d v="2023-05-18T00:00:00"/>
        <d v="2023-01-02T00:00:00"/>
        <d v="2023-05-31T00:00:00"/>
        <d v="2023-11-05T00:00:00"/>
        <d v="2023-12-28T00:00:00"/>
        <d v="2023-07-03T00:00:00"/>
        <d v="2023-07-05T00:00:00"/>
        <d v="2023-06-29T00:00:00"/>
        <d v="2023-09-04T00:00:00"/>
        <d v="2023-02-01T00:00:00"/>
        <d v="2023-11-02T00:00:00"/>
        <d v="2023-08-06T00:00:00"/>
        <d v="2023-03-21T00:00:00"/>
        <d v="2023-12-13T00:00:00"/>
        <d v="2023-12-14T00:00:00"/>
        <d v="2023-08-24T00:00:00"/>
        <d v="2023-12-06T00:00:00"/>
        <d v="2023-11-25T00:00:00"/>
        <d v="2023-04-26T00:00:00"/>
        <d v="2023-02-13T00:00:00"/>
        <d v="2023-10-01T00:00:00"/>
        <d v="2023-12-02T00:00:00"/>
        <d v="2023-10-04T00:00:00"/>
        <d v="2023-01-18T00:00:00"/>
        <d v="2023-06-05T00:00:00"/>
        <d v="2023-06-11T00:00:00"/>
        <d v="2023-11-30T00:00:00"/>
        <d v="2023-02-27T00:00:00"/>
        <d v="2023-05-04T00:00:00"/>
        <d v="2023-07-09T00:00:00"/>
        <d v="2023-02-26T00:00:00"/>
        <d v="2023-10-27T00:00:00"/>
        <d v="2023-08-19T00:00:00"/>
        <d v="2023-08-22T00:00:00"/>
        <d v="2023-04-03T00:00:00"/>
        <d v="2023-02-02T00:00:00"/>
        <d v="2023-09-20T00:00:00"/>
        <d v="2023-03-26T00:00:00"/>
        <d v="2023-10-26T00:00:00"/>
        <d v="2023-07-24T00:00:00"/>
        <d v="2023-12-07T00:00:00"/>
        <d v="2023-08-26T00:00:00"/>
        <d v="2023-09-17T00:00:00"/>
      </sharedItems>
      <fieldGroup par="22" base="1">
        <rangePr groupBy="months" startDate="2023-01-01T00:00:00" endDate="2024-01-02T00:00:00"/>
        <groupItems count="14">
          <s v="&lt;1/1/2023"/>
          <s v="Jan"/>
          <s v="Feb"/>
          <s v="Mar"/>
          <s v="Apr"/>
          <s v="May"/>
          <s v="Jun"/>
          <s v="Jul"/>
          <s v="Aug"/>
          <s v="Sep"/>
          <s v="Oct"/>
          <s v="Nov"/>
          <s v="Dec"/>
          <s v="&gt;1/2/2024"/>
        </groupItems>
      </fieldGroup>
    </cacheField>
    <cacheField name="Sales_Rep" numFmtId="0">
      <sharedItems count="5">
        <s v="Bob"/>
        <s v="David"/>
        <s v="Eve"/>
        <s v="Alice"/>
        <s v="Charlie"/>
      </sharedItems>
    </cacheField>
    <cacheField name="Region" numFmtId="0">
      <sharedItems count="4">
        <s v="West"/>
        <s v="North"/>
        <s v="East"/>
        <s v="South"/>
      </sharedItems>
    </cacheField>
    <cacheField name="Quantity_Sold" numFmtId="0">
      <sharedItems containsSemiMixedTypes="0" containsString="0" containsNumber="1" containsInteger="1" minValue="1" maxValue="49"/>
    </cacheField>
    <cacheField name="Product_Category" numFmtId="0">
      <sharedItems count="4">
        <s v="Food"/>
        <s v="Furniture"/>
        <s v="Clothing"/>
        <s v="Electronics"/>
      </sharedItems>
    </cacheField>
    <cacheField name="Order " numFmtId="0">
      <sharedItems containsSemiMixedTypes="0" containsString="0" containsNumber="1" containsInteger="1" minValue="1" maxValue="1"/>
    </cacheField>
    <cacheField name="Unit_Cost" numFmtId="1">
      <sharedItems containsSemiMixedTypes="0" containsString="0" containsNumber="1" minValue="60.28" maxValue="4995.3"/>
    </cacheField>
    <cacheField name="Unit Price" numFmtId="1">
      <sharedItems containsSemiMixedTypes="0" containsString="0" containsNumber="1" minValue="167.12" maxValue="5442.15"/>
    </cacheField>
    <cacheField name="Selling Price after Discount" numFmtId="1">
      <sharedItems containsSemiMixedTypes="0" containsString="0" containsNumber="1" minValue="127.134" maxValue="5402.28"/>
    </cacheField>
    <cacheField name="Sales Amount" numFmtId="0">
      <sharedItems containsSemiMixedTypes="0" containsString="0" containsNumber="1" minValue="154.16140000000001" maxValue="249625.88639999999"/>
    </cacheField>
    <cacheField name="Total Cost" numFmtId="1">
      <sharedItems containsSemiMixedTypes="0" containsString="0" containsNumber="1" minValue="60.28" maxValue="235808.09"/>
    </cacheField>
    <cacheField name="Profit" numFmtId="1">
      <sharedItems containsSemiMixedTypes="0" containsString="0" containsNumber="1" minValue="-54935.73000000001" maxValue="20832.446399999986"/>
    </cacheField>
    <cacheField name="Profit margin" numFmtId="9">
      <sharedItems containsSemiMixedTypes="0" containsString="0" containsNumber="1" minValue="-0.4022957970414856" maxValue="0.82091321872291856"/>
    </cacheField>
    <cacheField name="Profit status" numFmtId="9">
      <sharedItems/>
    </cacheField>
    <cacheField name="Customer_Type" numFmtId="0">
      <sharedItems count="2">
        <s v="Returning"/>
        <s v="New"/>
      </sharedItems>
    </cacheField>
    <cacheField name="Discount" numFmtId="0">
      <sharedItems containsSemiMixedTypes="0" containsString="0" containsNumber="1" minValue="0" maxValue="0.3"/>
    </cacheField>
    <cacheField name="Payment_Method" numFmtId="0">
      <sharedItems/>
    </cacheField>
    <cacheField name="Sales_Channel" numFmtId="0">
      <sharedItems/>
    </cacheField>
    <cacheField name="Region_and_Sales_Rep" numFmtId="0">
      <sharedItems/>
    </cacheField>
    <cacheField name="Cost Category" numFmtId="0">
      <sharedItems count="2">
        <s v="Low-Cost"/>
        <s v="High-Cost"/>
      </sharedItems>
    </cacheField>
    <cacheField name="Quarters" numFmtId="0" databaseField="0">
      <fieldGroup base="1">
        <rangePr groupBy="quarters" startDate="2023-01-01T00:00:00" endDate="2024-01-02T00:00:00"/>
        <groupItems count="6">
          <s v="&lt;1/1/2023"/>
          <s v="Qtr1"/>
          <s v="Qtr2"/>
          <s v="Qtr3"/>
          <s v="Qtr4"/>
          <s v="&gt;1/2/2024"/>
        </groupItems>
      </fieldGroup>
    </cacheField>
    <cacheField name="Years" numFmtId="0" databaseField="0">
      <fieldGroup base="1">
        <rangePr groupBy="years" startDate="2023-01-01T00:00:00" endDate="2024-01-02T00:00:00"/>
        <groupItems count="4">
          <s v="&lt;1/1/2023"/>
          <s v="2023"/>
          <s v="2024"/>
          <s v="&gt;1/2/2024"/>
        </groupItems>
      </fieldGroup>
    </cacheField>
    <cacheField name="Average Order Value" numFmtId="0" formula="'Sales Amount'/'Order '" databaseField="0"/>
    <cacheField name="Average Order Count" numFmtId="0" formula="'Sales Amount'/'Order '" databaseField="0"/>
  </cacheFields>
  <extLst>
    <ext xmlns:x14="http://schemas.microsoft.com/office/spreadsheetml/2009/9/main" uri="{725AE2AE-9491-48be-B2B4-4EB974FC3084}">
      <x14:pivotCacheDefinition pivotCacheId="2"/>
    </ext>
  </extLst>
</pivotCacheDefinition>
</file>

<file path=xl/pivotCache/pivotCacheDefinition2.xml><?xml version="1.0" encoding="utf-8"?>
<pivotCacheDefinition xmlns="http://schemas.openxmlformats.org/spreadsheetml/2006/main" xmlns:r="http://schemas.openxmlformats.org/officeDocument/2006/relationships" r:id="rId1" refreshedBy="User" refreshedDate="45986.46320648148" createdVersion="6" refreshedVersion="6" minRefreshableVersion="3" recordCount="1000">
  <cacheSource type="worksheet">
    <worksheetSource ref="A1:T1001" sheet="sales_data_For Excel Dashboard."/>
  </cacheSource>
  <cacheFields count="24">
    <cacheField name="Product_ID" numFmtId="0">
      <sharedItems containsSemiMixedTypes="0" containsString="0" containsNumber="1" containsInteger="1" minValue="1001" maxValue="1100"/>
    </cacheField>
    <cacheField name="Sale_Date" numFmtId="14">
      <sharedItems containsSemiMixedTypes="0" containsNonDate="0" containsDate="1" containsString="0" minDate="2023-01-01T00:00:00" maxDate="2024-01-02T00:00:00" count="340">
        <d v="2023-08-03T00:00:00"/>
        <d v="2023-08-04T00:00:00"/>
        <d v="2023-08-05T00:00:00"/>
        <d v="2023-10-08T00:00:00"/>
        <d v="2023-05-10T00:00:00"/>
        <d v="2023-10-10T00:00:00"/>
        <d v="2023-05-11T00:00:00"/>
        <d v="2023-11-12T00:00:00"/>
        <d v="2023-04-14T00:00:00"/>
        <d v="2023-05-14T00:00:00"/>
        <d v="2023-09-14T00:00:00"/>
        <d v="2023-11-14T00:00:00"/>
        <d v="2023-02-18T00:00:00"/>
        <d v="2023-12-22T00:00:00"/>
        <d v="2023-04-27T00:00:00"/>
        <d v="2023-05-27T00:00:00"/>
        <d v="2023-01-04T00:00:00"/>
        <d v="2023-04-11T00:00:00"/>
        <d v="2023-10-14T00:00:00"/>
        <d v="2023-06-19T00:00:00"/>
        <d v="2023-02-20T00:00:00"/>
        <d v="2023-10-20T00:00:00"/>
        <d v="2023-05-21T00:00:00"/>
        <d v="2023-04-22T00:00:00"/>
        <d v="2023-11-29T00:00:00"/>
        <d v="2023-05-30T00:00:00"/>
        <d v="2023-07-31T00:00:00"/>
        <d v="2023-09-11T00:00:00"/>
        <d v="2023-07-17T00:00:00"/>
        <d v="2023-02-19T00:00:00"/>
        <d v="2023-01-21T00:00:00"/>
        <d v="2023-11-24T00:00:00"/>
        <d v="2023-07-25T00:00:00"/>
        <d v="2023-04-28T00:00:00"/>
        <d v="2023-12-30T00:00:00"/>
        <d v="2023-12-31T00:00:00"/>
        <d v="2023-07-07T00:00:00"/>
        <d v="2023-07-13T00:00:00"/>
        <d v="2023-06-15T00:00:00"/>
        <d v="2023-05-17T00:00:00"/>
        <d v="2023-11-18T00:00:00"/>
        <d v="2023-06-22T00:00:00"/>
        <d v="2023-06-27T00:00:00"/>
        <d v="2023-06-28T00:00:00"/>
        <d v="2023-09-28T00:00:00"/>
        <d v="2023-03-31T00:00:00"/>
        <d v="2023-04-02T00:00:00"/>
        <d v="2023-03-08T00:00:00"/>
        <d v="2023-09-08T00:00:00"/>
        <d v="2023-08-20T00:00:00"/>
        <d v="2023-09-24T00:00:00"/>
        <d v="2023-03-25T00:00:00"/>
        <d v="2023-05-25T00:00:00"/>
        <d v="2023-12-25T00:00:00"/>
        <d v="2023-11-28T00:00:00"/>
        <d v="2023-03-30T00:00:00"/>
        <d v="2023-06-06T00:00:00"/>
        <d v="2023-11-06T00:00:00"/>
        <d v="2023-09-16T00:00:00"/>
        <d v="2023-09-18T00:00:00"/>
        <d v="2023-01-22T00:00:00"/>
        <d v="2023-09-26T00:00:00"/>
        <d v="2023-05-28T00:00:00"/>
        <d v="2023-04-30T00:00:00"/>
        <d v="2023-03-03T00:00:00"/>
        <d v="2023-04-08T00:00:00"/>
        <d v="2023-06-14T00:00:00"/>
        <d v="2023-08-17T00:00:00"/>
        <d v="2023-02-28T00:00:00"/>
        <d v="2023-01-29T00:00:00"/>
        <d v="2023-01-01T00:00:00"/>
        <d v="2023-12-05T00:00:00"/>
        <d v="2023-12-08T00:00:00"/>
        <d v="2023-06-12T00:00:00"/>
        <d v="2023-04-13T00:00:00"/>
        <d v="2023-10-13T00:00:00"/>
        <d v="2023-12-20T00:00:00"/>
        <d v="2023-04-23T00:00:00"/>
        <d v="2023-02-24T00:00:00"/>
        <d v="2023-08-27T00:00:00"/>
        <d v="2023-11-01T00:00:00"/>
        <d v="2023-03-04T00:00:00"/>
        <d v="2023-01-17T00:00:00"/>
        <d v="2023-04-21T00:00:00"/>
        <d v="2023-10-12T00:00:00"/>
        <d v="2023-04-15T00:00:00"/>
        <d v="2023-02-16T00:00:00"/>
        <d v="2023-03-27T00:00:00"/>
        <d v="2023-03-29T00:00:00"/>
        <d v="2023-12-03T00:00:00"/>
        <d v="2023-03-20T00:00:00"/>
        <d v="2023-01-25T00:00:00"/>
        <d v="2023-06-08T00:00:00"/>
        <d v="2023-05-09T00:00:00"/>
        <d v="2023-01-13T00:00:00"/>
        <d v="2023-12-15T00:00:00"/>
        <d v="2023-04-18T00:00:00"/>
        <d v="2023-05-20T00:00:00"/>
        <d v="2023-06-20T00:00:00"/>
        <d v="2023-11-20T00:00:00"/>
        <d v="2023-10-22T00:00:00"/>
        <d v="2023-06-01T00:00:00"/>
        <d v="2023-02-03T00:00:00"/>
        <d v="2023-09-07T00:00:00"/>
        <d v="2023-01-12T00:00:00"/>
        <d v="2023-08-14T00:00:00"/>
        <d v="2023-01-16T00:00:00"/>
        <d v="2023-10-21T00:00:00"/>
        <d v="2023-02-25T00:00:00"/>
        <d v="2023-07-02T00:00:00"/>
        <d v="2023-12-04T00:00:00"/>
        <d v="2023-06-07T00:00:00"/>
        <d v="2023-11-09T00:00:00"/>
        <d v="2023-02-11T00:00:00"/>
        <d v="2023-09-12T00:00:00"/>
        <d v="2023-08-16T00:00:00"/>
        <d v="2023-12-18T00:00:00"/>
        <d v="2023-11-22T00:00:00"/>
        <d v="2023-05-03T00:00:00"/>
        <d v="2023-08-07T00:00:00"/>
        <d v="2023-02-08T00:00:00"/>
        <d v="2023-08-11T00:00:00"/>
        <d v="2023-10-16T00:00:00"/>
        <d v="2023-11-16T00:00:00"/>
        <d v="2023-09-21T00:00:00"/>
        <d v="2023-09-22T00:00:00"/>
        <d v="2023-07-26T00:00:00"/>
        <d v="2023-06-03T00:00:00"/>
        <d v="2023-03-18T00:00:00"/>
        <d v="2023-11-23T00:00:00"/>
        <d v="2023-06-25T00:00:00"/>
        <d v="2023-06-26T00:00:00"/>
        <d v="2023-01-27T00:00:00"/>
        <d v="2023-02-07T00:00:00"/>
        <d v="2023-06-09T00:00:00"/>
        <d v="2023-08-10T00:00:00"/>
        <d v="2023-01-15T00:00:00"/>
        <d v="2023-07-15T00:00:00"/>
        <d v="2023-07-16T00:00:00"/>
        <d v="2023-03-17T00:00:00"/>
        <d v="2023-01-20T00:00:00"/>
        <d v="2023-07-21T00:00:00"/>
        <d v="2023-12-23T00:00:00"/>
        <d v="2023-01-24T00:00:00"/>
        <d v="2023-10-29T00:00:00"/>
        <d v="2023-08-12T00:00:00"/>
        <d v="2024-01-01T00:00:00"/>
        <d v="2023-06-21T00:00:00"/>
        <d v="2023-01-23T00:00:00"/>
        <d v="2023-01-26T00:00:00"/>
        <d v="2023-08-31T00:00:00"/>
        <d v="2023-09-01T00:00:00"/>
        <d v="2023-11-10T00:00:00"/>
        <d v="2023-10-11T00:00:00"/>
        <d v="2023-07-18T00:00:00"/>
        <d v="2023-09-19T00:00:00"/>
        <d v="2023-05-24T00:00:00"/>
        <d v="2023-09-06T00:00:00"/>
        <d v="2023-02-09T00:00:00"/>
        <d v="2023-12-10T00:00:00"/>
        <d v="2023-03-19T00:00:00"/>
        <d v="2023-06-04T00:00:00"/>
        <d v="2023-01-07T00:00:00"/>
        <d v="2023-03-14T00:00:00"/>
        <d v="2023-06-24T00:00:00"/>
        <d v="2023-11-27T00:00:00"/>
        <d v="2023-12-29T00:00:00"/>
        <d v="2023-03-02T00:00:00"/>
        <d v="2023-09-03T00:00:00"/>
        <d v="2023-01-05T00:00:00"/>
        <d v="2023-07-12T00:00:00"/>
        <d v="2023-08-13T00:00:00"/>
        <d v="2023-10-23T00:00:00"/>
        <d v="2023-09-30T00:00:00"/>
        <d v="2023-06-02T00:00:00"/>
        <d v="2023-03-06T00:00:00"/>
        <d v="2023-02-10T00:00:00"/>
        <d v="2023-11-11T00:00:00"/>
        <d v="2023-01-14T00:00:00"/>
        <d v="2023-04-24T00:00:00"/>
        <d v="2023-08-25T00:00:00"/>
        <d v="2023-12-26T00:00:00"/>
        <d v="2023-07-11T00:00:00"/>
        <d v="2023-02-15T00:00:00"/>
        <d v="2023-10-15T00:00:00"/>
        <d v="2023-07-28T00:00:00"/>
        <d v="2023-02-04T00:00:00"/>
        <d v="2023-02-06T00:00:00"/>
        <d v="2023-04-06T00:00:00"/>
        <d v="2023-05-08T00:00:00"/>
        <d v="2023-10-24T00:00:00"/>
        <d v="2023-07-01T00:00:00"/>
        <d v="2023-01-03T00:00:00"/>
        <d v="2023-03-10T00:00:00"/>
        <d v="2023-07-14T00:00:00"/>
        <d v="2023-04-16T00:00:00"/>
        <d v="2023-08-23T00:00:00"/>
        <d v="2023-11-03T00:00:00"/>
        <d v="2023-06-10T00:00:00"/>
        <d v="2023-03-01T00:00:00"/>
        <d v="2023-08-02T00:00:00"/>
        <d v="2023-07-04T00:00:00"/>
        <d v="2023-12-19T00:00:00"/>
        <d v="2023-10-30T00:00:00"/>
        <d v="2023-02-05T00:00:00"/>
        <d v="2023-03-13T00:00:00"/>
        <d v="2023-06-13T00:00:00"/>
        <d v="2023-11-15T00:00:00"/>
        <d v="2023-11-26T00:00:00"/>
        <d v="2023-03-23T00:00:00"/>
        <d v="2023-06-30T00:00:00"/>
        <d v="2023-04-07T00:00:00"/>
        <d v="2023-05-12T00:00:00"/>
        <d v="2023-08-15T00:00:00"/>
        <d v="2023-04-19T00:00:00"/>
        <d v="2023-11-19T00:00:00"/>
        <d v="2023-10-28T00:00:00"/>
        <d v="2023-08-30T00:00:00"/>
        <d v="2023-10-31T00:00:00"/>
        <d v="2023-05-22T00:00:00"/>
        <d v="2023-05-02T00:00:00"/>
        <d v="2023-09-23T00:00:00"/>
        <d v="2023-09-29T00:00:00"/>
        <d v="2023-01-09T00:00:00"/>
        <d v="2023-09-13T00:00:00"/>
        <d v="2023-03-11T00:00:00"/>
        <d v="2023-06-18T00:00:00"/>
        <d v="2023-08-01T00:00:00"/>
        <d v="2023-01-08T00:00:00"/>
        <d v="2023-04-09T00:00:00"/>
        <d v="2023-05-13T00:00:00"/>
        <d v="2023-03-16T00:00:00"/>
        <d v="2023-07-22T00:00:00"/>
        <d v="2023-04-25T00:00:00"/>
        <d v="2023-09-25T00:00:00"/>
        <d v="2023-07-08T00:00:00"/>
        <d v="2023-07-23T00:00:00"/>
        <d v="2023-05-26T00:00:00"/>
        <d v="2023-08-29T00:00:00"/>
        <d v="2023-01-31T00:00:00"/>
        <d v="2023-08-08T00:00:00"/>
        <d v="2023-01-11T00:00:00"/>
        <d v="2023-02-14T00:00:00"/>
        <d v="2023-06-17T00:00:00"/>
        <d v="2023-04-20T00:00:00"/>
        <d v="2023-05-23T00:00:00"/>
        <d v="2023-07-29T00:00:00"/>
        <d v="2023-12-11T00:00:00"/>
        <d v="2023-03-28T00:00:00"/>
        <d v="2023-02-22T00:00:00"/>
        <d v="2023-08-09T00:00:00"/>
        <d v="2023-07-10T00:00:00"/>
        <d v="2023-09-27T00:00:00"/>
        <d v="2023-01-19T00:00:00"/>
        <d v="2023-02-23T00:00:00"/>
        <d v="2023-07-30T00:00:00"/>
        <d v="2023-10-19T00:00:00"/>
        <d v="2023-02-21T00:00:00"/>
        <d v="2023-03-05T00:00:00"/>
        <d v="2023-11-13T00:00:00"/>
        <d v="2023-05-19T00:00:00"/>
        <d v="2023-08-21T00:00:00"/>
        <d v="2023-04-04T00:00:00"/>
        <d v="2023-10-07T00:00:00"/>
        <d v="2023-12-12T00:00:00"/>
        <d v="2023-04-05T00:00:00"/>
        <d v="2023-11-08T00:00:00"/>
        <d v="2023-10-09T00:00:00"/>
        <d v="2023-04-17T00:00:00"/>
        <d v="2023-10-02T00:00:00"/>
        <d v="2023-07-06T00:00:00"/>
        <d v="2023-12-21T00:00:00"/>
        <d v="2023-01-10T00:00:00"/>
        <d v="2023-09-15T00:00:00"/>
        <d v="2023-06-23T00:00:00"/>
        <d v="2023-12-01T00:00:00"/>
        <d v="2023-07-20T00:00:00"/>
        <d v="2023-05-29T00:00:00"/>
        <d v="2023-05-07T00:00:00"/>
        <d v="2023-12-27T00:00:00"/>
        <d v="2023-04-29T00:00:00"/>
        <d v="2023-11-07T00:00:00"/>
        <d v="2023-09-02T00:00:00"/>
        <d v="2023-03-09T00:00:00"/>
        <d v="2023-10-18T00:00:00"/>
        <d v="2023-03-15T00:00:00"/>
        <d v="2023-12-16T00:00:00"/>
        <d v="2023-03-22T00:00:00"/>
        <d v="2023-03-24T00:00:00"/>
        <d v="2023-05-05T00:00:00"/>
        <d v="2023-01-06T00:00:00"/>
        <d v="2023-05-16T00:00:00"/>
        <d v="2023-11-17T00:00:00"/>
        <d v="2023-07-19T00:00:00"/>
        <d v="2023-07-27T00:00:00"/>
        <d v="2023-10-05T00:00:00"/>
        <d v="2023-04-12T00:00:00"/>
        <d v="2023-05-18T00:00:00"/>
        <d v="2023-01-02T00:00:00"/>
        <d v="2023-05-31T00:00:00"/>
        <d v="2023-11-05T00:00:00"/>
        <d v="2023-12-28T00:00:00"/>
        <d v="2023-07-03T00:00:00"/>
        <d v="2023-07-05T00:00:00"/>
        <d v="2023-06-29T00:00:00"/>
        <d v="2023-09-04T00:00:00"/>
        <d v="2023-02-01T00:00:00"/>
        <d v="2023-11-02T00:00:00"/>
        <d v="2023-08-06T00:00:00"/>
        <d v="2023-03-21T00:00:00"/>
        <d v="2023-12-13T00:00:00"/>
        <d v="2023-12-14T00:00:00"/>
        <d v="2023-08-24T00:00:00"/>
        <d v="2023-12-06T00:00:00"/>
        <d v="2023-11-25T00:00:00"/>
        <d v="2023-04-26T00:00:00"/>
        <d v="2023-02-13T00:00:00"/>
        <d v="2023-10-01T00:00:00"/>
        <d v="2023-12-02T00:00:00"/>
        <d v="2023-10-04T00:00:00"/>
        <d v="2023-01-18T00:00:00"/>
        <d v="2023-06-05T00:00:00"/>
        <d v="2023-06-11T00:00:00"/>
        <d v="2023-11-30T00:00:00"/>
        <d v="2023-02-27T00:00:00"/>
        <d v="2023-05-04T00:00:00"/>
        <d v="2023-07-09T00:00:00"/>
        <d v="2023-02-26T00:00:00"/>
        <d v="2023-10-27T00:00:00"/>
        <d v="2023-08-19T00:00:00"/>
        <d v="2023-08-22T00:00:00"/>
        <d v="2023-04-03T00:00:00"/>
        <d v="2023-02-02T00:00:00"/>
        <d v="2023-09-20T00:00:00"/>
        <d v="2023-03-26T00:00:00"/>
        <d v="2023-10-26T00:00:00"/>
        <d v="2023-07-24T00:00:00"/>
        <d v="2023-12-07T00:00:00"/>
        <d v="2023-08-26T00:00:00"/>
        <d v="2023-09-17T00:00:00"/>
      </sharedItems>
      <fieldGroup par="21" base="1">
        <rangePr groupBy="months" startDate="2023-01-01T00:00:00" endDate="2024-01-02T00:00:00"/>
        <groupItems count="14">
          <s v="&lt;1/1/2023"/>
          <s v="Jan"/>
          <s v="Feb"/>
          <s v="Mar"/>
          <s v="Apr"/>
          <s v="May"/>
          <s v="Jun"/>
          <s v="Jul"/>
          <s v="Aug"/>
          <s v="Sep"/>
          <s v="Oct"/>
          <s v="Nov"/>
          <s v="Dec"/>
          <s v="&gt;1/2/2024"/>
        </groupItems>
      </fieldGroup>
    </cacheField>
    <cacheField name="Sales_Rep" numFmtId="0">
      <sharedItems count="5">
        <s v="Bob"/>
        <s v="David"/>
        <s v="Eve"/>
        <s v="Alice"/>
        <s v="Charlie"/>
      </sharedItems>
    </cacheField>
    <cacheField name="Region" numFmtId="0">
      <sharedItems count="4">
        <s v="West"/>
        <s v="North"/>
        <s v="East"/>
        <s v="South"/>
      </sharedItems>
    </cacheField>
    <cacheField name="Quantity_Sold" numFmtId="0">
      <sharedItems containsSemiMixedTypes="0" containsString="0" containsNumber="1" containsInteger="1" minValue="1" maxValue="49"/>
    </cacheField>
    <cacheField name="Product_Category" numFmtId="0">
      <sharedItems count="4">
        <s v="Food"/>
        <s v="Furniture"/>
        <s v="Clothing"/>
        <s v="Electronics"/>
      </sharedItems>
    </cacheField>
    <cacheField name="Order " numFmtId="0">
      <sharedItems containsSemiMixedTypes="0" containsString="0" containsNumber="1" containsInteger="1" minValue="1" maxValue="1"/>
    </cacheField>
    <cacheField name="Unit_Cost" numFmtId="1">
      <sharedItems containsSemiMixedTypes="0" containsString="0" containsNumber="1" minValue="60.28" maxValue="4995.3"/>
    </cacheField>
    <cacheField name="Unit Price" numFmtId="1">
      <sharedItems containsSemiMixedTypes="0" containsString="0" containsNumber="1" minValue="167.12" maxValue="5442.15"/>
    </cacheField>
    <cacheField name="Selling Price after Discount" numFmtId="1">
      <sharedItems containsSemiMixedTypes="0" containsString="0" containsNumber="1" minValue="127.134" maxValue="5402.28"/>
    </cacheField>
    <cacheField name="Sales Amount" numFmtId="0">
      <sharedItems containsSemiMixedTypes="0" containsString="0" containsNumber="1" minValue="154.16140000000001" maxValue="249625.88639999999"/>
    </cacheField>
    <cacheField name="Total Cost" numFmtId="1">
      <sharedItems containsSemiMixedTypes="0" containsString="0" containsNumber="1" minValue="60.28" maxValue="235808.09"/>
    </cacheField>
    <cacheField name="Profit" numFmtId="1">
      <sharedItems containsSemiMixedTypes="0" containsString="0" containsNumber="1" minValue="-54935.73000000001" maxValue="20832.446399999986"/>
    </cacheField>
    <cacheField name="Profit margin" numFmtId="9">
      <sharedItems containsSemiMixedTypes="0" containsString="0" containsNumber="1" minValue="-0.4022957970414856" maxValue="0.82091321872291856"/>
    </cacheField>
    <cacheField name="Profit status" numFmtId="9">
      <sharedItems/>
    </cacheField>
    <cacheField name="Customer_Type" numFmtId="0">
      <sharedItems count="2">
        <s v="Returning"/>
        <s v="New"/>
      </sharedItems>
    </cacheField>
    <cacheField name="Discount" numFmtId="0">
      <sharedItems containsSemiMixedTypes="0" containsString="0" containsNumber="1" minValue="0" maxValue="0.3"/>
    </cacheField>
    <cacheField name="Payment_Method" numFmtId="0">
      <sharedItems/>
    </cacheField>
    <cacheField name="Sales_Channel" numFmtId="0">
      <sharedItems/>
    </cacheField>
    <cacheField name="Region_and_Sales_Rep" numFmtId="0">
      <sharedItems/>
    </cacheField>
    <cacheField name="Quarters" numFmtId="0" databaseField="0">
      <fieldGroup base="1">
        <rangePr groupBy="quarters" startDate="2023-01-01T00:00:00" endDate="2024-01-02T00:00:00"/>
        <groupItems count="6">
          <s v="&lt;1/1/2023"/>
          <s v="Qtr1"/>
          <s v="Qtr2"/>
          <s v="Qtr3"/>
          <s v="Qtr4"/>
          <s v="&gt;1/2/2024"/>
        </groupItems>
      </fieldGroup>
    </cacheField>
    <cacheField name="Years" numFmtId="0" databaseField="0">
      <fieldGroup base="1">
        <rangePr groupBy="years" startDate="2023-01-01T00:00:00" endDate="2024-01-02T00:00:00"/>
        <groupItems count="4">
          <s v="&lt;1/1/2023"/>
          <s v="2023"/>
          <s v="2024"/>
          <s v="&gt;1/2/2024"/>
        </groupItems>
      </fieldGroup>
    </cacheField>
    <cacheField name="Average Order Value" numFmtId="0" formula="'Sales Amount'/'Order '" databaseField="0"/>
    <cacheField name="Average Order Count" numFmtId="0" formula="'Sales Amount'/'Order '" databaseField="0"/>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00">
  <r>
    <n v="1001"/>
    <x v="0"/>
    <x v="0"/>
    <x v="0"/>
    <n v="20"/>
    <x v="0"/>
    <n v="1"/>
    <n v="2153.52"/>
    <n v="2303.6999999999998"/>
    <n v="2280.663"/>
    <n v="45613.26"/>
    <n v="43070.400000000001"/>
    <n v="2542.8600000000006"/>
    <n v="5.5748262676248099E-2"/>
    <s v="Profit"/>
    <x v="0"/>
    <n v="0.01"/>
    <s v="Cash"/>
    <s v="Retail"/>
    <s v="West-Bob"/>
    <x v="0"/>
  </r>
  <r>
    <n v="1001"/>
    <x v="1"/>
    <x v="1"/>
    <x v="0"/>
    <n v="20"/>
    <x v="0"/>
    <n v="1"/>
    <n v="3279.76"/>
    <n v="3563.97"/>
    <n v="2672.9775"/>
    <n v="53459.549999999996"/>
    <n v="65595.200000000012"/>
    <n v="-12135.650000000016"/>
    <n v="-0.22700621310879004"/>
    <s v="Loss"/>
    <x v="0"/>
    <n v="0.25"/>
    <s v="Cash"/>
    <s v="Retail"/>
    <s v="West-David"/>
    <x v="1"/>
  </r>
  <r>
    <n v="1001"/>
    <x v="2"/>
    <x v="0"/>
    <x v="1"/>
    <n v="4"/>
    <x v="0"/>
    <n v="1"/>
    <n v="1791.83"/>
    <n v="1871.22"/>
    <n v="1646.6736000000001"/>
    <n v="6586.6944000000003"/>
    <n v="7167.32"/>
    <n v="-580.62559999999939"/>
    <n v="-8.8151288755707172E-2"/>
    <s v="Loss"/>
    <x v="0"/>
    <n v="0.12"/>
    <s v="Bank Transfer"/>
    <s v="Online"/>
    <s v="North-Bob"/>
    <x v="0"/>
  </r>
  <r>
    <n v="1001"/>
    <x v="3"/>
    <x v="0"/>
    <x v="0"/>
    <n v="33"/>
    <x v="1"/>
    <n v="1"/>
    <n v="2933.54"/>
    <n v="3307.75"/>
    <n v="3274.6725000000001"/>
    <n v="108064.1925"/>
    <n v="96806.819999999992"/>
    <n v="11257.372500000012"/>
    <n v="0.10417301272111955"/>
    <s v="Profit"/>
    <x v="0"/>
    <n v="0.01"/>
    <s v="Bank Transfer"/>
    <s v="Retail"/>
    <s v="West-Bob"/>
    <x v="1"/>
  </r>
  <r>
    <n v="1001"/>
    <x v="4"/>
    <x v="1"/>
    <x v="2"/>
    <n v="47"/>
    <x v="0"/>
    <n v="1"/>
    <n v="4865.33"/>
    <n v="5316.13"/>
    <n v="4997.1621999999998"/>
    <n v="234866.62340000001"/>
    <n v="228670.51"/>
    <n v="6196.113400000002"/>
    <n v="2.6381413034782027E-2"/>
    <s v="Profit"/>
    <x v="1"/>
    <n v="0.06"/>
    <s v="Bank Transfer"/>
    <s v="Online"/>
    <s v="East-David"/>
    <x v="1"/>
  </r>
  <r>
    <n v="1001"/>
    <x v="5"/>
    <x v="1"/>
    <x v="0"/>
    <n v="18"/>
    <x v="1"/>
    <n v="1"/>
    <n v="2602.6"/>
    <n v="3013.49"/>
    <n v="2772.4108000000001"/>
    <n v="49903.394399999997"/>
    <n v="46846.799999999996"/>
    <n v="3056.5944000000018"/>
    <n v="6.1250230304975048E-2"/>
    <s v="Profit"/>
    <x v="0"/>
    <n v="0.08"/>
    <s v="Bank Transfer"/>
    <s v="Online"/>
    <s v="West-David"/>
    <x v="1"/>
  </r>
  <r>
    <n v="1001"/>
    <x v="6"/>
    <x v="2"/>
    <x v="2"/>
    <n v="8"/>
    <x v="2"/>
    <n v="1"/>
    <n v="442.11"/>
    <n v="803.87"/>
    <n v="659.17340000000002"/>
    <n v="5273.3872000000001"/>
    <n v="3536.88"/>
    <n v="1736.5072"/>
    <n v="0.32929635813581071"/>
    <s v="Profit"/>
    <x v="1"/>
    <n v="0.18"/>
    <s v="Cash"/>
    <s v="Retail"/>
    <s v="East-Eve"/>
    <x v="0"/>
  </r>
  <r>
    <n v="1001"/>
    <x v="7"/>
    <x v="3"/>
    <x v="1"/>
    <n v="8"/>
    <x v="3"/>
    <n v="1"/>
    <n v="3657.91"/>
    <n v="3729.27"/>
    <n v="3393.6357000000003"/>
    <n v="27149.085600000002"/>
    <n v="29263.279999999999"/>
    <n v="-2114.1943999999967"/>
    <n v="-7.7873503039822323E-2"/>
    <s v="Loss"/>
    <x v="1"/>
    <n v="0.09"/>
    <s v="Bank Transfer"/>
    <s v="Retail"/>
    <s v="North-Alice"/>
    <x v="1"/>
  </r>
  <r>
    <n v="1001"/>
    <x v="8"/>
    <x v="1"/>
    <x v="2"/>
    <n v="2"/>
    <x v="3"/>
    <n v="1"/>
    <n v="2631.68"/>
    <n v="2904.06"/>
    <n v="2468.451"/>
    <n v="4936.902"/>
    <n v="5263.36"/>
    <n v="-326.45799999999963"/>
    <n v="-6.6126084738971858E-2"/>
    <s v="Loss"/>
    <x v="1"/>
    <n v="0.15"/>
    <s v="Bank Transfer"/>
    <s v="Online"/>
    <s v="East-David"/>
    <x v="1"/>
  </r>
  <r>
    <n v="1001"/>
    <x v="9"/>
    <x v="2"/>
    <x v="3"/>
    <n v="35"/>
    <x v="3"/>
    <n v="1"/>
    <n v="2745.75"/>
    <n v="3244.76"/>
    <n v="3082.5219999999999"/>
    <n v="107888.27"/>
    <n v="96101.25"/>
    <n v="11787.020000000004"/>
    <n v="0.10925209941729536"/>
    <s v="Profit"/>
    <x v="1"/>
    <n v="0.05"/>
    <s v="Bank Transfer"/>
    <s v="Online"/>
    <s v="South-Eve"/>
    <x v="1"/>
  </r>
  <r>
    <n v="1001"/>
    <x v="10"/>
    <x v="2"/>
    <x v="3"/>
    <n v="39"/>
    <x v="0"/>
    <n v="1"/>
    <n v="2437.2600000000002"/>
    <n v="2889.67"/>
    <n v="2167.2525000000001"/>
    <n v="84522.847500000003"/>
    <n v="95053.140000000014"/>
    <n v="-10530.29250000001"/>
    <n v="-0.12458516024321128"/>
    <s v="Loss"/>
    <x v="0"/>
    <n v="0.25"/>
    <s v="Cash"/>
    <s v="Online"/>
    <s v="South-Eve"/>
    <x v="1"/>
  </r>
  <r>
    <n v="1001"/>
    <x v="11"/>
    <x v="1"/>
    <x v="1"/>
    <n v="36"/>
    <x v="1"/>
    <n v="1"/>
    <n v="666.84"/>
    <n v="682.24"/>
    <n v="573.08159999999998"/>
    <n v="20630.937599999997"/>
    <n v="24006.240000000002"/>
    <n v="-3375.3024000000041"/>
    <n v="-0.16360392656124387"/>
    <s v="Loss"/>
    <x v="1"/>
    <n v="0.16"/>
    <s v="Bank Transfer"/>
    <s v="Retail"/>
    <s v="North-David"/>
    <x v="0"/>
  </r>
  <r>
    <n v="1001"/>
    <x v="12"/>
    <x v="1"/>
    <x v="0"/>
    <n v="27"/>
    <x v="2"/>
    <n v="1"/>
    <n v="939.02"/>
    <n v="1286.92"/>
    <n v="1196.8355999999999"/>
    <n v="32314.5612"/>
    <n v="25353.54"/>
    <n v="6961.0211999999992"/>
    <n v="0.21541438105617844"/>
    <s v="Profit"/>
    <x v="0"/>
    <n v="7.0000000000000007E-2"/>
    <s v="Credit Card"/>
    <s v="Retail"/>
    <s v="West-David"/>
    <x v="0"/>
  </r>
  <r>
    <n v="1001"/>
    <x v="13"/>
    <x v="1"/>
    <x v="0"/>
    <n v="45"/>
    <x v="2"/>
    <n v="1"/>
    <n v="1372.36"/>
    <n v="1687.83"/>
    <n v="1654.0734"/>
    <n v="74433.302999999985"/>
    <n v="61756.2"/>
    <n v="12677.102999999988"/>
    <n v="0.17031493281978888"/>
    <s v="Profit"/>
    <x v="1"/>
    <n v="0.02"/>
    <s v="Credit Card"/>
    <s v="Online"/>
    <s v="West-David"/>
    <x v="0"/>
  </r>
  <r>
    <n v="1001"/>
    <x v="14"/>
    <x v="2"/>
    <x v="2"/>
    <n v="25"/>
    <x v="3"/>
    <n v="1"/>
    <n v="1330.62"/>
    <n v="1543.69"/>
    <n v="1126.8937000000001"/>
    <n v="28172.342499999999"/>
    <n v="33265.5"/>
    <n v="-5093.1575000000012"/>
    <n v="-0.18078572983414501"/>
    <s v="Loss"/>
    <x v="1"/>
    <n v="0.27"/>
    <s v="Credit Card"/>
    <s v="Online"/>
    <s v="East-Eve"/>
    <x v="0"/>
  </r>
  <r>
    <n v="1001"/>
    <x v="15"/>
    <x v="3"/>
    <x v="3"/>
    <n v="7"/>
    <x v="3"/>
    <n v="1"/>
    <n v="4094.68"/>
    <n v="4576.5"/>
    <n v="3203.5499999999997"/>
    <n v="22424.85"/>
    <n v="28662.76"/>
    <n v="-6237.91"/>
    <n v="-0.27816953067690531"/>
    <s v="Loss"/>
    <x v="1"/>
    <n v="0.3"/>
    <s v="Cash"/>
    <s v="Retail"/>
    <s v="South-Alice"/>
    <x v="1"/>
  </r>
  <r>
    <n v="1002"/>
    <x v="0"/>
    <x v="3"/>
    <x v="3"/>
    <n v="16"/>
    <x v="1"/>
    <n v="1"/>
    <n v="2872.4"/>
    <n v="3193.76"/>
    <n v="3066.0096000000003"/>
    <n v="49056.153600000005"/>
    <n v="45958.400000000001"/>
    <n v="3097.7536000000036"/>
    <n v="6.3147095168912787E-2"/>
    <s v="Profit"/>
    <x v="0"/>
    <n v="0.04"/>
    <s v="Credit Card"/>
    <s v="Online"/>
    <s v="South-Alice"/>
    <x v="1"/>
  </r>
  <r>
    <n v="1002"/>
    <x v="16"/>
    <x v="0"/>
    <x v="2"/>
    <n v="17"/>
    <x v="1"/>
    <n v="1"/>
    <n v="1727.12"/>
    <n v="1865.83"/>
    <n v="1474.0056999999999"/>
    <n v="25058.0969"/>
    <n v="29361.039999999997"/>
    <n v="-4302.9430999999968"/>
    <n v="-0.17171867110147526"/>
    <s v="Loss"/>
    <x v="1"/>
    <n v="0.21"/>
    <s v="Cash"/>
    <s v="Online"/>
    <s v="East-Bob"/>
    <x v="0"/>
  </r>
  <r>
    <n v="1002"/>
    <x v="17"/>
    <x v="0"/>
    <x v="1"/>
    <n v="21"/>
    <x v="0"/>
    <n v="1"/>
    <n v="914.22"/>
    <n v="971.57"/>
    <n v="835.55020000000002"/>
    <n v="17546.554200000002"/>
    <n v="19198.62"/>
    <n v="-1652.0657999999967"/>
    <n v="-9.4153289652734007E-2"/>
    <s v="Loss"/>
    <x v="0"/>
    <n v="0.14000000000000001"/>
    <s v="Cash"/>
    <s v="Online"/>
    <s v="North-Bob"/>
    <x v="0"/>
  </r>
  <r>
    <n v="1002"/>
    <x v="18"/>
    <x v="1"/>
    <x v="3"/>
    <n v="39"/>
    <x v="2"/>
    <n v="1"/>
    <n v="1004.71"/>
    <n v="1389.35"/>
    <n v="1055.9059999999999"/>
    <n v="41180.333999999995"/>
    <n v="39183.69"/>
    <n v="1996.643999999993"/>
    <n v="4.8485376539199349E-2"/>
    <s v="Profit"/>
    <x v="1"/>
    <n v="0.24"/>
    <s v="Bank Transfer"/>
    <s v="Online"/>
    <s v="South-David"/>
    <x v="0"/>
  </r>
  <r>
    <n v="1002"/>
    <x v="19"/>
    <x v="2"/>
    <x v="0"/>
    <n v="18"/>
    <x v="0"/>
    <n v="1"/>
    <n v="117.63"/>
    <n v="576.44000000000005"/>
    <n v="472.68080000000009"/>
    <n v="8508.2544000000016"/>
    <n v="2117.34"/>
    <n v="6390.9144000000015"/>
    <n v="0.75114284311950053"/>
    <s v="Profit"/>
    <x v="1"/>
    <n v="0.18"/>
    <s v="Credit Card"/>
    <s v="Retail"/>
    <s v="West-Eve"/>
    <x v="0"/>
  </r>
  <r>
    <n v="1002"/>
    <x v="20"/>
    <x v="4"/>
    <x v="0"/>
    <n v="26"/>
    <x v="0"/>
    <n v="1"/>
    <n v="508.94"/>
    <n v="557.69000000000005"/>
    <n v="434.99820000000005"/>
    <n v="11309.953200000002"/>
    <n v="13232.44"/>
    <n v="-1922.4867999999988"/>
    <n v="-0.16998185279847122"/>
    <s v="Loss"/>
    <x v="1"/>
    <n v="0.22"/>
    <s v="Credit Card"/>
    <s v="Retail"/>
    <s v="West-Charlie"/>
    <x v="0"/>
  </r>
  <r>
    <n v="1002"/>
    <x v="21"/>
    <x v="1"/>
    <x v="1"/>
    <n v="30"/>
    <x v="2"/>
    <n v="1"/>
    <n v="4646.55"/>
    <n v="4784.28"/>
    <n v="4305.8519999999999"/>
    <n v="129175.56"/>
    <n v="139396.5"/>
    <n v="-10220.940000000002"/>
    <n v="-7.9124410221252398E-2"/>
    <s v="Loss"/>
    <x v="0"/>
    <n v="0.1"/>
    <s v="Credit Card"/>
    <s v="Retail"/>
    <s v="North-David"/>
    <x v="1"/>
  </r>
  <r>
    <n v="1002"/>
    <x v="22"/>
    <x v="4"/>
    <x v="0"/>
    <n v="26"/>
    <x v="2"/>
    <n v="1"/>
    <n v="2041.42"/>
    <n v="2291.17"/>
    <n v="1649.6424"/>
    <n v="42890.702399999995"/>
    <n v="53076.92"/>
    <n v="-10186.217600000004"/>
    <n v="-0.23749244078595469"/>
    <s v="Loss"/>
    <x v="0"/>
    <n v="0.28000000000000003"/>
    <s v="Cash"/>
    <s v="Online"/>
    <s v="West-Charlie"/>
    <x v="0"/>
  </r>
  <r>
    <n v="1002"/>
    <x v="23"/>
    <x v="2"/>
    <x v="1"/>
    <n v="9"/>
    <x v="3"/>
    <n v="1"/>
    <n v="4398.16"/>
    <n v="4439.12"/>
    <n v="3640.0784000000003"/>
    <n v="32760.705600000005"/>
    <n v="39583.440000000002"/>
    <n v="-6822.7343999999975"/>
    <n v="-0.20825969023084767"/>
    <s v="Loss"/>
    <x v="1"/>
    <n v="0.18"/>
    <s v="Bank Transfer"/>
    <s v="Online"/>
    <s v="North-Eve"/>
    <x v="1"/>
  </r>
  <r>
    <n v="1002"/>
    <x v="24"/>
    <x v="1"/>
    <x v="1"/>
    <n v="24"/>
    <x v="1"/>
    <n v="1"/>
    <n v="3305.94"/>
    <n v="3599.27"/>
    <n v="3275.3357000000001"/>
    <n v="78608.056800000006"/>
    <n v="79342.559999999998"/>
    <n v="-734.50319999999192"/>
    <n v="-9.3438666454860372E-3"/>
    <s v="Loss"/>
    <x v="1"/>
    <n v="0.09"/>
    <s v="Credit Card"/>
    <s v="Retail"/>
    <s v="North-David"/>
    <x v="1"/>
  </r>
  <r>
    <n v="1002"/>
    <x v="25"/>
    <x v="1"/>
    <x v="1"/>
    <n v="17"/>
    <x v="1"/>
    <n v="1"/>
    <n v="4024.76"/>
    <n v="4420.1499999999996"/>
    <n v="4243.3439999999991"/>
    <n v="72136.847999999984"/>
    <n v="68420.92"/>
    <n v="3715.9279999999853"/>
    <n v="5.1512203582834482E-2"/>
    <s v="Profit"/>
    <x v="0"/>
    <n v="0.04"/>
    <s v="Cash"/>
    <s v="Online"/>
    <s v="North-David"/>
    <x v="1"/>
  </r>
  <r>
    <n v="1002"/>
    <x v="25"/>
    <x v="2"/>
    <x v="1"/>
    <n v="44"/>
    <x v="1"/>
    <n v="1"/>
    <n v="1393.58"/>
    <n v="1533.09"/>
    <n v="1165.1484"/>
    <n v="51266.529599999994"/>
    <n v="61317.52"/>
    <n v="-10050.990400000002"/>
    <n v="-0.19605365290807597"/>
    <s v="Loss"/>
    <x v="0"/>
    <n v="0.24"/>
    <s v="Credit Card"/>
    <s v="Retail"/>
    <s v="North-Eve"/>
    <x v="0"/>
  </r>
  <r>
    <n v="1002"/>
    <x v="26"/>
    <x v="1"/>
    <x v="2"/>
    <n v="21"/>
    <x v="2"/>
    <n v="1"/>
    <n v="4138.41"/>
    <n v="4361.7"/>
    <n v="4056.3809999999994"/>
    <n v="85184.000999999989"/>
    <n v="86906.61"/>
    <n v="-1722.6090000000113"/>
    <n v="-2.0222212854266043E-2"/>
    <s v="Loss"/>
    <x v="0"/>
    <n v="7.0000000000000007E-2"/>
    <s v="Credit Card"/>
    <s v="Retail"/>
    <s v="East-David"/>
    <x v="1"/>
  </r>
  <r>
    <n v="1003"/>
    <x v="6"/>
    <x v="4"/>
    <x v="1"/>
    <n v="26"/>
    <x v="3"/>
    <n v="1"/>
    <n v="3418.78"/>
    <n v="3824.1"/>
    <n v="3097.5210000000002"/>
    <n v="80535.546000000002"/>
    <n v="88888.28"/>
    <n v="-8352.7339999999967"/>
    <n v="-0.10371487392660127"/>
    <s v="Loss"/>
    <x v="1"/>
    <n v="0.19"/>
    <s v="Credit Card"/>
    <s v="Online"/>
    <s v="North-Charlie"/>
    <x v="1"/>
  </r>
  <r>
    <n v="1003"/>
    <x v="27"/>
    <x v="1"/>
    <x v="2"/>
    <n v="22"/>
    <x v="0"/>
    <n v="1"/>
    <n v="4218.43"/>
    <n v="4331.42"/>
    <n v="3205.2507999999998"/>
    <n v="70515.517600000006"/>
    <n v="92805.46"/>
    <n v="-22289.9424"/>
    <n v="-0.31609981970833606"/>
    <s v="Loss"/>
    <x v="1"/>
    <n v="0.26"/>
    <s v="Bank Transfer"/>
    <s v="Online"/>
    <s v="East-David"/>
    <x v="1"/>
  </r>
  <r>
    <n v="1003"/>
    <x v="10"/>
    <x v="0"/>
    <x v="0"/>
    <n v="15"/>
    <x v="2"/>
    <n v="1"/>
    <n v="3286.24"/>
    <n v="3388.84"/>
    <n v="3083.8444000000004"/>
    <n v="46257.666000000005"/>
    <n v="49293.599999999999"/>
    <n v="-3035.9339999999938"/>
    <n v="-6.5630937799585343E-2"/>
    <s v="Loss"/>
    <x v="0"/>
    <n v="0.09"/>
    <s v="Credit Card"/>
    <s v="Retail"/>
    <s v="West-Bob"/>
    <x v="1"/>
  </r>
  <r>
    <n v="1003"/>
    <x v="28"/>
    <x v="2"/>
    <x v="0"/>
    <n v="15"/>
    <x v="3"/>
    <n v="1"/>
    <n v="1729.14"/>
    <n v="1870.88"/>
    <n v="1440.5776000000001"/>
    <n v="21608.664000000001"/>
    <n v="25937.100000000002"/>
    <n v="-4328.4360000000015"/>
    <n v="-0.20031020890509479"/>
    <s v="Loss"/>
    <x v="0"/>
    <n v="0.23"/>
    <s v="Cash"/>
    <s v="Online"/>
    <s v="West-Eve"/>
    <x v="0"/>
  </r>
  <r>
    <n v="1003"/>
    <x v="29"/>
    <x v="3"/>
    <x v="2"/>
    <n v="45"/>
    <x v="3"/>
    <n v="1"/>
    <n v="4974.1400000000003"/>
    <n v="5227.93"/>
    <n v="4130.0647000000008"/>
    <n v="185852.91150000002"/>
    <n v="223836.30000000002"/>
    <n v="-37983.388500000001"/>
    <n v="-0.20437338427167981"/>
    <s v="Loss"/>
    <x v="1"/>
    <n v="0.21"/>
    <s v="Bank Transfer"/>
    <s v="Online"/>
    <s v="East-Alice"/>
    <x v="1"/>
  </r>
  <r>
    <n v="1003"/>
    <x v="30"/>
    <x v="4"/>
    <x v="1"/>
    <n v="3"/>
    <x v="1"/>
    <n v="1"/>
    <n v="1792.05"/>
    <n v="2091.23"/>
    <n v="1903.0193000000002"/>
    <n v="5709.0579000000007"/>
    <n v="5376.15"/>
    <n v="332.90790000000106"/>
    <n v="5.8312230464504664E-2"/>
    <s v="Profit"/>
    <x v="0"/>
    <n v="0.09"/>
    <s v="Cash"/>
    <s v="Retail"/>
    <s v="North-Charlie"/>
    <x v="0"/>
  </r>
  <r>
    <n v="1003"/>
    <x v="31"/>
    <x v="2"/>
    <x v="2"/>
    <n v="11"/>
    <x v="0"/>
    <n v="1"/>
    <n v="3706.78"/>
    <n v="3862.26"/>
    <n v="3012.5628000000002"/>
    <n v="33138.190800000004"/>
    <n v="40774.58"/>
    <n v="-7636.3891999999978"/>
    <n v="-0.23044073969179985"/>
    <s v="Loss"/>
    <x v="1"/>
    <n v="0.22"/>
    <s v="Credit Card"/>
    <s v="Retail"/>
    <s v="East-Eve"/>
    <x v="1"/>
  </r>
  <r>
    <n v="1003"/>
    <x v="32"/>
    <x v="2"/>
    <x v="0"/>
    <n v="5"/>
    <x v="0"/>
    <n v="1"/>
    <n v="2206.58"/>
    <n v="2490.4699999999998"/>
    <n v="1793.1383999999998"/>
    <n v="8965.6919999999991"/>
    <n v="11032.9"/>
    <n v="-2067.2080000000005"/>
    <n v="-0.23056870568384469"/>
    <s v="Loss"/>
    <x v="1"/>
    <n v="0.28000000000000003"/>
    <s v="Cash"/>
    <s v="Online"/>
    <s v="West-Eve"/>
    <x v="0"/>
  </r>
  <r>
    <n v="1003"/>
    <x v="15"/>
    <x v="2"/>
    <x v="2"/>
    <n v="39"/>
    <x v="2"/>
    <n v="1"/>
    <n v="310.95999999999998"/>
    <n v="457.84"/>
    <n v="444.10479999999995"/>
    <n v="17320.087199999998"/>
    <n v="12127.439999999999"/>
    <n v="5192.6471999999994"/>
    <n v="0.29980491091291966"/>
    <s v="Profit"/>
    <x v="1"/>
    <n v="0.03"/>
    <s v="Credit Card"/>
    <s v="Online"/>
    <s v="East-Eve"/>
    <x v="0"/>
  </r>
  <r>
    <n v="1003"/>
    <x v="33"/>
    <x v="4"/>
    <x v="3"/>
    <n v="27"/>
    <x v="1"/>
    <n v="1"/>
    <n v="623.32000000000005"/>
    <n v="853.66"/>
    <n v="819.51359999999988"/>
    <n v="22126.867200000001"/>
    <n v="16829.640000000003"/>
    <n v="5297.2271999999975"/>
    <n v="0.23940249435762861"/>
    <s v="Profit"/>
    <x v="0"/>
    <n v="0.04"/>
    <s v="Cash"/>
    <s v="Online"/>
    <s v="South-Charlie"/>
    <x v="0"/>
  </r>
  <r>
    <n v="1003"/>
    <x v="34"/>
    <x v="3"/>
    <x v="2"/>
    <n v="17"/>
    <x v="1"/>
    <n v="1"/>
    <n v="395.11"/>
    <n v="676.66"/>
    <n v="507.495"/>
    <n v="8627.4149999999991"/>
    <n v="6716.87"/>
    <n v="1910.5449999999992"/>
    <n v="0.22145045763997667"/>
    <s v="Profit"/>
    <x v="0"/>
    <n v="0.25"/>
    <s v="Cash"/>
    <s v="Retail"/>
    <s v="East-Alice"/>
    <x v="0"/>
  </r>
  <r>
    <n v="1003"/>
    <x v="35"/>
    <x v="3"/>
    <x v="3"/>
    <n v="30"/>
    <x v="1"/>
    <n v="1"/>
    <n v="4190.28"/>
    <n v="4270.6499999999996"/>
    <n v="3416.52"/>
    <n v="102495.59999999999"/>
    <n v="125708.4"/>
    <n v="-23212.800000000003"/>
    <n v="-0.22647606336272"/>
    <s v="Loss"/>
    <x v="1"/>
    <n v="0.2"/>
    <s v="Cash"/>
    <s v="Online"/>
    <s v="South-Alice"/>
    <x v="1"/>
  </r>
  <r>
    <n v="1004"/>
    <x v="36"/>
    <x v="2"/>
    <x v="1"/>
    <n v="35"/>
    <x v="2"/>
    <n v="1"/>
    <n v="2278.87"/>
    <n v="2646.53"/>
    <n v="2408.3423000000003"/>
    <n v="84291.980500000005"/>
    <n v="79760.45"/>
    <n v="4531.530500000008"/>
    <n v="5.375992440941648E-2"/>
    <s v="Profit"/>
    <x v="0"/>
    <n v="0.09"/>
    <s v="Bank Transfer"/>
    <s v="Online"/>
    <s v="North-Eve"/>
    <x v="0"/>
  </r>
  <r>
    <n v="1004"/>
    <x v="37"/>
    <x v="2"/>
    <x v="2"/>
    <n v="16"/>
    <x v="2"/>
    <n v="1"/>
    <n v="1067.83"/>
    <n v="1189.22"/>
    <n v="880.02279999999996"/>
    <n v="14080.364799999999"/>
    <n v="17085.28"/>
    <n v="-3004.9151999999995"/>
    <n v="-0.21341174342301128"/>
    <s v="Loss"/>
    <x v="0"/>
    <n v="0.26"/>
    <s v="Credit Card"/>
    <s v="Retail"/>
    <s v="East-Eve"/>
    <x v="0"/>
  </r>
  <r>
    <n v="1004"/>
    <x v="38"/>
    <x v="3"/>
    <x v="2"/>
    <n v="13"/>
    <x v="1"/>
    <n v="1"/>
    <n v="3087.73"/>
    <n v="3263.96"/>
    <n v="2480.6096000000002"/>
    <n v="32247.924800000004"/>
    <n v="40140.49"/>
    <n v="-7892.5651999999936"/>
    <n v="-0.24474645264615577"/>
    <s v="Loss"/>
    <x v="1"/>
    <n v="0.24"/>
    <s v="Cash"/>
    <s v="Retail"/>
    <s v="East-Alice"/>
    <x v="1"/>
  </r>
  <r>
    <n v="1004"/>
    <x v="39"/>
    <x v="3"/>
    <x v="1"/>
    <n v="36"/>
    <x v="0"/>
    <n v="1"/>
    <n v="3981.2"/>
    <n v="4432.3500000000004"/>
    <n v="3811.8210000000004"/>
    <n v="137225.55600000001"/>
    <n v="143323.19999999998"/>
    <n v="-6097.6439999999711"/>
    <n v="-4.4435192523468225E-2"/>
    <s v="Loss"/>
    <x v="1"/>
    <n v="0.14000000000000001"/>
    <s v="Cash"/>
    <s v="Online"/>
    <s v="North-Alice"/>
    <x v="1"/>
  </r>
  <r>
    <n v="1004"/>
    <x v="40"/>
    <x v="3"/>
    <x v="2"/>
    <n v="1"/>
    <x v="0"/>
    <n v="1"/>
    <n v="182.99"/>
    <n v="211.18"/>
    <n v="154.16140000000001"/>
    <n v="154.16140000000001"/>
    <n v="182.99"/>
    <n v="-28.828599999999994"/>
    <n v="-0.18700271274132171"/>
    <s v="Loss"/>
    <x v="0"/>
    <n v="0.27"/>
    <s v="Bank Transfer"/>
    <s v="Retail"/>
    <s v="East-Alice"/>
    <x v="0"/>
  </r>
  <r>
    <n v="1004"/>
    <x v="41"/>
    <x v="2"/>
    <x v="3"/>
    <n v="39"/>
    <x v="3"/>
    <n v="1"/>
    <n v="2416.89"/>
    <n v="2778.4"/>
    <n v="2639.48"/>
    <n v="102939.72"/>
    <n v="94258.709999999992"/>
    <n v="8681.0100000000093"/>
    <n v="8.4331004591813627E-2"/>
    <s v="Profit"/>
    <x v="0"/>
    <n v="0.05"/>
    <s v="Cash"/>
    <s v="Online"/>
    <s v="South-Eve"/>
    <x v="0"/>
  </r>
  <r>
    <n v="1004"/>
    <x v="13"/>
    <x v="2"/>
    <x v="1"/>
    <n v="11"/>
    <x v="2"/>
    <n v="1"/>
    <n v="4840.33"/>
    <n v="4884.29"/>
    <n v="4249.3323"/>
    <n v="46742.655299999999"/>
    <n v="53243.63"/>
    <n v="-6500.9746999999988"/>
    <n v="-0.13908013265990046"/>
    <s v="Loss"/>
    <x v="1"/>
    <n v="0.13"/>
    <s v="Cash"/>
    <s v="Online"/>
    <s v="North-Eve"/>
    <x v="1"/>
  </r>
  <r>
    <n v="1004"/>
    <x v="42"/>
    <x v="3"/>
    <x v="0"/>
    <n v="2"/>
    <x v="3"/>
    <n v="1"/>
    <n v="2953.23"/>
    <n v="2977.52"/>
    <n v="2649.9928"/>
    <n v="5299.9856"/>
    <n v="5906.46"/>
    <n v="-606.47440000000006"/>
    <n v="-0.11442944297810924"/>
    <s v="Loss"/>
    <x v="0"/>
    <n v="0.11"/>
    <s v="Credit Card"/>
    <s v="Retail"/>
    <s v="West-Alice"/>
    <x v="1"/>
  </r>
  <r>
    <n v="1004"/>
    <x v="43"/>
    <x v="0"/>
    <x v="0"/>
    <n v="38"/>
    <x v="1"/>
    <n v="1"/>
    <n v="4881.63"/>
    <n v="5088.0600000000004"/>
    <n v="4273.9704000000002"/>
    <n v="162410.87520000001"/>
    <n v="185501.94"/>
    <n v="-23091.064799999993"/>
    <n v="-0.14217683866037065"/>
    <s v="Loss"/>
    <x v="0"/>
    <n v="0.16"/>
    <s v="Credit Card"/>
    <s v="Retail"/>
    <s v="West-Bob"/>
    <x v="1"/>
  </r>
  <r>
    <n v="1004"/>
    <x v="44"/>
    <x v="2"/>
    <x v="3"/>
    <n v="27"/>
    <x v="2"/>
    <n v="1"/>
    <n v="4354.6000000000004"/>
    <n v="4820.2"/>
    <n v="4145.3719999999994"/>
    <n v="111925.04399999999"/>
    <n v="117574.20000000001"/>
    <n v="-5649.1560000000172"/>
    <n v="-5.0472671692673332E-2"/>
    <s v="Loss"/>
    <x v="1"/>
    <n v="0.14000000000000001"/>
    <s v="Credit Card"/>
    <s v="Retail"/>
    <s v="South-Eve"/>
    <x v="1"/>
  </r>
  <r>
    <n v="1004"/>
    <x v="45"/>
    <x v="4"/>
    <x v="2"/>
    <n v="12"/>
    <x v="2"/>
    <n v="1"/>
    <n v="4553.2299999999996"/>
    <n v="5038.74"/>
    <n v="4585.2533999999996"/>
    <n v="55023.040800000002"/>
    <n v="54638.759999999995"/>
    <n v="384.28080000000773"/>
    <n v="6.9839978745778021E-3"/>
    <s v="Profit"/>
    <x v="1"/>
    <n v="0.09"/>
    <s v="Credit Card"/>
    <s v="Retail"/>
    <s v="East-Charlie"/>
    <x v="1"/>
  </r>
  <r>
    <n v="1005"/>
    <x v="46"/>
    <x v="1"/>
    <x v="3"/>
    <n v="46"/>
    <x v="1"/>
    <n v="1"/>
    <n v="4691.42"/>
    <n v="5026.1899999999996"/>
    <n v="3920.4281999999998"/>
    <n v="180339.6972"/>
    <n v="215805.32"/>
    <n v="-35465.622800000012"/>
    <n v="-0.19666009952688338"/>
    <s v="Loss"/>
    <x v="0"/>
    <n v="0.22"/>
    <s v="Bank Transfer"/>
    <s v="Retail"/>
    <s v="South-David"/>
    <x v="1"/>
  </r>
  <r>
    <n v="1005"/>
    <x v="47"/>
    <x v="3"/>
    <x v="1"/>
    <n v="12"/>
    <x v="2"/>
    <n v="1"/>
    <n v="253.29"/>
    <n v="683.78"/>
    <n v="512.83500000000004"/>
    <n v="6154.02"/>
    <n v="3039.48"/>
    <n v="3114.5400000000004"/>
    <n v="0.50609845271871068"/>
    <s v="Profit"/>
    <x v="1"/>
    <n v="0.25"/>
    <s v="Credit Card"/>
    <s v="Online"/>
    <s v="North-Alice"/>
    <x v="0"/>
  </r>
  <r>
    <n v="1005"/>
    <x v="48"/>
    <x v="2"/>
    <x v="1"/>
    <n v="9"/>
    <x v="3"/>
    <n v="1"/>
    <n v="4737.0600000000004"/>
    <n v="4869.5"/>
    <n v="4528.6349999999993"/>
    <n v="40757.714999999997"/>
    <n v="42633.54"/>
    <n v="-1875.8250000000044"/>
    <n v="-4.6023801874074746E-2"/>
    <s v="Loss"/>
    <x v="1"/>
    <n v="7.0000000000000007E-2"/>
    <s v="Cash"/>
    <s v="Online"/>
    <s v="North-Eve"/>
    <x v="1"/>
  </r>
  <r>
    <n v="1005"/>
    <x v="7"/>
    <x v="2"/>
    <x v="2"/>
    <n v="28"/>
    <x v="2"/>
    <n v="1"/>
    <n v="3592.32"/>
    <n v="3813.48"/>
    <n v="3546.5364"/>
    <n v="99303.019199999995"/>
    <n v="100584.96000000001"/>
    <n v="-1281.9408000000112"/>
    <n v="-1.2909383927372182E-2"/>
    <s v="Loss"/>
    <x v="1"/>
    <n v="7.0000000000000007E-2"/>
    <s v="Credit Card"/>
    <s v="Retail"/>
    <s v="East-Eve"/>
    <x v="1"/>
  </r>
  <r>
    <n v="1005"/>
    <x v="49"/>
    <x v="0"/>
    <x v="1"/>
    <n v="21"/>
    <x v="0"/>
    <n v="1"/>
    <n v="4376.37"/>
    <n v="4818.95"/>
    <n v="4818.95"/>
    <n v="101197.95"/>
    <n v="91903.77"/>
    <n v="9294.179999999993"/>
    <n v="9.1841583747496791E-2"/>
    <s v="Profit"/>
    <x v="1"/>
    <n v="0"/>
    <s v="Credit Card"/>
    <s v="Retail"/>
    <s v="North-Bob"/>
    <x v="1"/>
  </r>
  <r>
    <n v="1005"/>
    <x v="50"/>
    <x v="2"/>
    <x v="3"/>
    <n v="6"/>
    <x v="0"/>
    <n v="1"/>
    <n v="122.5"/>
    <n v="385.83"/>
    <n v="347.24700000000001"/>
    <n v="2083.482"/>
    <n v="735"/>
    <n v="1348.482"/>
    <n v="0.64722517401158253"/>
    <s v="Profit"/>
    <x v="0"/>
    <n v="0.1"/>
    <s v="Cash"/>
    <s v="Retail"/>
    <s v="South-Eve"/>
    <x v="0"/>
  </r>
  <r>
    <n v="1005"/>
    <x v="51"/>
    <x v="0"/>
    <x v="0"/>
    <n v="14"/>
    <x v="2"/>
    <n v="1"/>
    <n v="1861.2"/>
    <n v="2075.35"/>
    <n v="1867.8150000000001"/>
    <n v="26149.41"/>
    <n v="26056.799999999999"/>
    <n v="92.610000000000582"/>
    <n v="3.5415713012263215E-3"/>
    <s v="Profit"/>
    <x v="0"/>
    <n v="0.1"/>
    <s v="Credit Card"/>
    <s v="Retail"/>
    <s v="West-Bob"/>
    <x v="0"/>
  </r>
  <r>
    <n v="1005"/>
    <x v="52"/>
    <x v="2"/>
    <x v="1"/>
    <n v="2"/>
    <x v="2"/>
    <n v="1"/>
    <n v="1392.15"/>
    <n v="1448.54"/>
    <n v="1419.5691999999999"/>
    <n v="2839.1383999999998"/>
    <n v="2784.3"/>
    <n v="54.838399999999638"/>
    <n v="1.9315155611998217E-2"/>
    <s v="Profit"/>
    <x v="0"/>
    <n v="0.02"/>
    <s v="Bank Transfer"/>
    <s v="Retail"/>
    <s v="North-Eve"/>
    <x v="0"/>
  </r>
  <r>
    <n v="1005"/>
    <x v="53"/>
    <x v="3"/>
    <x v="3"/>
    <n v="28"/>
    <x v="1"/>
    <n v="1"/>
    <n v="2146.2399999999998"/>
    <n v="2173.4699999999998"/>
    <n v="1956.1229999999998"/>
    <n v="54771.443999999996"/>
    <n v="60094.719999999994"/>
    <n v="-5323.275999999998"/>
    <n v="-9.7190718579557592E-2"/>
    <s v="Loss"/>
    <x v="0"/>
    <n v="0.1"/>
    <s v="Cash"/>
    <s v="Retail"/>
    <s v="South-Alice"/>
    <x v="0"/>
  </r>
  <r>
    <n v="1005"/>
    <x v="54"/>
    <x v="1"/>
    <x v="0"/>
    <n v="43"/>
    <x v="1"/>
    <n v="1"/>
    <n v="1200.4000000000001"/>
    <n v="1430.45"/>
    <n v="1316.0140000000001"/>
    <n v="56588.601999999999"/>
    <n v="51617.200000000004"/>
    <n v="4971.4019999999946"/>
    <n v="8.7851648994615464E-2"/>
    <s v="Profit"/>
    <x v="1"/>
    <n v="0.08"/>
    <s v="Bank Transfer"/>
    <s v="Retail"/>
    <s v="West-David"/>
    <x v="0"/>
  </r>
  <r>
    <n v="1005"/>
    <x v="55"/>
    <x v="3"/>
    <x v="2"/>
    <n v="12"/>
    <x v="3"/>
    <n v="1"/>
    <n v="319.83"/>
    <n v="802.43"/>
    <n v="770.33279999999991"/>
    <n v="9243.9935999999998"/>
    <n v="3837.96"/>
    <n v="5406.0335999999998"/>
    <n v="0.58481580947870837"/>
    <s v="Profit"/>
    <x v="1"/>
    <n v="0.04"/>
    <s v="Credit Card"/>
    <s v="Retail"/>
    <s v="East-Alice"/>
    <x v="0"/>
  </r>
  <r>
    <n v="1006"/>
    <x v="56"/>
    <x v="0"/>
    <x v="2"/>
    <n v="21"/>
    <x v="3"/>
    <n v="1"/>
    <n v="1701.62"/>
    <n v="2193.2199999999998"/>
    <n v="1710.7115999999999"/>
    <n v="35924.943599999999"/>
    <n v="35734.019999999997"/>
    <n v="190.9236000000019"/>
    <n v="5.3145135626601761E-3"/>
    <s v="Profit"/>
    <x v="1"/>
    <n v="0.22"/>
    <s v="Bank Transfer"/>
    <s v="Retail"/>
    <s v="East-Bob"/>
    <x v="0"/>
  </r>
  <r>
    <n v="1006"/>
    <x v="57"/>
    <x v="0"/>
    <x v="3"/>
    <n v="22"/>
    <x v="0"/>
    <n v="1"/>
    <n v="834.32"/>
    <n v="1098.97"/>
    <n v="912.14509999999996"/>
    <n v="20067.192199999998"/>
    <n v="18355.04"/>
    <n v="1712.1521999999968"/>
    <n v="8.5320964833336121E-2"/>
    <s v="Profit"/>
    <x v="0"/>
    <n v="0.17"/>
    <s v="Cash"/>
    <s v="Online"/>
    <s v="South-Bob"/>
    <x v="0"/>
  </r>
  <r>
    <n v="1006"/>
    <x v="58"/>
    <x v="0"/>
    <x v="1"/>
    <n v="49"/>
    <x v="0"/>
    <n v="1"/>
    <n v="2843.76"/>
    <n v="3146.6"/>
    <n v="2894.8719999999998"/>
    <n v="141848.728"/>
    <n v="139344.24000000002"/>
    <n v="2504.487999999983"/>
    <n v="1.7656048350324176E-2"/>
    <s v="Profit"/>
    <x v="1"/>
    <n v="0.08"/>
    <s v="Cash"/>
    <s v="Retail"/>
    <s v="North-Bob"/>
    <x v="1"/>
  </r>
  <r>
    <n v="1006"/>
    <x v="59"/>
    <x v="1"/>
    <x v="0"/>
    <n v="45"/>
    <x v="1"/>
    <n v="1"/>
    <n v="1623.63"/>
    <n v="1814.63"/>
    <n v="1288.3873000000001"/>
    <n v="57977.428500000002"/>
    <n v="73063.350000000006"/>
    <n v="-15085.921500000004"/>
    <n v="-0.26020335655280058"/>
    <s v="Loss"/>
    <x v="1"/>
    <n v="0.28999999999999998"/>
    <s v="Bank Transfer"/>
    <s v="Retail"/>
    <s v="West-David"/>
    <x v="0"/>
  </r>
  <r>
    <n v="1006"/>
    <x v="60"/>
    <x v="3"/>
    <x v="3"/>
    <n v="29"/>
    <x v="3"/>
    <n v="1"/>
    <n v="4353.29"/>
    <n v="4405.8"/>
    <n v="4229.5680000000002"/>
    <n v="122657.47200000001"/>
    <n v="126245.41"/>
    <n v="-3587.9379999999946"/>
    <n v="-2.9251687169942607E-2"/>
    <s v="Loss"/>
    <x v="1"/>
    <n v="0.04"/>
    <s v="Bank Transfer"/>
    <s v="Online"/>
    <s v="South-Alice"/>
    <x v="1"/>
  </r>
  <r>
    <n v="1006"/>
    <x v="61"/>
    <x v="0"/>
    <x v="2"/>
    <n v="14"/>
    <x v="0"/>
    <n v="1"/>
    <n v="4503.7299999999996"/>
    <n v="4879.88"/>
    <n v="3708.7088000000003"/>
    <n v="51921.923200000005"/>
    <n v="63052.219999999994"/>
    <n v="-11130.296799999989"/>
    <n v="-0.2143660348852407"/>
    <s v="Loss"/>
    <x v="1"/>
    <n v="0.24"/>
    <s v="Bank Transfer"/>
    <s v="Retail"/>
    <s v="East-Bob"/>
    <x v="1"/>
  </r>
  <r>
    <n v="1006"/>
    <x v="62"/>
    <x v="0"/>
    <x v="1"/>
    <n v="11"/>
    <x v="0"/>
    <n v="1"/>
    <n v="4562.58"/>
    <n v="4925.17"/>
    <n v="3792.3809000000001"/>
    <n v="41716.189900000005"/>
    <n v="50188.38"/>
    <n v="-8472.1900999999925"/>
    <n v="-0.20309117683827571"/>
    <s v="Loss"/>
    <x v="1"/>
    <n v="0.23"/>
    <s v="Cash"/>
    <s v="Retail"/>
    <s v="North-Bob"/>
    <x v="1"/>
  </r>
  <r>
    <n v="1006"/>
    <x v="63"/>
    <x v="4"/>
    <x v="1"/>
    <n v="19"/>
    <x v="2"/>
    <n v="1"/>
    <n v="2962.41"/>
    <n v="3218.9"/>
    <n v="2285.4189999999999"/>
    <n v="43422.960999999996"/>
    <n v="56285.789999999994"/>
    <n v="-12862.828999999998"/>
    <n v="-0.2962218306577481"/>
    <s v="Loss"/>
    <x v="1"/>
    <n v="0.28999999999999998"/>
    <s v="Cash"/>
    <s v="Retail"/>
    <s v="North-Charlie"/>
    <x v="1"/>
  </r>
  <r>
    <n v="1007"/>
    <x v="64"/>
    <x v="2"/>
    <x v="0"/>
    <n v="1"/>
    <x v="0"/>
    <n v="1"/>
    <n v="2543.2600000000002"/>
    <n v="2637.91"/>
    <n v="2110.328"/>
    <n v="2110.328"/>
    <n v="2543.2600000000002"/>
    <n v="-432.93200000000024"/>
    <n v="-0.20514915216971022"/>
    <s v="Loss"/>
    <x v="0"/>
    <n v="0.2"/>
    <s v="Credit Card"/>
    <s v="Online"/>
    <s v="West-Eve"/>
    <x v="0"/>
  </r>
  <r>
    <n v="1007"/>
    <x v="65"/>
    <x v="4"/>
    <x v="2"/>
    <n v="13"/>
    <x v="2"/>
    <n v="1"/>
    <n v="3597.2"/>
    <n v="4071.82"/>
    <n v="2890.9922000000001"/>
    <n v="37582.8986"/>
    <n v="46763.6"/>
    <n v="-9180.7013999999981"/>
    <n v="-0.24427869435275537"/>
    <s v="Loss"/>
    <x v="0"/>
    <n v="0.28999999999999998"/>
    <s v="Bank Transfer"/>
    <s v="Online"/>
    <s v="East-Charlie"/>
    <x v="1"/>
  </r>
  <r>
    <n v="1007"/>
    <x v="66"/>
    <x v="3"/>
    <x v="1"/>
    <n v="9"/>
    <x v="2"/>
    <n v="1"/>
    <n v="1481.76"/>
    <n v="1668.95"/>
    <n v="1468.6760000000002"/>
    <n v="13218.084000000001"/>
    <n v="13335.84"/>
    <n v="-117.7559999999994"/>
    <n v="-8.9087041662013495E-3"/>
    <s v="Loss"/>
    <x v="0"/>
    <n v="0.12"/>
    <s v="Credit Card"/>
    <s v="Retail"/>
    <s v="North-Alice"/>
    <x v="0"/>
  </r>
  <r>
    <n v="1007"/>
    <x v="67"/>
    <x v="2"/>
    <x v="2"/>
    <n v="16"/>
    <x v="1"/>
    <n v="1"/>
    <n v="4310.3100000000004"/>
    <n v="4633.1000000000004"/>
    <n v="3335.8320000000003"/>
    <n v="53373.312000000005"/>
    <n v="68964.960000000006"/>
    <n v="-15591.648000000001"/>
    <n v="-0.29212442353212031"/>
    <s v="Loss"/>
    <x v="1"/>
    <n v="0.28000000000000003"/>
    <s v="Credit Card"/>
    <s v="Retail"/>
    <s v="East-Eve"/>
    <x v="1"/>
  </r>
  <r>
    <n v="1007"/>
    <x v="12"/>
    <x v="3"/>
    <x v="3"/>
    <n v="34"/>
    <x v="2"/>
    <n v="1"/>
    <n v="1921.07"/>
    <n v="2289.27"/>
    <n v="2129.0210999999999"/>
    <n v="72386.717399999994"/>
    <n v="65316.38"/>
    <n v="7070.3373999999967"/>
    <n v="9.7674513418396808E-2"/>
    <s v="Profit"/>
    <x v="0"/>
    <n v="7.0000000000000007E-2"/>
    <s v="Bank Transfer"/>
    <s v="Retail"/>
    <s v="South-Alice"/>
    <x v="0"/>
  </r>
  <r>
    <n v="1007"/>
    <x v="68"/>
    <x v="4"/>
    <x v="2"/>
    <n v="43"/>
    <x v="1"/>
    <n v="1"/>
    <n v="3967.25"/>
    <n v="4272.92"/>
    <n v="3119.2316000000001"/>
    <n v="134126.95879999999"/>
    <n v="170591.75"/>
    <n v="-36464.791200000007"/>
    <n v="-0.27186772537185128"/>
    <s v="Loss"/>
    <x v="1"/>
    <n v="0.27"/>
    <s v="Credit Card"/>
    <s v="Online"/>
    <s v="East-Charlie"/>
    <x v="1"/>
  </r>
  <r>
    <n v="1007"/>
    <x v="69"/>
    <x v="4"/>
    <x v="0"/>
    <n v="13"/>
    <x v="1"/>
    <n v="1"/>
    <n v="3765.46"/>
    <n v="3860.56"/>
    <n v="3011.2368000000001"/>
    <n v="39146.078399999999"/>
    <n v="48950.98"/>
    <n v="-9804.9016000000047"/>
    <n v="-0.2504695744951046"/>
    <s v="Loss"/>
    <x v="0"/>
    <n v="0.22"/>
    <s v="Cash"/>
    <s v="Retail"/>
    <s v="West-Charlie"/>
    <x v="1"/>
  </r>
  <r>
    <n v="1007"/>
    <x v="55"/>
    <x v="1"/>
    <x v="2"/>
    <n v="14"/>
    <x v="1"/>
    <n v="1"/>
    <n v="1122.07"/>
    <n v="1608.76"/>
    <n v="1254.8328000000001"/>
    <n v="17567.659200000002"/>
    <n v="15708.98"/>
    <n v="1858.6792000000023"/>
    <n v="0.10580118721793066"/>
    <s v="Profit"/>
    <x v="1"/>
    <n v="0.22"/>
    <s v="Cash"/>
    <s v="Retail"/>
    <s v="East-David"/>
    <x v="0"/>
  </r>
  <r>
    <n v="1008"/>
    <x v="70"/>
    <x v="2"/>
    <x v="1"/>
    <n v="38"/>
    <x v="2"/>
    <n v="1"/>
    <n v="4635.2299999999996"/>
    <n v="5075.4399999999996"/>
    <n v="4821.6679999999997"/>
    <n v="183223.38399999996"/>
    <n v="176138.74"/>
    <n v="7084.6439999999711"/>
    <n v="3.8666702062439655E-2"/>
    <s v="Profit"/>
    <x v="0"/>
    <n v="0.05"/>
    <s v="Cash"/>
    <s v="Online"/>
    <s v="North-Eve"/>
    <x v="1"/>
  </r>
  <r>
    <n v="1008"/>
    <x v="71"/>
    <x v="4"/>
    <x v="2"/>
    <n v="27"/>
    <x v="3"/>
    <n v="1"/>
    <n v="68.989999999999995"/>
    <n v="429.29"/>
    <n v="352.01780000000002"/>
    <n v="9504.4806000000008"/>
    <n v="1862.7299999999998"/>
    <n v="7641.7506000000012"/>
    <n v="0.80401559239333931"/>
    <s v="Profit"/>
    <x v="0"/>
    <n v="0.18"/>
    <s v="Credit Card"/>
    <s v="Retail"/>
    <s v="East-Charlie"/>
    <x v="0"/>
  </r>
  <r>
    <n v="1008"/>
    <x v="72"/>
    <x v="3"/>
    <x v="3"/>
    <n v="49"/>
    <x v="3"/>
    <n v="1"/>
    <n v="2907.22"/>
    <n v="3385.61"/>
    <n v="2945.4807000000001"/>
    <n v="144328.55430000002"/>
    <n v="142453.78"/>
    <n v="1874.7743000000191"/>
    <n v="1.298962848407066E-2"/>
    <s v="Profit"/>
    <x v="1"/>
    <n v="0.13"/>
    <s v="Cash"/>
    <s v="Online"/>
    <s v="South-Alice"/>
    <x v="1"/>
  </r>
  <r>
    <n v="1008"/>
    <x v="73"/>
    <x v="3"/>
    <x v="2"/>
    <n v="32"/>
    <x v="0"/>
    <n v="1"/>
    <n v="4298.12"/>
    <n v="4446.8999999999996"/>
    <n v="4002.2099999999996"/>
    <n v="128070.71999999999"/>
    <n v="137539.84"/>
    <n v="-9469.1200000000099"/>
    <n v="-7.3936650000874599E-2"/>
    <s v="Loss"/>
    <x v="1"/>
    <n v="0.1"/>
    <s v="Bank Transfer"/>
    <s v="Online"/>
    <s v="East-Alice"/>
    <x v="1"/>
  </r>
  <r>
    <n v="1008"/>
    <x v="74"/>
    <x v="4"/>
    <x v="3"/>
    <n v="24"/>
    <x v="1"/>
    <n v="1"/>
    <n v="4739.13"/>
    <n v="4868.95"/>
    <n v="4187.2969999999996"/>
    <n v="100495.12799999998"/>
    <n v="113739.12"/>
    <n v="-13243.992000000013"/>
    <n v="-0.13178740366398672"/>
    <s v="Loss"/>
    <x v="1"/>
    <n v="0.14000000000000001"/>
    <s v="Credit Card"/>
    <s v="Retail"/>
    <s v="South-Charlie"/>
    <x v="1"/>
  </r>
  <r>
    <n v="1008"/>
    <x v="75"/>
    <x v="2"/>
    <x v="0"/>
    <n v="24"/>
    <x v="3"/>
    <n v="1"/>
    <n v="1542.24"/>
    <n v="1739.45"/>
    <n v="1374.1655000000001"/>
    <n v="32979.972000000002"/>
    <n v="37013.760000000002"/>
    <n v="-4033.7880000000005"/>
    <n v="-0.12231023119122116"/>
    <s v="Loss"/>
    <x v="0"/>
    <n v="0.21"/>
    <s v="Bank Transfer"/>
    <s v="Retail"/>
    <s v="West-Eve"/>
    <x v="0"/>
  </r>
  <r>
    <n v="1008"/>
    <x v="66"/>
    <x v="2"/>
    <x v="1"/>
    <n v="24"/>
    <x v="2"/>
    <n v="1"/>
    <n v="1394.17"/>
    <n v="1891.02"/>
    <n v="1493.9058"/>
    <n v="35853.739199999996"/>
    <n v="33460.080000000002"/>
    <n v="2393.6591999999946"/>
    <n v="6.6761773064941438E-2"/>
    <s v="Profit"/>
    <x v="1"/>
    <n v="0.21"/>
    <s v="Credit Card"/>
    <s v="Online"/>
    <s v="North-Eve"/>
    <x v="0"/>
  </r>
  <r>
    <n v="1008"/>
    <x v="59"/>
    <x v="4"/>
    <x v="3"/>
    <n v="32"/>
    <x v="0"/>
    <n v="1"/>
    <n v="921.32"/>
    <n v="1236.0999999999999"/>
    <n v="1087.768"/>
    <n v="34808.576000000001"/>
    <n v="29482.240000000002"/>
    <n v="5326.3359999999993"/>
    <n v="0.1530179229394503"/>
    <s v="Profit"/>
    <x v="1"/>
    <n v="0.12"/>
    <s v="Credit Card"/>
    <s v="Online"/>
    <s v="South-Charlie"/>
    <x v="0"/>
  </r>
  <r>
    <n v="1008"/>
    <x v="76"/>
    <x v="4"/>
    <x v="0"/>
    <n v="23"/>
    <x v="2"/>
    <n v="1"/>
    <n v="2296.9299999999998"/>
    <n v="2319.62"/>
    <n v="1786.1073999999999"/>
    <n v="41080.470199999996"/>
    <n v="52829.39"/>
    <n v="-11748.919800000003"/>
    <n v="-0.28599769532336083"/>
    <s v="Loss"/>
    <x v="0"/>
    <n v="0.23"/>
    <s v="Bank Transfer"/>
    <s v="Retail"/>
    <s v="West-Charlie"/>
    <x v="0"/>
  </r>
  <r>
    <n v="1008"/>
    <x v="22"/>
    <x v="1"/>
    <x v="2"/>
    <n v="37"/>
    <x v="1"/>
    <n v="1"/>
    <n v="1712.43"/>
    <n v="1980.06"/>
    <n v="1465.2444"/>
    <n v="54214.042800000003"/>
    <n v="63359.91"/>
    <n v="-9145.8672000000006"/>
    <n v="-0.16869922860650416"/>
    <s v="Loss"/>
    <x v="1"/>
    <n v="0.26"/>
    <s v="Cash"/>
    <s v="Online"/>
    <s v="East-David"/>
    <x v="0"/>
  </r>
  <r>
    <n v="1008"/>
    <x v="77"/>
    <x v="2"/>
    <x v="1"/>
    <n v="35"/>
    <x v="2"/>
    <n v="1"/>
    <n v="600.20000000000005"/>
    <n v="1059.82"/>
    <n v="752.47219999999993"/>
    <n v="26336.526999999998"/>
    <n v="21007"/>
    <n v="5329.5269999999982"/>
    <n v="0.20236255904204828"/>
    <s v="Profit"/>
    <x v="0"/>
    <n v="0.28999999999999998"/>
    <s v="Bank Transfer"/>
    <s v="Retail"/>
    <s v="North-Eve"/>
    <x v="0"/>
  </r>
  <r>
    <n v="1008"/>
    <x v="78"/>
    <x v="2"/>
    <x v="0"/>
    <n v="22"/>
    <x v="3"/>
    <n v="1"/>
    <n v="2269.3200000000002"/>
    <n v="2365.35"/>
    <n v="2294.3894999999998"/>
    <n v="50476.568999999996"/>
    <n v="49925.04"/>
    <n v="551.52899999999499"/>
    <n v="1.0926435986566263E-2"/>
    <s v="Profit"/>
    <x v="1"/>
    <n v="0.03"/>
    <s v="Cash"/>
    <s v="Retail"/>
    <s v="West-Eve"/>
    <x v="0"/>
  </r>
  <r>
    <n v="1008"/>
    <x v="79"/>
    <x v="1"/>
    <x v="3"/>
    <n v="40"/>
    <x v="2"/>
    <n v="1"/>
    <n v="2687.49"/>
    <n v="3001.56"/>
    <n v="2221.1543999999999"/>
    <n v="88846.175999999992"/>
    <n v="107499.59999999999"/>
    <n v="-18653.423999999999"/>
    <n v="-0.20995190608991435"/>
    <s v="Loss"/>
    <x v="0"/>
    <n v="0.26"/>
    <s v="Bank Transfer"/>
    <s v="Online"/>
    <s v="South-David"/>
    <x v="1"/>
  </r>
  <r>
    <n v="1009"/>
    <x v="80"/>
    <x v="0"/>
    <x v="3"/>
    <n v="14"/>
    <x v="0"/>
    <n v="1"/>
    <n v="547.79"/>
    <n v="958.76"/>
    <n v="891.64679999999998"/>
    <n v="12483.055199999999"/>
    <n v="7669.0599999999995"/>
    <n v="4813.9951999999994"/>
    <n v="0.38564238664906325"/>
    <s v="Profit"/>
    <x v="0"/>
    <n v="7.0000000000000007E-2"/>
    <s v="Credit Card"/>
    <s v="Retail"/>
    <s v="South-Bob"/>
    <x v="0"/>
  </r>
  <r>
    <n v="1009"/>
    <x v="81"/>
    <x v="1"/>
    <x v="2"/>
    <n v="1"/>
    <x v="2"/>
    <n v="1"/>
    <n v="3223.07"/>
    <n v="3590.83"/>
    <n v="2908.5723000000003"/>
    <n v="2908.5723000000003"/>
    <n v="3223.07"/>
    <n v="-314.4976999999999"/>
    <n v="-0.10812786053143664"/>
    <s v="Loss"/>
    <x v="1"/>
    <n v="0.19"/>
    <s v="Bank Transfer"/>
    <s v="Retail"/>
    <s v="East-David"/>
    <x v="1"/>
  </r>
  <r>
    <n v="1009"/>
    <x v="65"/>
    <x v="4"/>
    <x v="3"/>
    <n v="32"/>
    <x v="2"/>
    <n v="1"/>
    <n v="3219.88"/>
    <n v="3384.5"/>
    <n v="2910.67"/>
    <n v="93141.440000000002"/>
    <n v="103036.16"/>
    <n v="-9894.7200000000012"/>
    <n v="-0.10623327275163451"/>
    <s v="Loss"/>
    <x v="0"/>
    <n v="0.14000000000000001"/>
    <s v="Cash"/>
    <s v="Retail"/>
    <s v="South-Charlie"/>
    <x v="1"/>
  </r>
  <r>
    <n v="1009"/>
    <x v="9"/>
    <x v="1"/>
    <x v="0"/>
    <n v="40"/>
    <x v="1"/>
    <n v="1"/>
    <n v="2799.71"/>
    <n v="3231.08"/>
    <n v="2294.0668000000001"/>
    <n v="91762.671999999991"/>
    <n v="111988.4"/>
    <n v="-20225.728000000003"/>
    <n v="-0.22041345962550005"/>
    <s v="Loss"/>
    <x v="0"/>
    <n v="0.28999999999999998"/>
    <s v="Credit Card"/>
    <s v="Retail"/>
    <s v="West-David"/>
    <x v="1"/>
  </r>
  <r>
    <n v="1009"/>
    <x v="82"/>
    <x v="1"/>
    <x v="0"/>
    <n v="12"/>
    <x v="1"/>
    <n v="1"/>
    <n v="2278.67"/>
    <n v="2476.8000000000002"/>
    <n v="2253.8880000000004"/>
    <n v="27046.656000000003"/>
    <n v="27344.04"/>
    <n v="-297.3839999999982"/>
    <n v="-1.099522247778055E-2"/>
    <s v="Loss"/>
    <x v="1"/>
    <n v="0.09"/>
    <s v="Cash"/>
    <s v="Retail"/>
    <s v="West-David"/>
    <x v="0"/>
  </r>
  <r>
    <n v="1009"/>
    <x v="67"/>
    <x v="0"/>
    <x v="0"/>
    <n v="33"/>
    <x v="2"/>
    <n v="1"/>
    <n v="450.72"/>
    <n v="918.17"/>
    <n v="817.17129999999997"/>
    <n v="26966.652899999997"/>
    <n v="14873.76"/>
    <n v="12092.892899999997"/>
    <n v="0.44843877899285001"/>
    <s v="Profit"/>
    <x v="0"/>
    <n v="0.11"/>
    <s v="Cash"/>
    <s v="Online"/>
    <s v="West-Bob"/>
    <x v="0"/>
  </r>
  <r>
    <n v="1009"/>
    <x v="83"/>
    <x v="2"/>
    <x v="1"/>
    <n v="47"/>
    <x v="2"/>
    <n v="1"/>
    <n v="359.41"/>
    <n v="733"/>
    <n v="586.4"/>
    <n v="27560.800000000003"/>
    <n v="16892.27"/>
    <n v="10668.530000000002"/>
    <n v="0.38709072305593456"/>
    <s v="Profit"/>
    <x v="0"/>
    <n v="0.2"/>
    <s v="Bank Transfer"/>
    <s v="Retail"/>
    <s v="North-Eve"/>
    <x v="0"/>
  </r>
  <r>
    <n v="1009"/>
    <x v="33"/>
    <x v="3"/>
    <x v="1"/>
    <n v="33"/>
    <x v="2"/>
    <n v="1"/>
    <n v="2278.9"/>
    <n v="2626.9"/>
    <n v="2495.5549999999998"/>
    <n v="82353.314999999988"/>
    <n v="75203.7"/>
    <n v="7149.6149999999907"/>
    <n v="8.6816359487168079E-2"/>
    <s v="Profit"/>
    <x v="1"/>
    <n v="0.05"/>
    <s v="Credit Card"/>
    <s v="Online"/>
    <s v="North-Alice"/>
    <x v="0"/>
  </r>
  <r>
    <n v="1009"/>
    <x v="69"/>
    <x v="2"/>
    <x v="0"/>
    <n v="16"/>
    <x v="2"/>
    <n v="1"/>
    <n v="3745.69"/>
    <n v="3883.77"/>
    <n v="3184.6914000000002"/>
    <n v="50955.062400000003"/>
    <n v="59931.040000000001"/>
    <n v="-8975.9775999999983"/>
    <n v="-0.17615477593841583"/>
    <s v="Loss"/>
    <x v="0"/>
    <n v="0.18"/>
    <s v="Bank Transfer"/>
    <s v="Retail"/>
    <s v="West-Eve"/>
    <x v="1"/>
  </r>
  <r>
    <n v="1009"/>
    <x v="55"/>
    <x v="4"/>
    <x v="3"/>
    <n v="10"/>
    <x v="2"/>
    <n v="1"/>
    <n v="4364.3500000000004"/>
    <n v="4710.1000000000004"/>
    <n v="4380.393"/>
    <n v="43803.93"/>
    <n v="43643.5"/>
    <n v="160.43000000000029"/>
    <n v="3.6624567704313356E-3"/>
    <s v="Profit"/>
    <x v="1"/>
    <n v="7.0000000000000007E-2"/>
    <s v="Credit Card"/>
    <s v="Online"/>
    <s v="South-Charlie"/>
    <x v="1"/>
  </r>
  <r>
    <n v="1010"/>
    <x v="84"/>
    <x v="4"/>
    <x v="1"/>
    <n v="20"/>
    <x v="1"/>
    <n v="1"/>
    <n v="4298.74"/>
    <n v="4475.1899999999996"/>
    <n v="3759.1595999999995"/>
    <n v="75183.191999999981"/>
    <n v="85974.799999999988"/>
    <n v="-10791.608000000007"/>
    <n v="-0.14353750769187892"/>
    <s v="Loss"/>
    <x v="0"/>
    <n v="0.16"/>
    <s v="Cash"/>
    <s v="Online"/>
    <s v="North-Charlie"/>
    <x v="1"/>
  </r>
  <r>
    <n v="1010"/>
    <x v="85"/>
    <x v="4"/>
    <x v="1"/>
    <n v="4"/>
    <x v="0"/>
    <n v="1"/>
    <n v="4943.03"/>
    <n v="5442.15"/>
    <n v="3863.9264999999996"/>
    <n v="15455.705999999998"/>
    <n v="19772.12"/>
    <n v="-4316.4140000000007"/>
    <n v="-0.27927640445541607"/>
    <s v="Loss"/>
    <x v="0"/>
    <n v="0.28999999999999998"/>
    <s v="Cash"/>
    <s v="Online"/>
    <s v="North-Charlie"/>
    <x v="1"/>
  </r>
  <r>
    <n v="1010"/>
    <x v="86"/>
    <x v="1"/>
    <x v="2"/>
    <n v="47"/>
    <x v="1"/>
    <n v="1"/>
    <n v="2265.38"/>
    <n v="2429.9299999999998"/>
    <n v="2284.1341999999995"/>
    <n v="107354.30739999999"/>
    <n v="106472.86"/>
    <n v="881.44739999999001"/>
    <n v="8.2106384117009365E-3"/>
    <s v="Profit"/>
    <x v="0"/>
    <n v="0.06"/>
    <s v="Bank Transfer"/>
    <s v="Online"/>
    <s v="East-David"/>
    <x v="0"/>
  </r>
  <r>
    <n v="1010"/>
    <x v="53"/>
    <x v="1"/>
    <x v="3"/>
    <n v="30"/>
    <x v="0"/>
    <n v="1"/>
    <n v="3289.01"/>
    <n v="3508.14"/>
    <n v="2911.7561999999998"/>
    <n v="87352.685999999987"/>
    <n v="98670.3"/>
    <n v="-11317.614000000016"/>
    <n v="-0.12956228959004212"/>
    <s v="Loss"/>
    <x v="1"/>
    <n v="0.17"/>
    <s v="Bank Transfer"/>
    <s v="Retail"/>
    <s v="South-David"/>
    <x v="1"/>
  </r>
  <r>
    <n v="1010"/>
    <x v="87"/>
    <x v="2"/>
    <x v="3"/>
    <n v="37"/>
    <x v="2"/>
    <n v="1"/>
    <n v="4354.92"/>
    <n v="4495.88"/>
    <n v="4450.9211999999998"/>
    <n v="164684.08439999999"/>
    <n v="161132.04"/>
    <n v="3552.0443999999843"/>
    <n v="2.1568838378895491E-2"/>
    <s v="Profit"/>
    <x v="0"/>
    <n v="0.01"/>
    <s v="Bank Transfer"/>
    <s v="Online"/>
    <s v="South-Eve"/>
    <x v="1"/>
  </r>
  <r>
    <n v="1010"/>
    <x v="88"/>
    <x v="3"/>
    <x v="3"/>
    <n v="49"/>
    <x v="0"/>
    <n v="1"/>
    <n v="1150.3"/>
    <n v="1306.02"/>
    <n v="1227.6587999999999"/>
    <n v="60155.28119999999"/>
    <n v="56364.7"/>
    <n v="3790.5811999999933"/>
    <n v="6.3013273720678636E-2"/>
    <s v="Profit"/>
    <x v="1"/>
    <n v="0.06"/>
    <s v="Credit Card"/>
    <s v="Retail"/>
    <s v="South-Alice"/>
    <x v="0"/>
  </r>
  <r>
    <n v="1011"/>
    <x v="89"/>
    <x v="0"/>
    <x v="2"/>
    <n v="13"/>
    <x v="3"/>
    <n v="1"/>
    <n v="1442.69"/>
    <n v="1882.57"/>
    <n v="1355.4503999999999"/>
    <n v="17620.855199999998"/>
    <n v="18754.97"/>
    <n v="-1134.114800000003"/>
    <n v="-6.4362074776030342E-2"/>
    <s v="Loss"/>
    <x v="0"/>
    <n v="0.28000000000000003"/>
    <s v="Cash"/>
    <s v="Online"/>
    <s v="East-Bob"/>
    <x v="0"/>
  </r>
  <r>
    <n v="1011"/>
    <x v="66"/>
    <x v="3"/>
    <x v="3"/>
    <n v="38"/>
    <x v="1"/>
    <n v="1"/>
    <n v="4456.67"/>
    <n v="4642.46"/>
    <n v="4363.9124000000002"/>
    <n v="165828.67120000001"/>
    <n v="169353.46"/>
    <n v="-3524.7887999999803"/>
    <n v="-2.1255605405827917E-2"/>
    <s v="Loss"/>
    <x v="1"/>
    <n v="0.06"/>
    <s v="Bank Transfer"/>
    <s v="Online"/>
    <s v="South-Alice"/>
    <x v="1"/>
  </r>
  <r>
    <n v="1011"/>
    <x v="90"/>
    <x v="0"/>
    <x v="2"/>
    <n v="2"/>
    <x v="1"/>
    <n v="1"/>
    <n v="4906.17"/>
    <n v="5107.43"/>
    <n v="4596.6870000000008"/>
    <n v="9193.3740000000016"/>
    <n v="9812.34"/>
    <n v="-618.96599999999853"/>
    <n v="-6.7327403410325573E-2"/>
    <s v="Loss"/>
    <x v="0"/>
    <n v="0.1"/>
    <s v="Cash"/>
    <s v="Online"/>
    <s v="East-Bob"/>
    <x v="1"/>
  </r>
  <r>
    <n v="1011"/>
    <x v="91"/>
    <x v="2"/>
    <x v="1"/>
    <n v="22"/>
    <x v="3"/>
    <n v="1"/>
    <n v="1324.52"/>
    <n v="1510.3"/>
    <n v="1283.7549999999999"/>
    <n v="28242.609999999997"/>
    <n v="29139.439999999999"/>
    <n v="-896.83000000000175"/>
    <n v="-3.1754501443032421E-2"/>
    <s v="Loss"/>
    <x v="0"/>
    <n v="0.15"/>
    <s v="Cash"/>
    <s v="Retail"/>
    <s v="North-Eve"/>
    <x v="0"/>
  </r>
  <r>
    <n v="1012"/>
    <x v="92"/>
    <x v="0"/>
    <x v="2"/>
    <n v="19"/>
    <x v="1"/>
    <n v="1"/>
    <n v="3457.28"/>
    <n v="3598.72"/>
    <n v="2627.0655999999999"/>
    <n v="49914.246399999996"/>
    <n v="65688.320000000007"/>
    <n v="-15774.073600000011"/>
    <n v="-0.31602347501333833"/>
    <s v="Loss"/>
    <x v="1"/>
    <n v="0.27"/>
    <s v="Bank Transfer"/>
    <s v="Online"/>
    <s v="East-Bob"/>
    <x v="1"/>
  </r>
  <r>
    <n v="1012"/>
    <x v="93"/>
    <x v="1"/>
    <x v="0"/>
    <n v="13"/>
    <x v="0"/>
    <n v="1"/>
    <n v="1311.01"/>
    <n v="1538.79"/>
    <n v="1400.2989"/>
    <n v="18203.885700000003"/>
    <n v="17043.13"/>
    <n v="1160.7557000000015"/>
    <n v="6.3764172063550215E-2"/>
    <s v="Profit"/>
    <x v="0"/>
    <n v="0.09"/>
    <s v="Bank Transfer"/>
    <s v="Retail"/>
    <s v="West-David"/>
    <x v="0"/>
  </r>
  <r>
    <n v="1012"/>
    <x v="94"/>
    <x v="3"/>
    <x v="2"/>
    <n v="39"/>
    <x v="1"/>
    <n v="1"/>
    <n v="3126.52"/>
    <n v="3465.79"/>
    <n v="3188.5268000000001"/>
    <n v="124352.54520000001"/>
    <n v="121934.28"/>
    <n v="2418.2652000000089"/>
    <n v="1.9446849247119462E-2"/>
    <s v="Profit"/>
    <x v="1"/>
    <n v="0.08"/>
    <s v="Cash"/>
    <s v="Online"/>
    <s v="East-Alice"/>
    <x v="1"/>
  </r>
  <r>
    <n v="1012"/>
    <x v="11"/>
    <x v="2"/>
    <x v="1"/>
    <n v="6"/>
    <x v="2"/>
    <n v="1"/>
    <n v="3609.42"/>
    <n v="4082.62"/>
    <n v="2857.8339999999998"/>
    <n v="17147.004000000001"/>
    <n v="21656.52"/>
    <n v="-4509.5159999999996"/>
    <n v="-0.26299148236041697"/>
    <s v="Loss"/>
    <x v="0"/>
    <n v="0.3"/>
    <s v="Bank Transfer"/>
    <s v="Retail"/>
    <s v="North-Eve"/>
    <x v="1"/>
  </r>
  <r>
    <n v="1012"/>
    <x v="11"/>
    <x v="1"/>
    <x v="1"/>
    <n v="14"/>
    <x v="3"/>
    <n v="1"/>
    <n v="1185.5"/>
    <n v="1271.45"/>
    <n v="1233.3064999999999"/>
    <n v="17266.290999999997"/>
    <n v="16597"/>
    <n v="669.29099999999744"/>
    <n v="3.8762870381368969E-2"/>
    <s v="Profit"/>
    <x v="0"/>
    <n v="0.03"/>
    <s v="Bank Transfer"/>
    <s v="Retail"/>
    <s v="North-David"/>
    <x v="0"/>
  </r>
  <r>
    <n v="1012"/>
    <x v="95"/>
    <x v="0"/>
    <x v="0"/>
    <n v="13"/>
    <x v="3"/>
    <n v="1"/>
    <n v="2231.66"/>
    <n v="2596.61"/>
    <n v="2362.9151000000002"/>
    <n v="30717.8963"/>
    <n v="29011.579999999998"/>
    <n v="1706.3163000000022"/>
    <n v="5.5547954304409911E-2"/>
    <s v="Profit"/>
    <x v="0"/>
    <n v="0.09"/>
    <s v="Bank Transfer"/>
    <s v="Retail"/>
    <s v="West-Bob"/>
    <x v="0"/>
  </r>
  <r>
    <n v="1012"/>
    <x v="58"/>
    <x v="1"/>
    <x v="3"/>
    <n v="19"/>
    <x v="3"/>
    <n v="1"/>
    <n v="1427.42"/>
    <n v="1763.69"/>
    <n v="1710.7792999999999"/>
    <n v="32504.806700000001"/>
    <n v="27120.980000000003"/>
    <n v="5383.8266999999978"/>
    <n v="0.16563170947883218"/>
    <s v="Profit"/>
    <x v="1"/>
    <n v="0.03"/>
    <s v="Cash"/>
    <s v="Retail"/>
    <s v="South-David"/>
    <x v="0"/>
  </r>
  <r>
    <n v="1012"/>
    <x v="96"/>
    <x v="3"/>
    <x v="3"/>
    <n v="9"/>
    <x v="3"/>
    <n v="1"/>
    <n v="709.97"/>
    <n v="1029.71"/>
    <n v="895.84770000000003"/>
    <n v="8062.6292999999996"/>
    <n v="6389.7300000000005"/>
    <n v="1672.8992999999991"/>
    <n v="0.20748805851708935"/>
    <s v="Profit"/>
    <x v="0"/>
    <n v="0.13"/>
    <s v="Bank Transfer"/>
    <s v="Retail"/>
    <s v="South-Alice"/>
    <x v="0"/>
  </r>
  <r>
    <n v="1012"/>
    <x v="97"/>
    <x v="0"/>
    <x v="1"/>
    <n v="16"/>
    <x v="0"/>
    <n v="1"/>
    <n v="3466.11"/>
    <n v="3799.67"/>
    <n v="3761.6732999999999"/>
    <n v="60186.772799999999"/>
    <n v="55457.760000000002"/>
    <n v="4729.0127999999968"/>
    <n v="7.8572293877833516E-2"/>
    <s v="Profit"/>
    <x v="0"/>
    <n v="0.01"/>
    <s v="Cash"/>
    <s v="Retail"/>
    <s v="North-Bob"/>
    <x v="1"/>
  </r>
  <r>
    <n v="1012"/>
    <x v="98"/>
    <x v="3"/>
    <x v="3"/>
    <n v="47"/>
    <x v="2"/>
    <n v="1"/>
    <n v="325.75"/>
    <n v="803.71"/>
    <n v="707.26480000000004"/>
    <n v="33241.445599999999"/>
    <n v="15310.25"/>
    <n v="17931.195599999999"/>
    <n v="0.53942285831275638"/>
    <s v="Profit"/>
    <x v="1"/>
    <n v="0.12"/>
    <s v="Bank Transfer"/>
    <s v="Retail"/>
    <s v="South-Alice"/>
    <x v="0"/>
  </r>
  <r>
    <n v="1012"/>
    <x v="99"/>
    <x v="0"/>
    <x v="1"/>
    <n v="1"/>
    <x v="0"/>
    <n v="1"/>
    <n v="4190.83"/>
    <n v="4528.7700000000004"/>
    <n v="3532.4406000000004"/>
    <n v="3532.4406000000004"/>
    <n v="4190.83"/>
    <n v="-658.38939999999957"/>
    <n v="-0.18638371442112842"/>
    <s v="Loss"/>
    <x v="0"/>
    <n v="0.22"/>
    <s v="Bank Transfer"/>
    <s v="Online"/>
    <s v="North-Bob"/>
    <x v="1"/>
  </r>
  <r>
    <n v="1012"/>
    <x v="100"/>
    <x v="1"/>
    <x v="1"/>
    <n v="34"/>
    <x v="1"/>
    <n v="1"/>
    <n v="2462.5500000000002"/>
    <n v="2521.77"/>
    <n v="1992.1983"/>
    <n v="67734.742199999993"/>
    <n v="83726.700000000012"/>
    <n v="-15991.957800000018"/>
    <n v="-0.23609682831272399"/>
    <s v="Loss"/>
    <x v="1"/>
    <n v="0.21"/>
    <s v="Bank Transfer"/>
    <s v="Retail"/>
    <s v="North-David"/>
    <x v="0"/>
  </r>
  <r>
    <n v="1012"/>
    <x v="68"/>
    <x v="1"/>
    <x v="2"/>
    <n v="33"/>
    <x v="0"/>
    <n v="1"/>
    <n v="3831.09"/>
    <n v="3908.37"/>
    <n v="2774.9426999999996"/>
    <n v="91573.109099999987"/>
    <n v="126425.97"/>
    <n v="-34852.860900000014"/>
    <n v="-0.38060148052786841"/>
    <s v="Loss"/>
    <x v="1"/>
    <n v="0.28999999999999998"/>
    <s v="Cash"/>
    <s v="Retail"/>
    <s v="East-David"/>
    <x v="1"/>
  </r>
  <r>
    <n v="1013"/>
    <x v="101"/>
    <x v="4"/>
    <x v="2"/>
    <n v="16"/>
    <x v="1"/>
    <n v="1"/>
    <n v="1222.1500000000001"/>
    <n v="1284.3599999999999"/>
    <n v="1245.8291999999999"/>
    <n v="19933.267199999998"/>
    <n v="19554.400000000001"/>
    <n v="378.86719999999696"/>
    <n v="1.9006778778342819E-2"/>
    <s v="Profit"/>
    <x v="0"/>
    <n v="0.03"/>
    <s v="Credit Card"/>
    <s v="Retail"/>
    <s v="East-Charlie"/>
    <x v="0"/>
  </r>
  <r>
    <n v="1013"/>
    <x v="102"/>
    <x v="0"/>
    <x v="1"/>
    <n v="42"/>
    <x v="2"/>
    <n v="1"/>
    <n v="4625.33"/>
    <n v="4642.83"/>
    <n v="3760.6923000000002"/>
    <n v="157949.0766"/>
    <n v="194263.86"/>
    <n v="-36314.783399999986"/>
    <n v="-0.22991450271004615"/>
    <s v="Loss"/>
    <x v="1"/>
    <n v="0.19"/>
    <s v="Credit Card"/>
    <s v="Online"/>
    <s v="North-Bob"/>
    <x v="1"/>
  </r>
  <r>
    <n v="1013"/>
    <x v="103"/>
    <x v="3"/>
    <x v="0"/>
    <n v="16"/>
    <x v="1"/>
    <n v="1"/>
    <n v="919.58"/>
    <n v="1258.3"/>
    <n v="1082.1379999999999"/>
    <n v="17314.207999999999"/>
    <n v="14713.28"/>
    <n v="2600.9279999999981"/>
    <n v="0.15021928811297625"/>
    <s v="Profit"/>
    <x v="0"/>
    <n v="0.14000000000000001"/>
    <s v="Bank Transfer"/>
    <s v="Online"/>
    <s v="West-Alice"/>
    <x v="0"/>
  </r>
  <r>
    <n v="1013"/>
    <x v="104"/>
    <x v="3"/>
    <x v="0"/>
    <n v="35"/>
    <x v="3"/>
    <n v="1"/>
    <n v="1312.71"/>
    <n v="1352.11"/>
    <n v="1054.6458"/>
    <n v="36912.603000000003"/>
    <n v="45944.85"/>
    <n v="-9032.2469999999958"/>
    <n v="-0.2446927679416159"/>
    <s v="Loss"/>
    <x v="0"/>
    <n v="0.22"/>
    <s v="Bank Transfer"/>
    <s v="Retail"/>
    <s v="West-Alice"/>
    <x v="0"/>
  </r>
  <r>
    <n v="1013"/>
    <x v="105"/>
    <x v="3"/>
    <x v="2"/>
    <n v="26"/>
    <x v="2"/>
    <n v="1"/>
    <n v="3749.12"/>
    <n v="4138.83"/>
    <n v="3600.7820999999999"/>
    <n v="93620.334600000002"/>
    <n v="97477.119999999995"/>
    <n v="-3856.7853999999934"/>
    <n v="-4.1196022386358715E-2"/>
    <s v="Loss"/>
    <x v="1"/>
    <n v="0.13"/>
    <s v="Credit Card"/>
    <s v="Online"/>
    <s v="East-Alice"/>
    <x v="1"/>
  </r>
  <r>
    <n v="1013"/>
    <x v="85"/>
    <x v="2"/>
    <x v="1"/>
    <n v="42"/>
    <x v="1"/>
    <n v="1"/>
    <n v="1375.57"/>
    <n v="1729.71"/>
    <n v="1660.5216"/>
    <n v="69741.907200000001"/>
    <n v="57773.939999999995"/>
    <n v="11967.967200000006"/>
    <n v="0.17160366959393972"/>
    <s v="Profit"/>
    <x v="1"/>
    <n v="0.04"/>
    <s v="Cash"/>
    <s v="Online"/>
    <s v="North-Eve"/>
    <x v="0"/>
  </r>
  <r>
    <n v="1013"/>
    <x v="106"/>
    <x v="2"/>
    <x v="2"/>
    <n v="20"/>
    <x v="2"/>
    <n v="1"/>
    <n v="3356.62"/>
    <n v="3759.01"/>
    <n v="3571.0594999999998"/>
    <n v="71421.19"/>
    <n v="67132.399999999994"/>
    <n v="4288.7900000000081"/>
    <n v="6.004926549109596E-2"/>
    <s v="Profit"/>
    <x v="0"/>
    <n v="0.05"/>
    <s v="Credit Card"/>
    <s v="Retail"/>
    <s v="East-Eve"/>
    <x v="1"/>
  </r>
  <r>
    <n v="1013"/>
    <x v="21"/>
    <x v="1"/>
    <x v="2"/>
    <n v="46"/>
    <x v="3"/>
    <n v="1"/>
    <n v="1648.8"/>
    <n v="1670.36"/>
    <n v="1520.0275999999999"/>
    <n v="69921.2696"/>
    <n v="75844.800000000003"/>
    <n v="-5923.5304000000033"/>
    <n v="-8.4717145925508247E-2"/>
    <s v="Loss"/>
    <x v="0"/>
    <n v="0.09"/>
    <s v="Credit Card"/>
    <s v="Retail"/>
    <s v="East-David"/>
    <x v="0"/>
  </r>
  <r>
    <n v="1013"/>
    <x v="107"/>
    <x v="1"/>
    <x v="2"/>
    <n v="20"/>
    <x v="3"/>
    <n v="1"/>
    <n v="1533.36"/>
    <n v="1649.74"/>
    <n v="1484.7660000000001"/>
    <n v="29695.320000000003"/>
    <n v="30667.199999999997"/>
    <n v="-971.87999999999374"/>
    <n v="-3.2728389524005586E-2"/>
    <s v="Loss"/>
    <x v="0"/>
    <n v="0.1"/>
    <s v="Bank Transfer"/>
    <s v="Online"/>
    <s v="East-David"/>
    <x v="0"/>
  </r>
  <r>
    <n v="1013"/>
    <x v="108"/>
    <x v="2"/>
    <x v="2"/>
    <n v="31"/>
    <x v="0"/>
    <n v="1"/>
    <n v="2757.06"/>
    <n v="3023.97"/>
    <n v="2388.9362999999998"/>
    <n v="74057.025299999994"/>
    <n v="85468.86"/>
    <n v="-11411.834700000007"/>
    <n v="-0.15409523477038725"/>
    <s v="Loss"/>
    <x v="0"/>
    <n v="0.21"/>
    <s v="Cash"/>
    <s v="Online"/>
    <s v="East-Eve"/>
    <x v="1"/>
  </r>
  <r>
    <n v="1014"/>
    <x v="109"/>
    <x v="1"/>
    <x v="2"/>
    <n v="7"/>
    <x v="2"/>
    <n v="1"/>
    <n v="4705.46"/>
    <n v="4747.07"/>
    <n v="3465.3610999999996"/>
    <n v="24257.527699999999"/>
    <n v="32938.22"/>
    <n v="-8680.6923000000024"/>
    <n v="-0.35785560702461872"/>
    <s v="Loss"/>
    <x v="1"/>
    <n v="0.27"/>
    <s v="Bank Transfer"/>
    <s v="Retail"/>
    <s v="East-David"/>
    <x v="1"/>
  </r>
  <r>
    <n v="1014"/>
    <x v="110"/>
    <x v="0"/>
    <x v="0"/>
    <n v="49"/>
    <x v="1"/>
    <n v="1"/>
    <n v="493.35"/>
    <n v="799.27"/>
    <n v="719.34299999999996"/>
    <n v="35247.807000000001"/>
    <n v="24174.15"/>
    <n v="11073.656999999999"/>
    <n v="0.31416584299840267"/>
    <s v="Profit"/>
    <x v="1"/>
    <n v="0.1"/>
    <s v="Bank Transfer"/>
    <s v="Online"/>
    <s v="West-Bob"/>
    <x v="0"/>
  </r>
  <r>
    <n v="1014"/>
    <x v="111"/>
    <x v="3"/>
    <x v="1"/>
    <n v="3"/>
    <x v="3"/>
    <n v="1"/>
    <n v="2468.29"/>
    <n v="2723.13"/>
    <n v="2505.2796000000003"/>
    <n v="7515.8388000000004"/>
    <n v="7404.87"/>
    <n v="110.96880000000056"/>
    <n v="1.4764659401689209E-2"/>
    <s v="Profit"/>
    <x v="0"/>
    <n v="0.08"/>
    <s v="Cash"/>
    <s v="Retail"/>
    <s v="North-Alice"/>
    <x v="0"/>
  </r>
  <r>
    <n v="1014"/>
    <x v="112"/>
    <x v="1"/>
    <x v="1"/>
    <n v="9"/>
    <x v="3"/>
    <n v="1"/>
    <n v="132.47"/>
    <n v="316.39"/>
    <n v="272.09539999999998"/>
    <n v="2448.8585999999996"/>
    <n v="1192.23"/>
    <n v="1256.6285999999996"/>
    <n v="0.51314869711138067"/>
    <s v="Profit"/>
    <x v="1"/>
    <n v="0.14000000000000001"/>
    <s v="Credit Card"/>
    <s v="Online"/>
    <s v="North-David"/>
    <x v="0"/>
  </r>
  <r>
    <n v="1014"/>
    <x v="113"/>
    <x v="1"/>
    <x v="0"/>
    <n v="44"/>
    <x v="0"/>
    <n v="1"/>
    <n v="2257.48"/>
    <n v="2747.81"/>
    <n v="2005.9013"/>
    <n v="88259.657200000001"/>
    <n v="99329.12"/>
    <n v="-11069.462799999994"/>
    <n v="-0.12541928159675647"/>
    <s v="Loss"/>
    <x v="0"/>
    <n v="0.27"/>
    <s v="Cash"/>
    <s v="Online"/>
    <s v="West-David"/>
    <x v="0"/>
  </r>
  <r>
    <n v="1014"/>
    <x v="17"/>
    <x v="3"/>
    <x v="3"/>
    <n v="38"/>
    <x v="0"/>
    <n v="1"/>
    <n v="2091.21"/>
    <n v="2527"/>
    <n v="2501.73"/>
    <n v="95065.74"/>
    <n v="79465.98"/>
    <n v="15599.760000000009"/>
    <n v="0.16409444664292319"/>
    <s v="Profit"/>
    <x v="0"/>
    <n v="0.01"/>
    <s v="Credit Card"/>
    <s v="Online"/>
    <s v="South-Alice"/>
    <x v="0"/>
  </r>
  <r>
    <n v="1014"/>
    <x v="114"/>
    <x v="4"/>
    <x v="2"/>
    <n v="48"/>
    <x v="1"/>
    <n v="1"/>
    <n v="556.72"/>
    <n v="665.07"/>
    <n v="658.41930000000002"/>
    <n v="31604.126400000001"/>
    <n v="26722.560000000001"/>
    <n v="4881.5663999999997"/>
    <n v="0.15445977965712729"/>
    <s v="Profit"/>
    <x v="0"/>
    <n v="0.01"/>
    <s v="Bank Transfer"/>
    <s v="Retail"/>
    <s v="East-Charlie"/>
    <x v="0"/>
  </r>
  <r>
    <n v="1014"/>
    <x v="115"/>
    <x v="1"/>
    <x v="3"/>
    <n v="26"/>
    <x v="1"/>
    <n v="1"/>
    <n v="433.19"/>
    <n v="800.6"/>
    <n v="640.48"/>
    <n v="16652.480000000003"/>
    <n v="11262.94"/>
    <n v="5389.5400000000027"/>
    <n v="0.3236478890831877"/>
    <s v="Profit"/>
    <x v="0"/>
    <n v="0.2"/>
    <s v="Cash"/>
    <s v="Online"/>
    <s v="South-David"/>
    <x v="0"/>
  </r>
  <r>
    <n v="1014"/>
    <x v="116"/>
    <x v="1"/>
    <x v="2"/>
    <n v="4"/>
    <x v="1"/>
    <n v="1"/>
    <n v="854.68"/>
    <n v="1115.24"/>
    <n v="847.58240000000001"/>
    <n v="3390.3296"/>
    <n v="3418.72"/>
    <n v="-28.390399999999772"/>
    <n v="-8.3739350887889405E-3"/>
    <s v="Loss"/>
    <x v="1"/>
    <n v="0.24"/>
    <s v="Credit Card"/>
    <s v="Retail"/>
    <s v="East-David"/>
    <x v="0"/>
  </r>
  <r>
    <n v="1014"/>
    <x v="117"/>
    <x v="1"/>
    <x v="0"/>
    <n v="17"/>
    <x v="0"/>
    <n v="1"/>
    <n v="3184.65"/>
    <n v="3204.01"/>
    <n v="2563.2080000000005"/>
    <n v="43574.536000000007"/>
    <n v="54139.05"/>
    <n v="-10564.513999999996"/>
    <n v="-0.24244696489711318"/>
    <s v="Loss"/>
    <x v="1"/>
    <n v="0.2"/>
    <s v="Bank Transfer"/>
    <s v="Online"/>
    <s v="West-David"/>
    <x v="1"/>
  </r>
  <r>
    <n v="1015"/>
    <x v="118"/>
    <x v="1"/>
    <x v="3"/>
    <n v="30"/>
    <x v="0"/>
    <n v="1"/>
    <n v="2680.22"/>
    <n v="3027.92"/>
    <n v="2270.94"/>
    <n v="68128.200000000012"/>
    <n v="80406.599999999991"/>
    <n v="-12278.39999999998"/>
    <n v="-0.1802249288840741"/>
    <s v="Loss"/>
    <x v="0"/>
    <n v="0.25"/>
    <s v="Bank Transfer"/>
    <s v="Online"/>
    <s v="South-David"/>
    <x v="1"/>
  </r>
  <r>
    <n v="1015"/>
    <x v="119"/>
    <x v="3"/>
    <x v="2"/>
    <n v="19"/>
    <x v="2"/>
    <n v="1"/>
    <n v="433.54"/>
    <n v="445.48"/>
    <n v="316.29079999999999"/>
    <n v="6009.5252"/>
    <n v="8237.26"/>
    <n v="-2227.7348000000002"/>
    <n v="-0.37070063372061407"/>
    <s v="Loss"/>
    <x v="1"/>
    <n v="0.28999999999999998"/>
    <s v="Bank Transfer"/>
    <s v="Retail"/>
    <s v="East-Alice"/>
    <x v="0"/>
  </r>
  <r>
    <n v="1015"/>
    <x v="120"/>
    <x v="4"/>
    <x v="2"/>
    <n v="23"/>
    <x v="3"/>
    <n v="1"/>
    <n v="2644.77"/>
    <n v="2684.83"/>
    <n v="2040.4708000000001"/>
    <n v="46930.828399999999"/>
    <n v="60829.71"/>
    <n v="-13898.881600000001"/>
    <n v="-0.29615674970697942"/>
    <s v="Loss"/>
    <x v="1"/>
    <n v="0.24"/>
    <s v="Cash"/>
    <s v="Online"/>
    <s v="East-Charlie"/>
    <x v="0"/>
  </r>
  <r>
    <n v="1015"/>
    <x v="121"/>
    <x v="2"/>
    <x v="2"/>
    <n v="32"/>
    <x v="1"/>
    <n v="1"/>
    <n v="970.51"/>
    <n v="1330.84"/>
    <n v="1250.9895999999999"/>
    <n v="40031.667199999996"/>
    <n v="31056.32"/>
    <n v="8975.3471999999965"/>
    <n v="0.22420618045106044"/>
    <s v="Profit"/>
    <x v="0"/>
    <n v="0.06"/>
    <s v="Cash"/>
    <s v="Retail"/>
    <s v="East-Eve"/>
    <x v="0"/>
  </r>
  <r>
    <n v="1015"/>
    <x v="122"/>
    <x v="4"/>
    <x v="1"/>
    <n v="23"/>
    <x v="0"/>
    <n v="1"/>
    <n v="2937.94"/>
    <n v="3007.53"/>
    <n v="2917.3041000000003"/>
    <n v="67097.994300000006"/>
    <n v="67572.62"/>
    <n v="-474.62569999998959"/>
    <n v="-7.0736197847867648E-3"/>
    <s v="Loss"/>
    <x v="0"/>
    <n v="0.03"/>
    <s v="Cash"/>
    <s v="Retail"/>
    <s v="North-Charlie"/>
    <x v="1"/>
  </r>
  <r>
    <n v="1015"/>
    <x v="123"/>
    <x v="2"/>
    <x v="2"/>
    <n v="1"/>
    <x v="1"/>
    <n v="1"/>
    <n v="2928.74"/>
    <n v="3027.74"/>
    <n v="2573.5789999999997"/>
    <n v="2573.5789999999997"/>
    <n v="2928.74"/>
    <n v="-355.16100000000006"/>
    <n v="-0.1380027580268568"/>
    <s v="Loss"/>
    <x v="1"/>
    <n v="0.15"/>
    <s v="Bank Transfer"/>
    <s v="Retail"/>
    <s v="East-Eve"/>
    <x v="1"/>
  </r>
  <r>
    <n v="1015"/>
    <x v="124"/>
    <x v="1"/>
    <x v="3"/>
    <n v="30"/>
    <x v="0"/>
    <n v="1"/>
    <n v="261.56"/>
    <n v="371.4"/>
    <n v="297.12"/>
    <n v="8913.6"/>
    <n v="7846.8"/>
    <n v="1066.8000000000002"/>
    <n v="0.11968228325255791"/>
    <s v="Profit"/>
    <x v="0"/>
    <n v="0.2"/>
    <s v="Bank Transfer"/>
    <s v="Retail"/>
    <s v="South-David"/>
    <x v="0"/>
  </r>
  <r>
    <n v="1015"/>
    <x v="125"/>
    <x v="1"/>
    <x v="3"/>
    <n v="22"/>
    <x v="3"/>
    <n v="1"/>
    <n v="4275.59"/>
    <n v="4576.72"/>
    <n v="4485.1855999999998"/>
    <n v="98674.083200000008"/>
    <n v="94062.98000000001"/>
    <n v="4611.1031999999977"/>
    <n v="4.6730641425407206E-2"/>
    <s v="Profit"/>
    <x v="0"/>
    <n v="0.02"/>
    <s v="Cash"/>
    <s v="Retail"/>
    <s v="South-David"/>
    <x v="1"/>
  </r>
  <r>
    <n v="1015"/>
    <x v="50"/>
    <x v="0"/>
    <x v="2"/>
    <n v="35"/>
    <x v="2"/>
    <n v="1"/>
    <n v="3461.15"/>
    <n v="3631.75"/>
    <n v="2651.1774999999998"/>
    <n v="92791.212499999994"/>
    <n v="121140.25"/>
    <n v="-28349.037500000006"/>
    <n v="-0.30551424791437021"/>
    <s v="Loss"/>
    <x v="0"/>
    <n v="0.27"/>
    <s v="Credit Card"/>
    <s v="Online"/>
    <s v="East-Bob"/>
    <x v="1"/>
  </r>
  <r>
    <n v="1015"/>
    <x v="126"/>
    <x v="1"/>
    <x v="1"/>
    <n v="9"/>
    <x v="3"/>
    <n v="1"/>
    <n v="4680.3500000000004"/>
    <n v="4758.1099999999997"/>
    <n v="4520.2044999999998"/>
    <n v="40681.840499999998"/>
    <n v="42123.15"/>
    <n v="-1441.309500000003"/>
    <n v="-3.5428817435140453E-2"/>
    <s v="Loss"/>
    <x v="0"/>
    <n v="0.05"/>
    <s v="Bank Transfer"/>
    <s v="Online"/>
    <s v="North-David"/>
    <x v="1"/>
  </r>
  <r>
    <n v="1016"/>
    <x v="127"/>
    <x v="1"/>
    <x v="0"/>
    <n v="46"/>
    <x v="2"/>
    <n v="1"/>
    <n v="1023.5"/>
    <n v="1164.4100000000001"/>
    <n v="838.37520000000006"/>
    <n v="38565.2592"/>
    <n v="47081"/>
    <n v="-8515.7407999999996"/>
    <n v="-0.22081378361382825"/>
    <s v="Loss"/>
    <x v="0"/>
    <n v="0.28000000000000003"/>
    <s v="Credit Card"/>
    <s v="Retail"/>
    <s v="West-David"/>
    <x v="0"/>
  </r>
  <r>
    <n v="1016"/>
    <x v="0"/>
    <x v="3"/>
    <x v="0"/>
    <n v="16"/>
    <x v="1"/>
    <n v="1"/>
    <n v="4457.68"/>
    <n v="4743.03"/>
    <n v="3841.8543"/>
    <n v="61469.668799999999"/>
    <n v="71322.880000000005"/>
    <n v="-9853.2112000000052"/>
    <n v="-0.16029387163380984"/>
    <s v="Loss"/>
    <x v="0"/>
    <n v="0.19"/>
    <s v="Cash"/>
    <s v="Online"/>
    <s v="West-Alice"/>
    <x v="1"/>
  </r>
  <r>
    <n v="1016"/>
    <x v="112"/>
    <x v="4"/>
    <x v="3"/>
    <n v="24"/>
    <x v="1"/>
    <n v="1"/>
    <n v="88.44"/>
    <n v="338.94"/>
    <n v="240.64739999999998"/>
    <n v="5775.5375999999997"/>
    <n v="2122.56"/>
    <n v="3652.9775999999997"/>
    <n v="0.63249135457104455"/>
    <s v="Profit"/>
    <x v="1"/>
    <n v="0.28999999999999998"/>
    <s v="Cash"/>
    <s v="Online"/>
    <s v="South-Charlie"/>
    <x v="0"/>
  </r>
  <r>
    <n v="1016"/>
    <x v="122"/>
    <x v="2"/>
    <x v="0"/>
    <n v="11"/>
    <x v="3"/>
    <n v="1"/>
    <n v="3094.57"/>
    <n v="3565.6"/>
    <n v="3209.04"/>
    <n v="35299.440000000002"/>
    <n v="34040.270000000004"/>
    <n v="1259.1699999999983"/>
    <n v="3.5671104130830356E-2"/>
    <s v="Profit"/>
    <x v="0"/>
    <n v="0.1"/>
    <s v="Credit Card"/>
    <s v="Retail"/>
    <s v="West-Eve"/>
    <x v="1"/>
  </r>
  <r>
    <n v="1016"/>
    <x v="82"/>
    <x v="2"/>
    <x v="0"/>
    <n v="21"/>
    <x v="3"/>
    <n v="1"/>
    <n v="2863.74"/>
    <n v="2953.91"/>
    <n v="2658.5189999999998"/>
    <n v="55828.899000000005"/>
    <n v="60138.539999999994"/>
    <n v="-4309.6409999999887"/>
    <n v="-7.719373079522826E-2"/>
    <s v="Loss"/>
    <x v="1"/>
    <n v="0.1"/>
    <s v="Bank Transfer"/>
    <s v="Retail"/>
    <s v="West-Eve"/>
    <x v="1"/>
  </r>
  <r>
    <n v="1016"/>
    <x v="67"/>
    <x v="2"/>
    <x v="0"/>
    <n v="7"/>
    <x v="0"/>
    <n v="1"/>
    <n v="282.94"/>
    <n v="779.33"/>
    <n v="561.11760000000004"/>
    <n v="3927.8232000000003"/>
    <n v="1980.58"/>
    <n v="1947.2432000000003"/>
    <n v="0.49575632630307803"/>
    <s v="Profit"/>
    <x v="0"/>
    <n v="0.28000000000000003"/>
    <s v="Credit Card"/>
    <s v="Online"/>
    <s v="West-Eve"/>
    <x v="0"/>
  </r>
  <r>
    <n v="1016"/>
    <x v="128"/>
    <x v="1"/>
    <x v="3"/>
    <n v="4"/>
    <x v="0"/>
    <n v="1"/>
    <n v="688.98"/>
    <n v="863.81"/>
    <n v="630.58129999999994"/>
    <n v="2522.3251999999998"/>
    <n v="2755.92"/>
    <n v="-233.5948000000003"/>
    <n v="-9.2610897278431956E-2"/>
    <s v="Loss"/>
    <x v="1"/>
    <n v="0.27"/>
    <s v="Credit Card"/>
    <s v="Retail"/>
    <s v="South-David"/>
    <x v="0"/>
  </r>
  <r>
    <n v="1016"/>
    <x v="77"/>
    <x v="1"/>
    <x v="3"/>
    <n v="6"/>
    <x v="1"/>
    <n v="1"/>
    <n v="4502.09"/>
    <n v="4879.72"/>
    <n v="4245.3564000000006"/>
    <n v="25472.1384"/>
    <n v="27012.54"/>
    <n v="-1540.4016000000011"/>
    <n v="-6.0473980464867488E-2"/>
    <s v="Loss"/>
    <x v="1"/>
    <n v="0.13"/>
    <s v="Credit Card"/>
    <s v="Online"/>
    <s v="South-David"/>
    <x v="1"/>
  </r>
  <r>
    <n v="1016"/>
    <x v="129"/>
    <x v="2"/>
    <x v="2"/>
    <n v="26"/>
    <x v="2"/>
    <n v="1"/>
    <n v="4906.8500000000004"/>
    <n v="4954.3900000000003"/>
    <n v="3715.7925000000005"/>
    <n v="96610.60500000001"/>
    <n v="127578.1"/>
    <n v="-30967.494999999995"/>
    <n v="-0.32053929276190735"/>
    <s v="Loss"/>
    <x v="1"/>
    <n v="0.25"/>
    <s v="Bank Transfer"/>
    <s v="Online"/>
    <s v="East-Eve"/>
    <x v="1"/>
  </r>
  <r>
    <n v="1016"/>
    <x v="130"/>
    <x v="3"/>
    <x v="0"/>
    <n v="2"/>
    <x v="3"/>
    <n v="1"/>
    <n v="3144.82"/>
    <n v="3480.58"/>
    <n v="3062.9103999999998"/>
    <n v="6125.8207999999995"/>
    <n v="6289.64"/>
    <n v="-163.81920000000082"/>
    <n v="-2.6742408135739269E-2"/>
    <s v="Loss"/>
    <x v="0"/>
    <n v="0.12"/>
    <s v="Cash"/>
    <s v="Retail"/>
    <s v="West-Alice"/>
    <x v="1"/>
  </r>
  <r>
    <n v="1016"/>
    <x v="131"/>
    <x v="4"/>
    <x v="1"/>
    <n v="3"/>
    <x v="3"/>
    <n v="1"/>
    <n v="3401.87"/>
    <n v="3733.71"/>
    <n v="3509.6873999999998"/>
    <n v="10529.0622"/>
    <n v="10205.61"/>
    <n v="323.45219999999972"/>
    <n v="3.0719943890159536E-2"/>
    <s v="Profit"/>
    <x v="0"/>
    <n v="0.06"/>
    <s v="Bank Transfer"/>
    <s v="Retail"/>
    <s v="North-Charlie"/>
    <x v="1"/>
  </r>
  <r>
    <n v="1016"/>
    <x v="132"/>
    <x v="2"/>
    <x v="1"/>
    <n v="41"/>
    <x v="0"/>
    <n v="1"/>
    <n v="3386.49"/>
    <n v="3430.99"/>
    <n v="2710.4821000000002"/>
    <n v="111129.76610000001"/>
    <n v="138846.09"/>
    <n v="-27716.323899999988"/>
    <n v="-0.24940504126553711"/>
    <s v="Loss"/>
    <x v="1"/>
    <n v="0.21"/>
    <s v="Bank Transfer"/>
    <s v="Retail"/>
    <s v="North-Eve"/>
    <x v="1"/>
  </r>
  <r>
    <n v="1016"/>
    <x v="45"/>
    <x v="2"/>
    <x v="2"/>
    <n v="38"/>
    <x v="3"/>
    <n v="1"/>
    <n v="3883.38"/>
    <n v="4152.72"/>
    <n v="3073.0128"/>
    <n v="116774.48640000001"/>
    <n v="147568.44"/>
    <n v="-30793.953599999993"/>
    <n v="-0.26370446618380494"/>
    <s v="Loss"/>
    <x v="0"/>
    <n v="0.26"/>
    <s v="Cash"/>
    <s v="Online"/>
    <s v="East-Eve"/>
    <x v="1"/>
  </r>
  <r>
    <n v="1017"/>
    <x v="133"/>
    <x v="4"/>
    <x v="0"/>
    <n v="2"/>
    <x v="0"/>
    <n v="1"/>
    <n v="728.41"/>
    <n v="1094.92"/>
    <n v="832.13920000000007"/>
    <n v="1664.2784000000001"/>
    <n v="1456.82"/>
    <n v="207.45840000000021"/>
    <n v="0.12465366371395567"/>
    <s v="Profit"/>
    <x v="1"/>
    <n v="0.24"/>
    <s v="Cash"/>
    <s v="Retail"/>
    <s v="West-Charlie"/>
    <x v="0"/>
  </r>
  <r>
    <n v="1017"/>
    <x v="134"/>
    <x v="4"/>
    <x v="2"/>
    <n v="35"/>
    <x v="1"/>
    <n v="1"/>
    <n v="4480.63"/>
    <n v="4884.12"/>
    <n v="4688.7551999999996"/>
    <n v="164106.43199999997"/>
    <n v="156822.05000000002"/>
    <n v="7284.3819999999541"/>
    <n v="4.4388156583649051E-2"/>
    <s v="Profit"/>
    <x v="1"/>
    <n v="0.04"/>
    <s v="Cash"/>
    <s v="Online"/>
    <s v="East-Charlie"/>
    <x v="1"/>
  </r>
  <r>
    <n v="1017"/>
    <x v="135"/>
    <x v="3"/>
    <x v="1"/>
    <n v="43"/>
    <x v="1"/>
    <n v="1"/>
    <n v="1454.8"/>
    <n v="1674.97"/>
    <n v="1624.7209"/>
    <n v="69862.998700000011"/>
    <n v="62556.4"/>
    <n v="7306.5987000000096"/>
    <n v="0.10458467051171694"/>
    <s v="Profit"/>
    <x v="1"/>
    <n v="0.03"/>
    <s v="Credit Card"/>
    <s v="Online"/>
    <s v="North-Alice"/>
    <x v="0"/>
  </r>
  <r>
    <n v="1017"/>
    <x v="136"/>
    <x v="2"/>
    <x v="1"/>
    <n v="6"/>
    <x v="1"/>
    <n v="1"/>
    <n v="2594.42"/>
    <n v="3081.04"/>
    <n v="2772.9360000000001"/>
    <n v="16637.615999999998"/>
    <n v="15566.52"/>
    <n v="1071.0959999999977"/>
    <n v="6.4377973382724898E-2"/>
    <s v="Profit"/>
    <x v="0"/>
    <n v="0.1"/>
    <s v="Bank Transfer"/>
    <s v="Retail"/>
    <s v="North-Eve"/>
    <x v="1"/>
  </r>
  <r>
    <n v="1017"/>
    <x v="137"/>
    <x v="1"/>
    <x v="1"/>
    <n v="23"/>
    <x v="3"/>
    <n v="1"/>
    <n v="1771.52"/>
    <n v="2147.8000000000002"/>
    <n v="1997.454"/>
    <n v="45941.441999999995"/>
    <n v="40744.959999999999"/>
    <n v="5196.4819999999963"/>
    <n v="0.11311099029063991"/>
    <s v="Profit"/>
    <x v="1"/>
    <n v="7.0000000000000007E-2"/>
    <s v="Bank Transfer"/>
    <s v="Online"/>
    <s v="North-David"/>
    <x v="0"/>
  </r>
  <r>
    <n v="1017"/>
    <x v="138"/>
    <x v="3"/>
    <x v="3"/>
    <n v="18"/>
    <x v="1"/>
    <n v="1"/>
    <n v="1069.73"/>
    <n v="1180.04"/>
    <n v="920.43119999999999"/>
    <n v="16567.761600000002"/>
    <n v="19255.14"/>
    <n v="-2687.3783999999978"/>
    <n v="-0.16220527943859342"/>
    <s v="Loss"/>
    <x v="0"/>
    <n v="0.22"/>
    <s v="Bank Transfer"/>
    <s v="Online"/>
    <s v="South-Alice"/>
    <x v="0"/>
  </r>
  <r>
    <n v="1017"/>
    <x v="139"/>
    <x v="0"/>
    <x v="1"/>
    <n v="28"/>
    <x v="2"/>
    <n v="1"/>
    <n v="3780.91"/>
    <n v="3892.73"/>
    <n v="3503.4569999999999"/>
    <n v="98096.796000000002"/>
    <n v="105865.48"/>
    <n v="-7768.6839999999938"/>
    <n v="-7.9194064605331183E-2"/>
    <s v="Loss"/>
    <x v="0"/>
    <n v="0.1"/>
    <s v="Cash"/>
    <s v="Retail"/>
    <s v="North-Bob"/>
    <x v="1"/>
  </r>
  <r>
    <n v="1017"/>
    <x v="140"/>
    <x v="0"/>
    <x v="2"/>
    <n v="29"/>
    <x v="2"/>
    <n v="1"/>
    <n v="3410.49"/>
    <n v="3481.72"/>
    <n v="2646.1071999999999"/>
    <n v="76737.108799999987"/>
    <n v="98904.209999999992"/>
    <n v="-22167.101200000005"/>
    <n v="-0.28887068520882309"/>
    <s v="Loss"/>
    <x v="1"/>
    <n v="0.24"/>
    <s v="Bank Transfer"/>
    <s v="Retail"/>
    <s v="East-Bob"/>
    <x v="1"/>
  </r>
  <r>
    <n v="1017"/>
    <x v="20"/>
    <x v="4"/>
    <x v="1"/>
    <n v="16"/>
    <x v="1"/>
    <n v="1"/>
    <n v="102.23"/>
    <n v="167.12"/>
    <n v="160.43520000000001"/>
    <n v="2566.9632000000001"/>
    <n v="1635.68"/>
    <n v="931.28320000000008"/>
    <n v="0.36279569570767511"/>
    <s v="Profit"/>
    <x v="1"/>
    <n v="0.04"/>
    <s v="Credit Card"/>
    <s v="Retail"/>
    <s v="North-Charlie"/>
    <x v="0"/>
  </r>
  <r>
    <n v="1017"/>
    <x v="141"/>
    <x v="1"/>
    <x v="2"/>
    <n v="1"/>
    <x v="0"/>
    <n v="1"/>
    <n v="172.59"/>
    <n v="404.69"/>
    <n v="287.32990000000001"/>
    <n v="287.32990000000001"/>
    <n v="172.59"/>
    <n v="114.73990000000001"/>
    <n v="0.39933156973917439"/>
    <s v="Profit"/>
    <x v="0"/>
    <n v="0.28999999999999998"/>
    <s v="Bank Transfer"/>
    <s v="Online"/>
    <s v="East-David"/>
    <x v="0"/>
  </r>
  <r>
    <n v="1017"/>
    <x v="142"/>
    <x v="3"/>
    <x v="2"/>
    <n v="33"/>
    <x v="0"/>
    <n v="1"/>
    <n v="1551.25"/>
    <n v="1994.01"/>
    <n v="1834.4892"/>
    <n v="60538.143600000003"/>
    <n v="51191.25"/>
    <n v="9346.8936000000031"/>
    <n v="0.15439676614067832"/>
    <s v="Profit"/>
    <x v="0"/>
    <n v="0.08"/>
    <s v="Cash"/>
    <s v="Online"/>
    <s v="East-Alice"/>
    <x v="0"/>
  </r>
  <r>
    <n v="1017"/>
    <x v="143"/>
    <x v="2"/>
    <x v="1"/>
    <n v="27"/>
    <x v="3"/>
    <n v="1"/>
    <n v="927.89"/>
    <n v="1399.09"/>
    <n v="1021.3356999999999"/>
    <n v="27576.063900000001"/>
    <n v="25053.03"/>
    <n v="2523.0339000000022"/>
    <n v="9.149361958071188E-2"/>
    <s v="Profit"/>
    <x v="0"/>
    <n v="0.27"/>
    <s v="Credit Card"/>
    <s v="Online"/>
    <s v="North-Eve"/>
    <x v="0"/>
  </r>
  <r>
    <n v="1017"/>
    <x v="62"/>
    <x v="1"/>
    <x v="2"/>
    <n v="35"/>
    <x v="3"/>
    <n v="1"/>
    <n v="4867.6400000000003"/>
    <n v="5287.05"/>
    <n v="3806.6759999999999"/>
    <n v="133233.66"/>
    <n v="170367.40000000002"/>
    <n v="-37133.74000000002"/>
    <n v="-0.27871140070759909"/>
    <s v="Loss"/>
    <x v="0"/>
    <n v="0.28000000000000003"/>
    <s v="Credit Card"/>
    <s v="Online"/>
    <s v="East-David"/>
    <x v="1"/>
  </r>
  <r>
    <n v="1017"/>
    <x v="69"/>
    <x v="4"/>
    <x v="3"/>
    <n v="19"/>
    <x v="3"/>
    <n v="1"/>
    <n v="1233.1199999999999"/>
    <n v="1697.19"/>
    <n v="1527.471"/>
    <n v="29021.949000000001"/>
    <n v="23429.279999999999"/>
    <n v="5592.6690000000017"/>
    <n v="0.19270480421559563"/>
    <s v="Profit"/>
    <x v="1"/>
    <n v="0.1"/>
    <s v="Credit Card"/>
    <s v="Online"/>
    <s v="South-Charlie"/>
    <x v="0"/>
  </r>
  <r>
    <n v="1017"/>
    <x v="144"/>
    <x v="2"/>
    <x v="2"/>
    <n v="1"/>
    <x v="1"/>
    <n v="1"/>
    <n v="641.67999999999995"/>
    <n v="752.24"/>
    <n v="586.74720000000002"/>
    <n v="586.74720000000002"/>
    <n v="641.67999999999995"/>
    <n v="-54.932799999999929"/>
    <n v="-9.3622602715445299E-2"/>
    <s v="Loss"/>
    <x v="1"/>
    <n v="0.22"/>
    <s v="Bank Transfer"/>
    <s v="Online"/>
    <s v="East-Eve"/>
    <x v="0"/>
  </r>
  <r>
    <n v="1018"/>
    <x v="145"/>
    <x v="4"/>
    <x v="1"/>
    <n v="9"/>
    <x v="3"/>
    <n v="1"/>
    <n v="3161.09"/>
    <n v="3216.42"/>
    <n v="2669.6286"/>
    <n v="24026.657399999996"/>
    <n v="28449.81"/>
    <n v="-4423.1526000000049"/>
    <n v="-0.18409354769423755"/>
    <s v="Loss"/>
    <x v="1"/>
    <n v="0.17"/>
    <s v="Bank Transfer"/>
    <s v="Online"/>
    <s v="North-Charlie"/>
    <x v="1"/>
  </r>
  <r>
    <n v="1018"/>
    <x v="146"/>
    <x v="3"/>
    <x v="0"/>
    <n v="24"/>
    <x v="3"/>
    <n v="1"/>
    <n v="1362.78"/>
    <n v="1729.81"/>
    <n v="1228.1650999999999"/>
    <n v="29475.9624"/>
    <n v="32706.720000000001"/>
    <n v="-3230.7576000000008"/>
    <n v="-0.10960651788590967"/>
    <s v="Loss"/>
    <x v="1"/>
    <n v="0.28999999999999998"/>
    <s v="Bank Transfer"/>
    <s v="Online"/>
    <s v="West-Alice"/>
    <x v="0"/>
  </r>
  <r>
    <n v="1018"/>
    <x v="147"/>
    <x v="2"/>
    <x v="1"/>
    <n v="28"/>
    <x v="2"/>
    <n v="1"/>
    <n v="1006.14"/>
    <n v="1043.45"/>
    <n v="886.9325"/>
    <n v="24834.11"/>
    <n v="28171.919999999998"/>
    <n v="-3337.8099999999977"/>
    <n v="-0.13440425286027957"/>
    <s v="Loss"/>
    <x v="1"/>
    <n v="0.15"/>
    <s v="Bank Transfer"/>
    <s v="Retail"/>
    <s v="North-Eve"/>
    <x v="0"/>
  </r>
  <r>
    <n v="1018"/>
    <x v="148"/>
    <x v="1"/>
    <x v="1"/>
    <n v="20"/>
    <x v="1"/>
    <n v="1"/>
    <n v="1140.6199999999999"/>
    <n v="1258.6300000000001"/>
    <n v="931.38620000000003"/>
    <n v="18627.724000000002"/>
    <n v="22812.399999999998"/>
    <n v="-4184.6759999999958"/>
    <n v="-0.22464773474204339"/>
    <s v="Loss"/>
    <x v="0"/>
    <n v="0.26"/>
    <s v="Bank Transfer"/>
    <s v="Online"/>
    <s v="North-David"/>
    <x v="0"/>
  </r>
  <r>
    <n v="1018"/>
    <x v="149"/>
    <x v="3"/>
    <x v="2"/>
    <n v="11"/>
    <x v="2"/>
    <n v="1"/>
    <n v="2414.8200000000002"/>
    <n v="2519.0700000000002"/>
    <n v="2519.0700000000002"/>
    <n v="27709.77"/>
    <n v="26563.02"/>
    <n v="1146.75"/>
    <n v="4.1384320403958605E-2"/>
    <s v="Profit"/>
    <x v="0"/>
    <n v="0"/>
    <s v="Cash"/>
    <s v="Online"/>
    <s v="East-Alice"/>
    <x v="0"/>
  </r>
  <r>
    <n v="1018"/>
    <x v="61"/>
    <x v="1"/>
    <x v="2"/>
    <n v="25"/>
    <x v="1"/>
    <n v="1"/>
    <n v="739.63"/>
    <n v="1103.03"/>
    <n v="816.24220000000003"/>
    <n v="20406.055"/>
    <n v="18490.75"/>
    <n v="1915.3050000000003"/>
    <n v="9.3859641170231101E-2"/>
    <s v="Profit"/>
    <x v="1"/>
    <n v="0.26"/>
    <s v="Bank Transfer"/>
    <s v="Retail"/>
    <s v="East-David"/>
    <x v="0"/>
  </r>
  <r>
    <n v="1018"/>
    <x v="14"/>
    <x v="1"/>
    <x v="3"/>
    <n v="17"/>
    <x v="2"/>
    <n v="1"/>
    <n v="355.72"/>
    <n v="438.27"/>
    <n v="411.97379999999998"/>
    <n v="7003.5545999999995"/>
    <n v="6047.2400000000007"/>
    <n v="956.31459999999879"/>
    <n v="0.13654703284529243"/>
    <s v="Profit"/>
    <x v="0"/>
    <n v="0.06"/>
    <s v="Bank Transfer"/>
    <s v="Online"/>
    <s v="South-David"/>
    <x v="0"/>
  </r>
  <r>
    <n v="1018"/>
    <x v="69"/>
    <x v="1"/>
    <x v="0"/>
    <n v="25"/>
    <x v="0"/>
    <n v="1"/>
    <n v="4660.82"/>
    <n v="5011.43"/>
    <n v="4660.6298999999999"/>
    <n v="116515.7475"/>
    <n v="116520.5"/>
    <n v="-4.7525000000023283"/>
    <n v="-4.0788477969489301E-5"/>
    <s v="Loss"/>
    <x v="1"/>
    <n v="7.0000000000000007E-2"/>
    <s v="Bank Transfer"/>
    <s v="Online"/>
    <s v="West-David"/>
    <x v="1"/>
  </r>
  <r>
    <n v="1018"/>
    <x v="150"/>
    <x v="3"/>
    <x v="2"/>
    <n v="1"/>
    <x v="3"/>
    <n v="1"/>
    <n v="2315.83"/>
    <n v="2333.19"/>
    <n v="2309.8580999999999"/>
    <n v="2309.8580999999999"/>
    <n v="2315.83"/>
    <n v="-5.9719000000000051"/>
    <n v="-2.5853969124770069E-3"/>
    <s v="Loss"/>
    <x v="1"/>
    <n v="0.01"/>
    <s v="Cash"/>
    <s v="Retail"/>
    <s v="East-Alice"/>
    <x v="0"/>
  </r>
  <r>
    <n v="1019"/>
    <x v="101"/>
    <x v="0"/>
    <x v="2"/>
    <n v="38"/>
    <x v="2"/>
    <n v="1"/>
    <n v="3637.25"/>
    <n v="4096.96"/>
    <n v="3728.2336"/>
    <n v="141672.87680000003"/>
    <n v="138215.5"/>
    <n v="3457.3768000000273"/>
    <n v="2.4403942928898206E-2"/>
    <s v="Profit"/>
    <x v="0"/>
    <n v="0.09"/>
    <s v="Bank Transfer"/>
    <s v="Online"/>
    <s v="East-Bob"/>
    <x v="1"/>
  </r>
  <r>
    <n v="1019"/>
    <x v="151"/>
    <x v="1"/>
    <x v="0"/>
    <n v="16"/>
    <x v="2"/>
    <n v="1"/>
    <n v="97.24"/>
    <n v="487.03"/>
    <n v="379.88339999999999"/>
    <n v="6078.1343999999999"/>
    <n v="1555.84"/>
    <n v="4522.2943999999998"/>
    <n v="0.74402671977770019"/>
    <s v="Profit"/>
    <x v="1"/>
    <n v="0.22"/>
    <s v="Bank Transfer"/>
    <s v="Retail"/>
    <s v="West-David"/>
    <x v="0"/>
  </r>
  <r>
    <n v="1019"/>
    <x v="103"/>
    <x v="0"/>
    <x v="0"/>
    <n v="27"/>
    <x v="3"/>
    <n v="1"/>
    <n v="2387.52"/>
    <n v="2604.06"/>
    <n v="2187.4103999999998"/>
    <n v="59060.080799999996"/>
    <n v="64463.040000000001"/>
    <n v="-5402.9592000000048"/>
    <n v="-9.1482421405695152E-2"/>
    <s v="Loss"/>
    <x v="0"/>
    <n v="0.16"/>
    <s v="Cash"/>
    <s v="Online"/>
    <s v="West-Bob"/>
    <x v="0"/>
  </r>
  <r>
    <n v="1019"/>
    <x v="152"/>
    <x v="0"/>
    <x v="2"/>
    <n v="33"/>
    <x v="1"/>
    <n v="1"/>
    <n v="1362.31"/>
    <n v="1486.29"/>
    <n v="1218.7578000000001"/>
    <n v="40219.007400000002"/>
    <n v="44956.229999999996"/>
    <n v="-4737.2225999999937"/>
    <n v="-0.11778566668455356"/>
    <s v="Loss"/>
    <x v="0"/>
    <n v="0.18"/>
    <s v="Credit Card"/>
    <s v="Retail"/>
    <s v="East-Bob"/>
    <x v="0"/>
  </r>
  <r>
    <n v="1019"/>
    <x v="153"/>
    <x v="2"/>
    <x v="3"/>
    <n v="32"/>
    <x v="3"/>
    <n v="1"/>
    <n v="2866.47"/>
    <n v="3286.47"/>
    <n v="2990.6876999999999"/>
    <n v="95702.006399999998"/>
    <n v="91727.039999999994"/>
    <n v="3974.9664000000048"/>
    <n v="4.1534828260403167E-2"/>
    <s v="Profit"/>
    <x v="1"/>
    <n v="0.09"/>
    <s v="Credit Card"/>
    <s v="Online"/>
    <s v="South-Eve"/>
    <x v="1"/>
  </r>
  <r>
    <n v="1019"/>
    <x v="84"/>
    <x v="4"/>
    <x v="0"/>
    <n v="16"/>
    <x v="2"/>
    <n v="1"/>
    <n v="4977.78"/>
    <n v="4995.55"/>
    <n v="3746.6625000000004"/>
    <n v="59946.600000000006"/>
    <n v="79644.479999999996"/>
    <n v="-19697.87999999999"/>
    <n v="-0.32859044549649169"/>
    <s v="Loss"/>
    <x v="1"/>
    <n v="0.25"/>
    <s v="Credit Card"/>
    <s v="Online"/>
    <s v="West-Charlie"/>
    <x v="1"/>
  </r>
  <r>
    <n v="1019"/>
    <x v="95"/>
    <x v="1"/>
    <x v="2"/>
    <n v="36"/>
    <x v="2"/>
    <n v="1"/>
    <n v="1340.51"/>
    <n v="1567.92"/>
    <n v="1113.2231999999999"/>
    <n v="40076.035199999998"/>
    <n v="48258.36"/>
    <n v="-8182.3248000000021"/>
    <n v="-0.20417001729751955"/>
    <s v="Loss"/>
    <x v="1"/>
    <n v="0.28999999999999998"/>
    <s v="Cash"/>
    <s v="Online"/>
    <s v="East-David"/>
    <x v="0"/>
  </r>
  <r>
    <n v="1019"/>
    <x v="28"/>
    <x v="1"/>
    <x v="3"/>
    <n v="14"/>
    <x v="2"/>
    <n v="1"/>
    <n v="1614.19"/>
    <n v="1882.79"/>
    <n v="1412.0925"/>
    <n v="19769.294999999998"/>
    <n v="22598.66"/>
    <n v="-2829.3650000000016"/>
    <n v="-0.14311916535212824"/>
    <s v="Loss"/>
    <x v="1"/>
    <n v="0.25"/>
    <s v="Credit Card"/>
    <s v="Retail"/>
    <s v="South-David"/>
    <x v="0"/>
  </r>
  <r>
    <n v="1019"/>
    <x v="154"/>
    <x v="3"/>
    <x v="1"/>
    <n v="12"/>
    <x v="2"/>
    <n v="1"/>
    <n v="4745.18"/>
    <n v="5145.88"/>
    <n v="4168.1628000000001"/>
    <n v="50017.953600000001"/>
    <n v="56942.16"/>
    <n v="-6924.2064000000028"/>
    <n v="-0.13843442007591455"/>
    <s v="Loss"/>
    <x v="0"/>
    <n v="0.19"/>
    <s v="Credit Card"/>
    <s v="Online"/>
    <s v="North-Alice"/>
    <x v="1"/>
  </r>
  <r>
    <n v="1019"/>
    <x v="155"/>
    <x v="4"/>
    <x v="0"/>
    <n v="45"/>
    <x v="2"/>
    <n v="1"/>
    <n v="2590.64"/>
    <n v="3036.18"/>
    <n v="2884.3709999999996"/>
    <n v="129796.69499999999"/>
    <n v="116578.79999999999"/>
    <n v="13217.895000000004"/>
    <n v="0.10183537415956551"/>
    <s v="Profit"/>
    <x v="1"/>
    <n v="0.05"/>
    <s v="Bank Transfer"/>
    <s v="Retail"/>
    <s v="West-Charlie"/>
    <x v="1"/>
  </r>
  <r>
    <n v="1019"/>
    <x v="156"/>
    <x v="2"/>
    <x v="3"/>
    <n v="13"/>
    <x v="0"/>
    <n v="1"/>
    <n v="3102.73"/>
    <n v="3202.68"/>
    <n v="2914.4387999999999"/>
    <n v="37887.704399999995"/>
    <n v="40335.49"/>
    <n v="-2447.7856000000029"/>
    <n v="-6.4606331757592658E-2"/>
    <s v="Loss"/>
    <x v="1"/>
    <n v="0.09"/>
    <s v="Cash"/>
    <s v="Online"/>
    <s v="South-Eve"/>
    <x v="1"/>
  </r>
  <r>
    <n v="1019"/>
    <x v="79"/>
    <x v="4"/>
    <x v="1"/>
    <n v="18"/>
    <x v="0"/>
    <n v="1"/>
    <n v="3591.14"/>
    <n v="3822.99"/>
    <n v="3478.9209000000001"/>
    <n v="62620.576199999996"/>
    <n v="64640.52"/>
    <n v="-2019.9438000000009"/>
    <n v="-3.2256870226626898E-2"/>
    <s v="Loss"/>
    <x v="0"/>
    <n v="0.09"/>
    <s v="Credit Card"/>
    <s v="Online"/>
    <s v="North-Charlie"/>
    <x v="1"/>
  </r>
  <r>
    <n v="1019"/>
    <x v="62"/>
    <x v="3"/>
    <x v="2"/>
    <n v="28"/>
    <x v="1"/>
    <n v="1"/>
    <n v="3907.86"/>
    <n v="4205.37"/>
    <n v="3826.8867"/>
    <n v="107152.8276"/>
    <n v="109420.08"/>
    <n v="-2267.2523999999976"/>
    <n v="-2.1159053389273298E-2"/>
    <s v="Loss"/>
    <x v="1"/>
    <n v="0.09"/>
    <s v="Credit Card"/>
    <s v="Online"/>
    <s v="East-Alice"/>
    <x v="1"/>
  </r>
  <r>
    <n v="1019"/>
    <x v="144"/>
    <x v="1"/>
    <x v="0"/>
    <n v="31"/>
    <x v="0"/>
    <n v="1"/>
    <n v="333.69"/>
    <n v="685.1"/>
    <n v="657.69600000000003"/>
    <n v="20388.576000000001"/>
    <n v="10344.39"/>
    <n v="10044.186000000002"/>
    <n v="0.49263793606772738"/>
    <s v="Profit"/>
    <x v="1"/>
    <n v="0.04"/>
    <s v="Bank Transfer"/>
    <s v="Online"/>
    <s v="West-David"/>
    <x v="0"/>
  </r>
  <r>
    <n v="1020"/>
    <x v="157"/>
    <x v="4"/>
    <x v="2"/>
    <n v="4"/>
    <x v="2"/>
    <n v="1"/>
    <n v="3730"/>
    <n v="3893.6"/>
    <n v="2920.2"/>
    <n v="11680.8"/>
    <n v="14920"/>
    <n v="-3239.2000000000007"/>
    <n v="-0.2773097733031985"/>
    <s v="Loss"/>
    <x v="1"/>
    <n v="0.25"/>
    <s v="Bank Transfer"/>
    <s v="Retail"/>
    <s v="East-Charlie"/>
    <x v="1"/>
  </r>
  <r>
    <n v="1020"/>
    <x v="157"/>
    <x v="0"/>
    <x v="2"/>
    <n v="45"/>
    <x v="2"/>
    <n v="1"/>
    <n v="2188.4499999999998"/>
    <n v="2255.0500000000002"/>
    <n v="2006.9945000000002"/>
    <n v="90314.752500000017"/>
    <n v="98480.249999999985"/>
    <n v="-8165.4974999999686"/>
    <n v="-9.0411558178161058E-2"/>
    <s v="Loss"/>
    <x v="1"/>
    <n v="0.11"/>
    <s v="Bank Transfer"/>
    <s v="Retail"/>
    <s v="East-Bob"/>
    <x v="0"/>
  </r>
  <r>
    <n v="1020"/>
    <x v="48"/>
    <x v="2"/>
    <x v="1"/>
    <n v="26"/>
    <x v="2"/>
    <n v="1"/>
    <n v="4472.3500000000004"/>
    <n v="4770.42"/>
    <n v="4722.7157999999999"/>
    <n v="122790.61079999999"/>
    <n v="116281.1"/>
    <n v="6509.5107999999891"/>
    <n v="5.3013098946161359E-2"/>
    <s v="Profit"/>
    <x v="1"/>
    <n v="0.01"/>
    <s v="Credit Card"/>
    <s v="Retail"/>
    <s v="North-Eve"/>
    <x v="1"/>
  </r>
  <r>
    <n v="1020"/>
    <x v="158"/>
    <x v="4"/>
    <x v="2"/>
    <n v="29"/>
    <x v="3"/>
    <n v="1"/>
    <n v="184.05"/>
    <n v="675.91"/>
    <n v="608.31899999999996"/>
    <n v="17641.251"/>
    <n v="5337.4500000000007"/>
    <n v="12303.800999999999"/>
    <n v="0.6974449260996286"/>
    <s v="Profit"/>
    <x v="0"/>
    <n v="0.1"/>
    <s v="Cash"/>
    <s v="Retail"/>
    <s v="East-Charlie"/>
    <x v="0"/>
  </r>
  <r>
    <n v="1020"/>
    <x v="159"/>
    <x v="0"/>
    <x v="1"/>
    <n v="45"/>
    <x v="3"/>
    <n v="1"/>
    <n v="4268.45"/>
    <n v="4551.6000000000004"/>
    <n v="4187.4720000000007"/>
    <n v="188436.24000000005"/>
    <n v="192080.25"/>
    <n v="-3644.0099999999511"/>
    <n v="-1.9338159156646037E-2"/>
    <s v="Loss"/>
    <x v="1"/>
    <n v="0.08"/>
    <s v="Bank Transfer"/>
    <s v="Online"/>
    <s v="North-Bob"/>
    <x v="1"/>
  </r>
  <r>
    <n v="1020"/>
    <x v="160"/>
    <x v="2"/>
    <x v="0"/>
    <n v="19"/>
    <x v="0"/>
    <n v="1"/>
    <n v="1783.48"/>
    <n v="1931.56"/>
    <n v="1410.0388"/>
    <n v="26790.7372"/>
    <n v="33886.120000000003"/>
    <n v="-7095.382800000003"/>
    <n v="-0.26484462697054872"/>
    <s v="Loss"/>
    <x v="0"/>
    <n v="0.27"/>
    <s v="Bank Transfer"/>
    <s v="Retail"/>
    <s v="West-Eve"/>
    <x v="0"/>
  </r>
  <r>
    <n v="1020"/>
    <x v="14"/>
    <x v="3"/>
    <x v="3"/>
    <n v="33"/>
    <x v="1"/>
    <n v="1"/>
    <n v="4772.03"/>
    <n v="4805.17"/>
    <n v="3459.7224000000001"/>
    <n v="114170.8392"/>
    <n v="157476.99"/>
    <n v="-43306.150799999989"/>
    <n v="-0.37931008568779956"/>
    <s v="Loss"/>
    <x v="0"/>
    <n v="0.28000000000000003"/>
    <s v="Bank Transfer"/>
    <s v="Online"/>
    <s v="South-Alice"/>
    <x v="1"/>
  </r>
  <r>
    <n v="1021"/>
    <x v="161"/>
    <x v="2"/>
    <x v="1"/>
    <n v="22"/>
    <x v="3"/>
    <n v="1"/>
    <n v="1296.44"/>
    <n v="1751.24"/>
    <n v="1365.9672"/>
    <n v="30051.278399999999"/>
    <n v="28521.68"/>
    <n v="1529.5983999999989"/>
    <n v="5.0899611645140494E-2"/>
    <s v="Profit"/>
    <x v="1"/>
    <n v="0.22"/>
    <s v="Cash"/>
    <s v="Online"/>
    <s v="North-Eve"/>
    <x v="0"/>
  </r>
  <r>
    <n v="1021"/>
    <x v="162"/>
    <x v="0"/>
    <x v="1"/>
    <n v="9"/>
    <x v="1"/>
    <n v="1"/>
    <n v="3365.28"/>
    <n v="3730.43"/>
    <n v="3096.2568999999999"/>
    <n v="27866.312099999996"/>
    <n v="30287.52"/>
    <n v="-2421.2079000000049"/>
    <n v="-8.688655647404471E-2"/>
    <s v="Loss"/>
    <x v="1"/>
    <n v="0.17"/>
    <s v="Bank Transfer"/>
    <s v="Online"/>
    <s v="North-Bob"/>
    <x v="1"/>
  </r>
  <r>
    <n v="1021"/>
    <x v="113"/>
    <x v="4"/>
    <x v="0"/>
    <n v="32"/>
    <x v="0"/>
    <n v="1"/>
    <n v="900.79"/>
    <n v="1106.51"/>
    <n v="874.14290000000005"/>
    <n v="27972.572800000002"/>
    <n v="28825.279999999999"/>
    <n v="-852.7071999999971"/>
    <n v="-3.0483688650905828E-2"/>
    <s v="Loss"/>
    <x v="1"/>
    <n v="0.21"/>
    <s v="Cash"/>
    <s v="Online"/>
    <s v="West-Charlie"/>
    <x v="0"/>
  </r>
  <r>
    <n v="1021"/>
    <x v="37"/>
    <x v="0"/>
    <x v="0"/>
    <n v="43"/>
    <x v="1"/>
    <n v="1"/>
    <n v="4154.3"/>
    <n v="4469.07"/>
    <n v="3441.1839"/>
    <n v="147970.90769999998"/>
    <n v="178634.9"/>
    <n v="-30663.992300000013"/>
    <n v="-0.20722987225413916"/>
    <s v="Loss"/>
    <x v="0"/>
    <n v="0.23"/>
    <s v="Cash"/>
    <s v="Retail"/>
    <s v="West-Bob"/>
    <x v="1"/>
  </r>
  <r>
    <n v="1021"/>
    <x v="163"/>
    <x v="1"/>
    <x v="3"/>
    <n v="23"/>
    <x v="0"/>
    <n v="1"/>
    <n v="580.75"/>
    <n v="956.16"/>
    <n v="889.22879999999986"/>
    <n v="20452.2624"/>
    <n v="13357.25"/>
    <n v="7095.0123999999996"/>
    <n v="0.34690599314822013"/>
    <s v="Profit"/>
    <x v="0"/>
    <n v="7.0000000000000007E-2"/>
    <s v="Cash"/>
    <s v="Retail"/>
    <s v="South-David"/>
    <x v="0"/>
  </r>
  <r>
    <n v="1021"/>
    <x v="164"/>
    <x v="3"/>
    <x v="0"/>
    <n v="24"/>
    <x v="3"/>
    <n v="1"/>
    <n v="4916.17"/>
    <n v="5309.32"/>
    <n v="4300.5492000000004"/>
    <n v="103213.1808"/>
    <n v="117988.08"/>
    <n v="-14774.8992"/>
    <n v="-0.14314934473950444"/>
    <s v="Loss"/>
    <x v="0"/>
    <n v="0.19"/>
    <s v="Credit Card"/>
    <s v="Online"/>
    <s v="West-Alice"/>
    <x v="1"/>
  </r>
  <r>
    <n v="1021"/>
    <x v="31"/>
    <x v="2"/>
    <x v="1"/>
    <n v="15"/>
    <x v="0"/>
    <n v="1"/>
    <n v="3771.27"/>
    <n v="4212.55"/>
    <n v="3538.5419999999999"/>
    <n v="53078.13"/>
    <n v="56569.05"/>
    <n v="-3490.9200000000055"/>
    <n v="-6.5769460981387362E-2"/>
    <s v="Loss"/>
    <x v="0"/>
    <n v="0.16"/>
    <s v="Credit Card"/>
    <s v="Retail"/>
    <s v="North-Eve"/>
    <x v="1"/>
  </r>
  <r>
    <n v="1021"/>
    <x v="42"/>
    <x v="4"/>
    <x v="1"/>
    <n v="19"/>
    <x v="3"/>
    <n v="1"/>
    <n v="1222.4000000000001"/>
    <n v="1464.71"/>
    <n v="1464.71"/>
    <n v="27829.49"/>
    <n v="23225.600000000002"/>
    <n v="4603.8899999999994"/>
    <n v="0.16543206505041952"/>
    <s v="Profit"/>
    <x v="1"/>
    <n v="0"/>
    <s v="Credit Card"/>
    <s v="Retail"/>
    <s v="North-Charlie"/>
    <x v="0"/>
  </r>
  <r>
    <n v="1021"/>
    <x v="79"/>
    <x v="2"/>
    <x v="1"/>
    <n v="19"/>
    <x v="2"/>
    <n v="1"/>
    <n v="444.05"/>
    <n v="584.44000000000005"/>
    <n v="420.79680000000002"/>
    <n v="7995.1392000000005"/>
    <n v="8436.9500000000007"/>
    <n v="-441.8108000000002"/>
    <n v="-5.5259925930995692E-2"/>
    <s v="Loss"/>
    <x v="0"/>
    <n v="0.28000000000000003"/>
    <s v="Cash"/>
    <s v="Retail"/>
    <s v="North-Eve"/>
    <x v="0"/>
  </r>
  <r>
    <n v="1021"/>
    <x v="165"/>
    <x v="3"/>
    <x v="3"/>
    <n v="31"/>
    <x v="1"/>
    <n v="1"/>
    <n v="2254.9899999999998"/>
    <n v="2441.79"/>
    <n v="1855.7603999999999"/>
    <n v="57528.572400000005"/>
    <n v="69904.689999999988"/>
    <n v="-12376.117599999983"/>
    <n v="-0.2151299273332912"/>
    <s v="Loss"/>
    <x v="0"/>
    <n v="0.24"/>
    <s v="Bank Transfer"/>
    <s v="Online"/>
    <s v="South-Alice"/>
    <x v="0"/>
  </r>
  <r>
    <n v="1022"/>
    <x v="101"/>
    <x v="1"/>
    <x v="2"/>
    <n v="9"/>
    <x v="3"/>
    <n v="1"/>
    <n v="2263.65"/>
    <n v="2558.9499999999998"/>
    <n v="2482.1814999999997"/>
    <n v="22339.6335"/>
    <n v="20372.850000000002"/>
    <n v="1966.7834999999977"/>
    <n v="8.8040096987266947E-2"/>
    <s v="Profit"/>
    <x v="1"/>
    <n v="0.03"/>
    <s v="Cash"/>
    <s v="Online"/>
    <s v="East-David"/>
    <x v="0"/>
  </r>
  <r>
    <n v="1022"/>
    <x v="104"/>
    <x v="2"/>
    <x v="2"/>
    <n v="13"/>
    <x v="0"/>
    <n v="1"/>
    <n v="2312.4499999999998"/>
    <n v="2504.6"/>
    <n v="2354.3239999999996"/>
    <n v="30606.211999999996"/>
    <n v="30061.85"/>
    <n v="544.36199999999735"/>
    <n v="1.7785997169463424E-2"/>
    <s v="Profit"/>
    <x v="0"/>
    <n v="0.06"/>
    <s v="Bank Transfer"/>
    <s v="Online"/>
    <s v="East-Eve"/>
    <x v="0"/>
  </r>
  <r>
    <n v="1022"/>
    <x v="67"/>
    <x v="4"/>
    <x v="3"/>
    <n v="21"/>
    <x v="0"/>
    <n v="1"/>
    <n v="2537.1999999999998"/>
    <n v="2869.6"/>
    <n v="2037.4159999999999"/>
    <n v="42785.735999999997"/>
    <n v="53281.2"/>
    <n v="-10495.464"/>
    <n v="-0.24530287383627106"/>
    <s v="Loss"/>
    <x v="1"/>
    <n v="0.28999999999999998"/>
    <s v="Bank Transfer"/>
    <s v="Retail"/>
    <s v="South-Charlie"/>
    <x v="1"/>
  </r>
  <r>
    <n v="1022"/>
    <x v="31"/>
    <x v="2"/>
    <x v="0"/>
    <n v="29"/>
    <x v="1"/>
    <n v="1"/>
    <n v="479.58"/>
    <n v="909.88"/>
    <n v="791.59559999999999"/>
    <n v="22956.272400000002"/>
    <n v="13907.82"/>
    <n v="9048.4524000000019"/>
    <n v="0.39416035157345497"/>
    <s v="Profit"/>
    <x v="0"/>
    <n v="0.13"/>
    <s v="Credit Card"/>
    <s v="Retail"/>
    <s v="West-Eve"/>
    <x v="0"/>
  </r>
  <r>
    <n v="1022"/>
    <x v="88"/>
    <x v="0"/>
    <x v="0"/>
    <n v="45"/>
    <x v="1"/>
    <n v="1"/>
    <n v="4020.09"/>
    <n v="4087.91"/>
    <n v="3842.6353999999997"/>
    <n v="172918.59299999996"/>
    <n v="180904.05000000002"/>
    <n v="-7985.4570000000531"/>
    <n v="-4.6180441683330457E-2"/>
    <s v="Loss"/>
    <x v="0"/>
    <n v="0.06"/>
    <s v="Bank Transfer"/>
    <s v="Online"/>
    <s v="West-Bob"/>
    <x v="1"/>
  </r>
  <r>
    <n v="1022"/>
    <x v="166"/>
    <x v="1"/>
    <x v="1"/>
    <n v="10"/>
    <x v="1"/>
    <n v="1"/>
    <n v="1830.61"/>
    <n v="2044.04"/>
    <n v="1819.1956"/>
    <n v="18191.956000000002"/>
    <n v="18306.099999999999"/>
    <n v="-114.14399999999659"/>
    <n v="-6.2744215080553509E-3"/>
    <s v="Loss"/>
    <x v="1"/>
    <n v="0.11"/>
    <s v="Cash"/>
    <s v="Online"/>
    <s v="North-David"/>
    <x v="0"/>
  </r>
  <r>
    <n v="1023"/>
    <x v="167"/>
    <x v="1"/>
    <x v="0"/>
    <n v="39"/>
    <x v="0"/>
    <n v="1"/>
    <n v="4450.6099999999997"/>
    <n v="4663.34"/>
    <n v="3544.1384000000003"/>
    <n v="138221.3976"/>
    <n v="173573.78999999998"/>
    <n v="-35352.392399999982"/>
    <n v="-0.25576642266566102"/>
    <s v="Loss"/>
    <x v="1"/>
    <n v="0.24"/>
    <s v="Cash"/>
    <s v="Retail"/>
    <s v="West-David"/>
    <x v="1"/>
  </r>
  <r>
    <n v="1023"/>
    <x v="0"/>
    <x v="1"/>
    <x v="0"/>
    <n v="45"/>
    <x v="0"/>
    <n v="1"/>
    <n v="4692.24"/>
    <n v="4825.92"/>
    <n v="3908.9952000000003"/>
    <n v="175904.78400000001"/>
    <n v="211150.8"/>
    <n v="-35246.015999999974"/>
    <n v="-0.20036985463681289"/>
    <s v="Loss"/>
    <x v="0"/>
    <n v="0.19"/>
    <s v="Bank Transfer"/>
    <s v="Retail"/>
    <s v="West-David"/>
    <x v="1"/>
  </r>
  <r>
    <n v="1023"/>
    <x v="168"/>
    <x v="1"/>
    <x v="3"/>
    <n v="32"/>
    <x v="3"/>
    <n v="1"/>
    <n v="4775.04"/>
    <n v="4785.66"/>
    <n v="4642.0901999999996"/>
    <n v="148546.88639999999"/>
    <n v="152801.28"/>
    <n v="-4254.3936000000103"/>
    <n v="-2.8640072525949696E-2"/>
    <s v="Loss"/>
    <x v="1"/>
    <n v="0.03"/>
    <s v="Cash"/>
    <s v="Online"/>
    <s v="South-David"/>
    <x v="1"/>
  </r>
  <r>
    <n v="1023"/>
    <x v="169"/>
    <x v="3"/>
    <x v="2"/>
    <n v="2"/>
    <x v="2"/>
    <n v="1"/>
    <n v="575.32000000000005"/>
    <n v="914.77"/>
    <n v="676.9298"/>
    <n v="1353.8596"/>
    <n v="1150.6400000000001"/>
    <n v="203.2195999999999"/>
    <n v="0.15010389555903722"/>
    <s v="Profit"/>
    <x v="0"/>
    <n v="0.26"/>
    <s v="Bank Transfer"/>
    <s v="Online"/>
    <s v="East-Alice"/>
    <x v="0"/>
  </r>
  <r>
    <n v="1023"/>
    <x v="170"/>
    <x v="3"/>
    <x v="1"/>
    <n v="2"/>
    <x v="0"/>
    <n v="1"/>
    <n v="665.89"/>
    <n v="944.79"/>
    <n v="850.31100000000004"/>
    <n v="1700.6220000000001"/>
    <n v="1331.78"/>
    <n v="368.8420000000001"/>
    <n v="0.21688652739997488"/>
    <s v="Profit"/>
    <x v="1"/>
    <n v="0.1"/>
    <s v="Credit Card"/>
    <s v="Retail"/>
    <s v="North-Alice"/>
    <x v="0"/>
  </r>
  <r>
    <n v="1023"/>
    <x v="171"/>
    <x v="0"/>
    <x v="2"/>
    <n v="38"/>
    <x v="2"/>
    <n v="1"/>
    <n v="324.45"/>
    <n v="336.37"/>
    <n v="242.18639999999999"/>
    <n v="9203.0831999999991"/>
    <n v="12329.1"/>
    <n v="-3126.0168000000012"/>
    <n v="-0.33967060082647099"/>
    <s v="Loss"/>
    <x v="1"/>
    <n v="0.28000000000000003"/>
    <s v="Credit Card"/>
    <s v="Retail"/>
    <s v="East-Bob"/>
    <x v="0"/>
  </r>
  <r>
    <n v="1023"/>
    <x v="141"/>
    <x v="2"/>
    <x v="1"/>
    <n v="4"/>
    <x v="2"/>
    <n v="1"/>
    <n v="1532.8"/>
    <n v="1619.69"/>
    <n v="1538.7055"/>
    <n v="6154.8220000000001"/>
    <n v="6131.2"/>
    <n v="23.622000000000298"/>
    <n v="3.837966394479044E-3"/>
    <s v="Profit"/>
    <x v="0"/>
    <n v="0.05"/>
    <s v="Bank Transfer"/>
    <s v="Retail"/>
    <s v="North-Eve"/>
    <x v="0"/>
  </r>
  <r>
    <n v="1023"/>
    <x v="172"/>
    <x v="1"/>
    <x v="3"/>
    <n v="42"/>
    <x v="0"/>
    <n v="1"/>
    <n v="309.77999999999997"/>
    <n v="350.38"/>
    <n v="283.80780000000004"/>
    <n v="11919.927600000001"/>
    <n v="13010.759999999998"/>
    <n v="-1090.8323999999975"/>
    <n v="-9.151334107096401E-2"/>
    <s v="Loss"/>
    <x v="0"/>
    <n v="0.19"/>
    <s v="Credit Card"/>
    <s v="Retail"/>
    <s v="South-David"/>
    <x v="0"/>
  </r>
  <r>
    <n v="1023"/>
    <x v="142"/>
    <x v="0"/>
    <x v="2"/>
    <n v="47"/>
    <x v="3"/>
    <n v="1"/>
    <n v="3374.72"/>
    <n v="3483.15"/>
    <n v="2856.1830000000004"/>
    <n v="134240.60100000002"/>
    <n v="158611.84"/>
    <n v="-24371.238999999972"/>
    <n v="-0.18154894136685196"/>
    <s v="Loss"/>
    <x v="0"/>
    <n v="0.18"/>
    <s v="Cash"/>
    <s v="Online"/>
    <s v="East-Bob"/>
    <x v="1"/>
  </r>
  <r>
    <n v="1023"/>
    <x v="149"/>
    <x v="1"/>
    <x v="1"/>
    <n v="36"/>
    <x v="2"/>
    <n v="1"/>
    <n v="1991.72"/>
    <n v="2329.37"/>
    <n v="1677.1463999999999"/>
    <n v="60377.270399999994"/>
    <n v="71701.919999999998"/>
    <n v="-11324.649600000004"/>
    <n v="-0.18756478265701798"/>
    <s v="Loss"/>
    <x v="1"/>
    <n v="0.28000000000000003"/>
    <s v="Credit Card"/>
    <s v="Retail"/>
    <s v="North-David"/>
    <x v="0"/>
  </r>
  <r>
    <n v="1023"/>
    <x v="33"/>
    <x v="4"/>
    <x v="1"/>
    <n v="5"/>
    <x v="3"/>
    <n v="1"/>
    <n v="2311.25"/>
    <n v="2482.34"/>
    <n v="1936.2252000000001"/>
    <n v="9681.1260000000002"/>
    <n v="11556.25"/>
    <n v="-1875.1239999999998"/>
    <n v="-0.19368862671552872"/>
    <s v="Loss"/>
    <x v="0"/>
    <n v="0.22"/>
    <s v="Credit Card"/>
    <s v="Retail"/>
    <s v="North-Charlie"/>
    <x v="0"/>
  </r>
  <r>
    <n v="1023"/>
    <x v="43"/>
    <x v="2"/>
    <x v="2"/>
    <n v="9"/>
    <x v="2"/>
    <n v="1"/>
    <n v="4155.46"/>
    <n v="4273.6000000000004"/>
    <n v="3205.2000000000003"/>
    <n v="28846.800000000003"/>
    <n v="37399.14"/>
    <n v="-8552.3399999999965"/>
    <n v="-0.2964744789716709"/>
    <s v="Loss"/>
    <x v="0"/>
    <n v="0.25"/>
    <s v="Cash"/>
    <s v="Retail"/>
    <s v="East-Eve"/>
    <x v="1"/>
  </r>
  <r>
    <n v="1023"/>
    <x v="173"/>
    <x v="4"/>
    <x v="1"/>
    <n v="8"/>
    <x v="1"/>
    <n v="1"/>
    <n v="1563.78"/>
    <n v="1829.16"/>
    <n v="1554.7860000000001"/>
    <n v="12438.288"/>
    <n v="12510.24"/>
    <n v="-71.951999999999316"/>
    <n v="-5.7847189259485959E-3"/>
    <s v="Loss"/>
    <x v="0"/>
    <n v="0.15"/>
    <s v="Cash"/>
    <s v="Online"/>
    <s v="North-Charlie"/>
    <x v="0"/>
  </r>
  <r>
    <n v="1024"/>
    <x v="174"/>
    <x v="3"/>
    <x v="0"/>
    <n v="2"/>
    <x v="1"/>
    <n v="1"/>
    <n v="3604.93"/>
    <n v="3830.71"/>
    <n v="3371.0248000000001"/>
    <n v="6742.0496000000003"/>
    <n v="7209.86"/>
    <n v="-467.81039999999939"/>
    <n v="-6.9386970988762731E-2"/>
    <s v="Loss"/>
    <x v="0"/>
    <n v="0.12"/>
    <s v="Credit Card"/>
    <s v="Online"/>
    <s v="West-Alice"/>
    <x v="1"/>
  </r>
  <r>
    <n v="1024"/>
    <x v="175"/>
    <x v="3"/>
    <x v="3"/>
    <n v="35"/>
    <x v="3"/>
    <n v="1"/>
    <n v="1258.53"/>
    <n v="1624.89"/>
    <n v="1494.8988000000002"/>
    <n v="52321.458000000006"/>
    <n v="44048.549999999996"/>
    <n v="8272.9080000000104"/>
    <n v="0.15811692403525929"/>
    <s v="Profit"/>
    <x v="1"/>
    <n v="0.08"/>
    <s v="Credit Card"/>
    <s v="Online"/>
    <s v="South-Alice"/>
    <x v="0"/>
  </r>
  <r>
    <n v="1024"/>
    <x v="176"/>
    <x v="1"/>
    <x v="2"/>
    <n v="13"/>
    <x v="2"/>
    <n v="1"/>
    <n v="1493.88"/>
    <n v="1781.09"/>
    <n v="1709.8463999999999"/>
    <n v="22228.003199999999"/>
    <n v="19420.440000000002"/>
    <n v="2807.5631999999969"/>
    <n v="0.12630748586539689"/>
    <s v="Profit"/>
    <x v="1"/>
    <n v="0.04"/>
    <s v="Cash"/>
    <s v="Retail"/>
    <s v="East-David"/>
    <x v="0"/>
  </r>
  <r>
    <n v="1024"/>
    <x v="135"/>
    <x v="2"/>
    <x v="3"/>
    <n v="30"/>
    <x v="0"/>
    <n v="1"/>
    <n v="1543.96"/>
    <n v="1558.87"/>
    <n v="1122.3863999999999"/>
    <n v="33671.591999999997"/>
    <n v="46318.8"/>
    <n v="-12647.208000000006"/>
    <n v="-0.37560469371332389"/>
    <s v="Loss"/>
    <x v="0"/>
    <n v="0.28000000000000003"/>
    <s v="Credit Card"/>
    <s v="Online"/>
    <s v="South-Eve"/>
    <x v="0"/>
  </r>
  <r>
    <n v="1024"/>
    <x v="177"/>
    <x v="2"/>
    <x v="0"/>
    <n v="21"/>
    <x v="0"/>
    <n v="1"/>
    <n v="622.01"/>
    <n v="641.09"/>
    <n v="641.09"/>
    <n v="13462.890000000001"/>
    <n v="13062.21"/>
    <n v="400.68000000000211"/>
    <n v="2.9761811914083981E-2"/>
    <s v="Profit"/>
    <x v="0"/>
    <n v="0"/>
    <s v="Bank Transfer"/>
    <s v="Retail"/>
    <s v="West-Eve"/>
    <x v="0"/>
  </r>
  <r>
    <n v="1024"/>
    <x v="178"/>
    <x v="0"/>
    <x v="3"/>
    <n v="45"/>
    <x v="2"/>
    <n v="1"/>
    <n v="2693.99"/>
    <n v="3045.94"/>
    <n v="3015.4805999999999"/>
    <n v="135696.62699999998"/>
    <n v="121229.54999999999"/>
    <n v="14467.07699999999"/>
    <n v="0.10661338693407606"/>
    <s v="Profit"/>
    <x v="1"/>
    <n v="0.01"/>
    <s v="Cash"/>
    <s v="Retail"/>
    <s v="South-Bob"/>
    <x v="1"/>
  </r>
  <r>
    <n v="1024"/>
    <x v="139"/>
    <x v="2"/>
    <x v="3"/>
    <n v="46"/>
    <x v="3"/>
    <n v="1"/>
    <n v="2016.49"/>
    <n v="2338.66"/>
    <n v="1894.3145999999999"/>
    <n v="87138.47159999999"/>
    <n v="92758.54"/>
    <n v="-5620.0684000000037"/>
    <n v="-6.4495834007719785E-2"/>
    <s v="Loss"/>
    <x v="0"/>
    <n v="0.19"/>
    <s v="Bank Transfer"/>
    <s v="Retail"/>
    <s v="South-Eve"/>
    <x v="0"/>
  </r>
  <r>
    <n v="1024"/>
    <x v="179"/>
    <x v="1"/>
    <x v="1"/>
    <n v="35"/>
    <x v="1"/>
    <n v="1"/>
    <n v="2051"/>
    <n v="2121.5500000000002"/>
    <n v="1569.9470000000001"/>
    <n v="54948.144999999997"/>
    <n v="71785"/>
    <n v="-16836.855000000003"/>
    <n v="-0.30641352860956461"/>
    <s v="Loss"/>
    <x v="0"/>
    <n v="0.26"/>
    <s v="Cash"/>
    <s v="Retail"/>
    <s v="North-David"/>
    <x v="0"/>
  </r>
  <r>
    <n v="1024"/>
    <x v="164"/>
    <x v="3"/>
    <x v="1"/>
    <n v="43"/>
    <x v="2"/>
    <n v="1"/>
    <n v="3105.24"/>
    <n v="3246.33"/>
    <n v="2434.7474999999999"/>
    <n v="104694.1425"/>
    <n v="133525.31999999998"/>
    <n v="-28831.177499999976"/>
    <n v="-0.27538481916502611"/>
    <s v="Loss"/>
    <x v="1"/>
    <n v="0.25"/>
    <s v="Cash"/>
    <s v="Online"/>
    <s v="North-Alice"/>
    <x v="1"/>
  </r>
  <r>
    <n v="1024"/>
    <x v="31"/>
    <x v="3"/>
    <x v="3"/>
    <n v="22"/>
    <x v="0"/>
    <n v="1"/>
    <n v="4691.32"/>
    <n v="4752.88"/>
    <n v="4420.1783999999998"/>
    <n v="97243.924799999993"/>
    <n v="103209.04"/>
    <n v="-5965.1152000000002"/>
    <n v="-6.134177751739614E-2"/>
    <s v="Loss"/>
    <x v="0"/>
    <n v="7.0000000000000007E-2"/>
    <s v="Bank Transfer"/>
    <s v="Retail"/>
    <s v="South-Alice"/>
    <x v="1"/>
  </r>
  <r>
    <n v="1024"/>
    <x v="180"/>
    <x v="1"/>
    <x v="3"/>
    <n v="42"/>
    <x v="3"/>
    <n v="1"/>
    <n v="1586.02"/>
    <n v="2047.13"/>
    <n v="1535.3475000000001"/>
    <n v="64484.595000000001"/>
    <n v="66612.84"/>
    <n v="-2128.2449999999953"/>
    <n v="-3.3003929077944825E-2"/>
    <s v="Loss"/>
    <x v="1"/>
    <n v="0.25"/>
    <s v="Cash"/>
    <s v="Retail"/>
    <s v="South-David"/>
    <x v="0"/>
  </r>
  <r>
    <n v="1024"/>
    <x v="181"/>
    <x v="1"/>
    <x v="1"/>
    <n v="17"/>
    <x v="1"/>
    <n v="1"/>
    <n v="4114.66"/>
    <n v="4269.0200000000004"/>
    <n v="3116.3846000000003"/>
    <n v="52978.53820000001"/>
    <n v="69949.22"/>
    <n v="-16970.681799999991"/>
    <n v="-0.32033125821504804"/>
    <s v="Loss"/>
    <x v="0"/>
    <n v="0.27"/>
    <s v="Bank Transfer"/>
    <s v="Retail"/>
    <s v="North-David"/>
    <x v="1"/>
  </r>
  <r>
    <n v="1024"/>
    <x v="14"/>
    <x v="3"/>
    <x v="0"/>
    <n v="42"/>
    <x v="0"/>
    <n v="1"/>
    <n v="2069.0500000000002"/>
    <n v="2363.9"/>
    <n v="2198.4270000000001"/>
    <n v="92333.933999999994"/>
    <n v="86900.1"/>
    <n v="5433.833999999988"/>
    <n v="5.884980488321865E-2"/>
    <s v="Profit"/>
    <x v="0"/>
    <n v="7.0000000000000007E-2"/>
    <s v="Cash"/>
    <s v="Online"/>
    <s v="West-Alice"/>
    <x v="0"/>
  </r>
  <r>
    <n v="1024"/>
    <x v="166"/>
    <x v="2"/>
    <x v="1"/>
    <n v="5"/>
    <x v="1"/>
    <n v="1"/>
    <n v="3417.9"/>
    <n v="3714.52"/>
    <n v="2711.5996"/>
    <n v="13557.997999999998"/>
    <n v="17089.5"/>
    <n v="-3531.5020000000022"/>
    <n v="-0.26047370710631484"/>
    <s v="Loss"/>
    <x v="0"/>
    <n v="0.27"/>
    <s v="Credit Card"/>
    <s v="Retail"/>
    <s v="North-Eve"/>
    <x v="1"/>
  </r>
  <r>
    <n v="1025"/>
    <x v="182"/>
    <x v="4"/>
    <x v="0"/>
    <n v="40"/>
    <x v="3"/>
    <n v="1"/>
    <n v="2983.85"/>
    <n v="3239.74"/>
    <n v="2365.0101999999997"/>
    <n v="94600.407999999996"/>
    <n v="119354"/>
    <n v="-24753.592000000004"/>
    <n v="-0.26166474884548074"/>
    <s v="Loss"/>
    <x v="1"/>
    <n v="0.27"/>
    <s v="Credit Card"/>
    <s v="Online"/>
    <s v="West-Charlie"/>
    <x v="1"/>
  </r>
  <r>
    <n v="1025"/>
    <x v="183"/>
    <x v="1"/>
    <x v="3"/>
    <n v="45"/>
    <x v="2"/>
    <n v="1"/>
    <n v="1588.04"/>
    <n v="1703.64"/>
    <n v="1362.9120000000003"/>
    <n v="61331.040000000008"/>
    <n v="71461.8"/>
    <n v="-10130.759999999995"/>
    <n v="-0.16518161113850333"/>
    <s v="Loss"/>
    <x v="1"/>
    <n v="0.2"/>
    <s v="Bank Transfer"/>
    <s v="Retail"/>
    <s v="South-David"/>
    <x v="0"/>
  </r>
  <r>
    <n v="1025"/>
    <x v="184"/>
    <x v="1"/>
    <x v="1"/>
    <n v="44"/>
    <x v="0"/>
    <n v="1"/>
    <n v="1485.72"/>
    <n v="1717.97"/>
    <n v="1683.6106"/>
    <n v="74078.866399999999"/>
    <n v="65371.68"/>
    <n v="8707.1863999999987"/>
    <n v="0.11753941202318396"/>
    <s v="Profit"/>
    <x v="1"/>
    <n v="0.02"/>
    <s v="Credit Card"/>
    <s v="Retail"/>
    <s v="North-David"/>
    <x v="0"/>
  </r>
  <r>
    <n v="1025"/>
    <x v="155"/>
    <x v="3"/>
    <x v="2"/>
    <n v="26"/>
    <x v="3"/>
    <n v="1"/>
    <n v="2007.32"/>
    <n v="2202.87"/>
    <n v="1960.5543"/>
    <n v="50974.411799999994"/>
    <n v="52190.32"/>
    <n v="-1215.9082000000053"/>
    <n v="-2.3853305159668471E-2"/>
    <s v="Loss"/>
    <x v="0"/>
    <n v="0.11"/>
    <s v="Cash"/>
    <s v="Online"/>
    <s v="East-Alice"/>
    <x v="0"/>
  </r>
  <r>
    <n v="1025"/>
    <x v="13"/>
    <x v="0"/>
    <x v="3"/>
    <n v="11"/>
    <x v="0"/>
    <n v="1"/>
    <n v="1250.5899999999999"/>
    <n v="1515.49"/>
    <n v="1197.2371000000001"/>
    <n v="13169.608099999999"/>
    <n v="13756.49"/>
    <n v="-586.88190000000031"/>
    <n v="-4.456335340760826E-2"/>
    <s v="Loss"/>
    <x v="0"/>
    <n v="0.21"/>
    <s v="Bank Transfer"/>
    <s v="Retail"/>
    <s v="South-Bob"/>
    <x v="0"/>
  </r>
  <r>
    <n v="1025"/>
    <x v="131"/>
    <x v="1"/>
    <x v="1"/>
    <n v="47"/>
    <x v="1"/>
    <n v="1"/>
    <n v="3861.61"/>
    <n v="3998.91"/>
    <n v="2999.1824999999999"/>
    <n v="140961.57749999998"/>
    <n v="181495.67"/>
    <n v="-40534.092500000028"/>
    <n v="-0.28755419185061287"/>
    <s v="Loss"/>
    <x v="1"/>
    <n v="0.25"/>
    <s v="Credit Card"/>
    <s v="Online"/>
    <s v="North-David"/>
    <x v="1"/>
  </r>
  <r>
    <n v="1025"/>
    <x v="68"/>
    <x v="0"/>
    <x v="2"/>
    <n v="14"/>
    <x v="3"/>
    <n v="1"/>
    <n v="859.59"/>
    <n v="884.51"/>
    <n v="778.36879999999996"/>
    <n v="10897.163199999999"/>
    <n v="12034.26"/>
    <n v="-1137.0968000000012"/>
    <n v="-0.10434796461523135"/>
    <s v="Loss"/>
    <x v="1"/>
    <n v="0.12"/>
    <s v="Bank Transfer"/>
    <s v="Online"/>
    <s v="East-Bob"/>
    <x v="0"/>
  </r>
  <r>
    <n v="1025"/>
    <x v="185"/>
    <x v="1"/>
    <x v="0"/>
    <n v="37"/>
    <x v="3"/>
    <n v="1"/>
    <n v="1115.02"/>
    <n v="1174.48"/>
    <n v="916.09440000000006"/>
    <n v="33895.4928"/>
    <n v="41255.74"/>
    <n v="-7360.247199999998"/>
    <n v="-0.21714530729584194"/>
    <s v="Loss"/>
    <x v="1"/>
    <n v="0.22"/>
    <s v="Credit Card"/>
    <s v="Online"/>
    <s v="West-David"/>
    <x v="0"/>
  </r>
  <r>
    <n v="1025"/>
    <x v="34"/>
    <x v="1"/>
    <x v="0"/>
    <n v="28"/>
    <x v="3"/>
    <n v="1"/>
    <n v="2097.84"/>
    <n v="2270.9899999999998"/>
    <n v="1975.7612999999999"/>
    <n v="55321.316399999996"/>
    <n v="58739.520000000004"/>
    <n v="-3418.203600000008"/>
    <n v="-6.1788182610925869E-2"/>
    <s v="Loss"/>
    <x v="1"/>
    <n v="0.13"/>
    <s v="Credit Card"/>
    <s v="Retail"/>
    <s v="West-David"/>
    <x v="0"/>
  </r>
  <r>
    <n v="1025"/>
    <x v="45"/>
    <x v="1"/>
    <x v="0"/>
    <n v="4"/>
    <x v="1"/>
    <n v="1"/>
    <n v="2751.06"/>
    <n v="2976.01"/>
    <n v="2142.7272000000003"/>
    <n v="8570.9088000000011"/>
    <n v="11004.24"/>
    <n v="-2433.3311999999987"/>
    <n v="-0.28390585605111074"/>
    <s v="Loss"/>
    <x v="0"/>
    <n v="0.28000000000000003"/>
    <s v="Credit Card"/>
    <s v="Online"/>
    <s v="West-David"/>
    <x v="1"/>
  </r>
  <r>
    <n v="1026"/>
    <x v="80"/>
    <x v="3"/>
    <x v="3"/>
    <n v="36"/>
    <x v="2"/>
    <n v="1"/>
    <n v="3067.05"/>
    <n v="3386.33"/>
    <n v="2709.0640000000003"/>
    <n v="97526.304000000004"/>
    <n v="110413.8"/>
    <n v="-12887.495999999999"/>
    <n v="-0.13214379579072327"/>
    <s v="Loss"/>
    <x v="1"/>
    <n v="0.2"/>
    <s v="Bank Transfer"/>
    <s v="Online"/>
    <s v="South-Alice"/>
    <x v="1"/>
  </r>
  <r>
    <n v="1026"/>
    <x v="186"/>
    <x v="3"/>
    <x v="0"/>
    <n v="19"/>
    <x v="3"/>
    <n v="1"/>
    <n v="1265.48"/>
    <n v="1715.83"/>
    <n v="1630.0384999999999"/>
    <n v="30970.731499999994"/>
    <n v="24044.12"/>
    <n v="6926.6114999999954"/>
    <n v="0.22365023893607411"/>
    <s v="Profit"/>
    <x v="1"/>
    <n v="0.05"/>
    <s v="Credit Card"/>
    <s v="Retail"/>
    <s v="West-Alice"/>
    <x v="0"/>
  </r>
  <r>
    <n v="1026"/>
    <x v="187"/>
    <x v="0"/>
    <x v="0"/>
    <n v="34"/>
    <x v="3"/>
    <n v="1"/>
    <n v="68.33"/>
    <n v="219.08"/>
    <n v="214.69840000000002"/>
    <n v="7299.7456000000002"/>
    <n v="2323.2199999999998"/>
    <n v="4976.5256000000008"/>
    <n v="0.68173959377433657"/>
    <s v="Profit"/>
    <x v="1"/>
    <n v="0.02"/>
    <s v="Credit Card"/>
    <s v="Online"/>
    <s v="West-Bob"/>
    <x v="0"/>
  </r>
  <r>
    <n v="1026"/>
    <x v="188"/>
    <x v="0"/>
    <x v="3"/>
    <n v="4"/>
    <x v="3"/>
    <n v="1"/>
    <n v="3993.39"/>
    <n v="4288.3"/>
    <n v="3730.8209999999999"/>
    <n v="14923.284"/>
    <n v="15973.56"/>
    <n v="-1050.2759999999998"/>
    <n v="-7.0378342997426027E-2"/>
    <s v="Loss"/>
    <x v="1"/>
    <n v="0.13"/>
    <s v="Credit Card"/>
    <s v="Online"/>
    <s v="South-Bob"/>
    <x v="1"/>
  </r>
  <r>
    <n v="1026"/>
    <x v="189"/>
    <x v="4"/>
    <x v="0"/>
    <n v="20"/>
    <x v="2"/>
    <n v="1"/>
    <n v="2985.63"/>
    <n v="3452.14"/>
    <n v="2865.2761999999998"/>
    <n v="57305.523999999998"/>
    <n v="59712.600000000006"/>
    <n v="-2407.0760000000082"/>
    <n v="-4.20042577396205E-2"/>
    <s v="Loss"/>
    <x v="1"/>
    <n v="0.17"/>
    <s v="Credit Card"/>
    <s v="Retail"/>
    <s v="West-Charlie"/>
    <x v="1"/>
  </r>
  <r>
    <n v="1026"/>
    <x v="90"/>
    <x v="0"/>
    <x v="2"/>
    <n v="19"/>
    <x v="3"/>
    <n v="1"/>
    <n v="4991.68"/>
    <n v="5296.65"/>
    <n v="4661.0519999999997"/>
    <n v="88559.987999999998"/>
    <n v="94841.920000000013"/>
    <n v="-6281.9320000000153"/>
    <n v="-7.0934201120262289E-2"/>
    <s v="Loss"/>
    <x v="1"/>
    <n v="0.12"/>
    <s v="Bank Transfer"/>
    <s v="Online"/>
    <s v="East-Bob"/>
    <x v="1"/>
  </r>
  <r>
    <n v="1026"/>
    <x v="190"/>
    <x v="1"/>
    <x v="2"/>
    <n v="45"/>
    <x v="0"/>
    <n v="1"/>
    <n v="1741.66"/>
    <n v="2169.86"/>
    <n v="1866.0796"/>
    <n v="83973.582000000009"/>
    <n v="78374.7"/>
    <n v="5598.8820000000123"/>
    <n v="6.6674326218452984E-2"/>
    <s v="Profit"/>
    <x v="0"/>
    <n v="0.14000000000000001"/>
    <s v="Credit Card"/>
    <s v="Online"/>
    <s v="East-David"/>
    <x v="0"/>
  </r>
  <r>
    <n v="1026"/>
    <x v="149"/>
    <x v="1"/>
    <x v="2"/>
    <n v="5"/>
    <x v="0"/>
    <n v="1"/>
    <n v="4093.61"/>
    <n v="4117.88"/>
    <n v="3623.7344000000003"/>
    <n v="18118.672000000002"/>
    <n v="20468.05"/>
    <n v="-2349.377999999997"/>
    <n v="-0.12966612564099603"/>
    <s v="Loss"/>
    <x v="0"/>
    <n v="0.12"/>
    <s v="Credit Card"/>
    <s v="Retail"/>
    <s v="East-David"/>
    <x v="1"/>
  </r>
  <r>
    <n v="1026"/>
    <x v="150"/>
    <x v="3"/>
    <x v="2"/>
    <n v="25"/>
    <x v="3"/>
    <n v="1"/>
    <n v="1156.8800000000001"/>
    <n v="1454.68"/>
    <n v="1367.3992000000001"/>
    <n v="34184.979999999996"/>
    <n v="28922.000000000004"/>
    <n v="5262.9799999999923"/>
    <n v="0.15395591865199257"/>
    <s v="Profit"/>
    <x v="0"/>
    <n v="0.06"/>
    <s v="Credit Card"/>
    <s v="Online"/>
    <s v="East-Alice"/>
    <x v="0"/>
  </r>
  <r>
    <n v="1027"/>
    <x v="191"/>
    <x v="2"/>
    <x v="1"/>
    <n v="15"/>
    <x v="2"/>
    <n v="1"/>
    <n v="1615.26"/>
    <n v="1710.95"/>
    <n v="1317.4315000000001"/>
    <n v="19761.4725"/>
    <n v="24228.9"/>
    <n v="-4467.4275000000016"/>
    <n v="-0.22606754127254441"/>
    <s v="Loss"/>
    <x v="1"/>
    <n v="0.23"/>
    <s v="Credit Card"/>
    <s v="Retail"/>
    <s v="North-Eve"/>
    <x v="0"/>
  </r>
  <r>
    <n v="1027"/>
    <x v="192"/>
    <x v="0"/>
    <x v="2"/>
    <n v="30"/>
    <x v="1"/>
    <n v="1"/>
    <n v="745.93"/>
    <n v="1143.02"/>
    <n v="914.41600000000005"/>
    <n v="27432.48"/>
    <n v="22377.899999999998"/>
    <n v="5054.5800000000017"/>
    <n v="0.18425530611887814"/>
    <s v="Profit"/>
    <x v="0"/>
    <n v="0.2"/>
    <s v="Credit Card"/>
    <s v="Online"/>
    <s v="East-Bob"/>
    <x v="0"/>
  </r>
  <r>
    <n v="1027"/>
    <x v="187"/>
    <x v="2"/>
    <x v="0"/>
    <n v="45"/>
    <x v="0"/>
    <n v="1"/>
    <n v="1153.9000000000001"/>
    <n v="1485.34"/>
    <n v="1114.0049999999999"/>
    <n v="50130.225000000006"/>
    <n v="51925.500000000007"/>
    <n v="-1795.2750000000015"/>
    <n v="-3.5812227054636228E-2"/>
    <s v="Loss"/>
    <x v="1"/>
    <n v="0.25"/>
    <s v="Credit Card"/>
    <s v="Retail"/>
    <s v="West-Eve"/>
    <x v="0"/>
  </r>
  <r>
    <n v="1027"/>
    <x v="133"/>
    <x v="0"/>
    <x v="0"/>
    <n v="3"/>
    <x v="0"/>
    <n v="1"/>
    <n v="999.09"/>
    <n v="1271.99"/>
    <n v="1081.1914999999999"/>
    <n v="3243.5745000000002"/>
    <n v="2997.27"/>
    <n v="246.30450000000019"/>
    <n v="7.5936131573361473E-2"/>
    <s v="Profit"/>
    <x v="1"/>
    <n v="0.15"/>
    <s v="Credit Card"/>
    <s v="Online"/>
    <s v="West-Bob"/>
    <x v="0"/>
  </r>
  <r>
    <n v="1027"/>
    <x v="120"/>
    <x v="3"/>
    <x v="0"/>
    <n v="20"/>
    <x v="3"/>
    <n v="1"/>
    <n v="1748.11"/>
    <n v="2220.9"/>
    <n v="1710.0930000000001"/>
    <n v="34201.86"/>
    <n v="34962.199999999997"/>
    <n v="-760.33999999999651"/>
    <n v="-2.2230954690768176E-2"/>
    <s v="Loss"/>
    <x v="1"/>
    <n v="0.23"/>
    <s v="Credit Card"/>
    <s v="Retail"/>
    <s v="West-Alice"/>
    <x v="0"/>
  </r>
  <r>
    <n v="1027"/>
    <x v="193"/>
    <x v="2"/>
    <x v="3"/>
    <n v="21"/>
    <x v="0"/>
    <n v="1"/>
    <n v="2511.41"/>
    <n v="2848.4"/>
    <n v="2677.4960000000001"/>
    <n v="56227.415999999997"/>
    <n v="52739.61"/>
    <n v="3487.8059999999969"/>
    <n v="6.2030344769889424E-2"/>
    <s v="Profit"/>
    <x v="0"/>
    <n v="0.06"/>
    <s v="Bank Transfer"/>
    <s v="Online"/>
    <s v="South-Eve"/>
    <x v="1"/>
  </r>
  <r>
    <n v="1027"/>
    <x v="121"/>
    <x v="2"/>
    <x v="1"/>
    <n v="43"/>
    <x v="2"/>
    <n v="1"/>
    <n v="4232.6099999999997"/>
    <n v="4572.21"/>
    <n v="4526.4879000000001"/>
    <n v="194638.9797"/>
    <n v="182002.22999999998"/>
    <n v="12636.749700000015"/>
    <n v="6.4924044091667701E-2"/>
    <s v="Profit"/>
    <x v="1"/>
    <n v="0.01"/>
    <s v="Cash"/>
    <s v="Retail"/>
    <s v="North-Eve"/>
    <x v="1"/>
  </r>
  <r>
    <n v="1027"/>
    <x v="194"/>
    <x v="0"/>
    <x v="3"/>
    <n v="22"/>
    <x v="0"/>
    <n v="1"/>
    <n v="3240.2"/>
    <n v="3606.09"/>
    <n v="3353.6637000000001"/>
    <n v="73780.6014"/>
    <n v="71284.399999999994"/>
    <n v="2496.2014000000054"/>
    <n v="3.3832760273488437E-2"/>
    <s v="Profit"/>
    <x v="1"/>
    <n v="7.0000000000000007E-2"/>
    <s v="Cash"/>
    <s v="Online"/>
    <s v="South-Bob"/>
    <x v="1"/>
  </r>
  <r>
    <n v="1027"/>
    <x v="136"/>
    <x v="0"/>
    <x v="0"/>
    <n v="26"/>
    <x v="0"/>
    <n v="1"/>
    <n v="149.11000000000001"/>
    <n v="477.67"/>
    <n v="410.7962"/>
    <n v="10680.7012"/>
    <n v="3876.8600000000006"/>
    <n v="6803.8411999999989"/>
    <n v="0.63702195882045642"/>
    <s v="Profit"/>
    <x v="0"/>
    <n v="0.14000000000000001"/>
    <s v="Cash"/>
    <s v="Retail"/>
    <s v="West-Bob"/>
    <x v="0"/>
  </r>
  <r>
    <n v="1027"/>
    <x v="195"/>
    <x v="3"/>
    <x v="2"/>
    <n v="7"/>
    <x v="0"/>
    <n v="1"/>
    <n v="2371.85"/>
    <n v="2457.29"/>
    <n v="2383.5713000000001"/>
    <n v="16684.999099999997"/>
    <n v="16602.95"/>
    <n v="82.049099999996542"/>
    <n v="4.9175369748744278E-3"/>
    <s v="Profit"/>
    <x v="1"/>
    <n v="0.03"/>
    <s v="Cash"/>
    <s v="Retail"/>
    <s v="East-Alice"/>
    <x v="0"/>
  </r>
  <r>
    <n v="1027"/>
    <x v="196"/>
    <x v="0"/>
    <x v="2"/>
    <n v="4"/>
    <x v="3"/>
    <n v="1"/>
    <n v="282.61"/>
    <n v="548.25"/>
    <n v="455.04749999999996"/>
    <n v="1820.1899999999998"/>
    <n v="1130.44"/>
    <n v="689.74999999999977"/>
    <n v="0.37894395640015593"/>
    <s v="Profit"/>
    <x v="1"/>
    <n v="0.17"/>
    <s v="Credit Card"/>
    <s v="Online"/>
    <s v="East-Bob"/>
    <x v="0"/>
  </r>
  <r>
    <n v="1028"/>
    <x v="80"/>
    <x v="0"/>
    <x v="2"/>
    <n v="24"/>
    <x v="0"/>
    <n v="1"/>
    <n v="911.11"/>
    <n v="1214.56"/>
    <n v="947.35680000000002"/>
    <n v="22736.563200000001"/>
    <n v="21866.639999999999"/>
    <n v="869.92320000000109"/>
    <n v="3.8260980445804629E-2"/>
    <s v="Profit"/>
    <x v="1"/>
    <n v="0.22"/>
    <s v="Bank Transfer"/>
    <s v="Online"/>
    <s v="East-Bob"/>
    <x v="0"/>
  </r>
  <r>
    <n v="1028"/>
    <x v="197"/>
    <x v="3"/>
    <x v="1"/>
    <n v="38"/>
    <x v="2"/>
    <n v="1"/>
    <n v="1234.69"/>
    <n v="1511.26"/>
    <n v="1360.134"/>
    <n v="51685.091999999997"/>
    <n v="46918.22"/>
    <n v="4766.8719999999958"/>
    <n v="9.222914801041654E-2"/>
    <s v="Profit"/>
    <x v="1"/>
    <n v="0.1"/>
    <s v="Bank Transfer"/>
    <s v="Online"/>
    <s v="North-Alice"/>
    <x v="0"/>
  </r>
  <r>
    <n v="1028"/>
    <x v="1"/>
    <x v="3"/>
    <x v="1"/>
    <n v="38"/>
    <x v="2"/>
    <n v="1"/>
    <n v="3350.32"/>
    <n v="3449.94"/>
    <n v="2552.9556000000002"/>
    <n v="97012.3128"/>
    <n v="127312.16"/>
    <n v="-30299.847200000004"/>
    <n v="-0.31232991282731282"/>
    <s v="Loss"/>
    <x v="1"/>
    <n v="0.26"/>
    <s v="Cash"/>
    <s v="Online"/>
    <s v="North-Alice"/>
    <x v="1"/>
  </r>
  <r>
    <n v="1028"/>
    <x v="198"/>
    <x v="3"/>
    <x v="1"/>
    <n v="2"/>
    <x v="1"/>
    <n v="1"/>
    <n v="3146.12"/>
    <n v="3255.53"/>
    <n v="3060.1981999999998"/>
    <n v="6120.3963999999996"/>
    <n v="6292.24"/>
    <n v="-171.84360000000015"/>
    <n v="-2.8077201012666461E-2"/>
    <s v="Loss"/>
    <x v="0"/>
    <n v="0.06"/>
    <s v="Bank Transfer"/>
    <s v="Online"/>
    <s v="North-Alice"/>
    <x v="1"/>
  </r>
  <r>
    <n v="1028"/>
    <x v="113"/>
    <x v="3"/>
    <x v="2"/>
    <n v="24"/>
    <x v="2"/>
    <n v="1"/>
    <n v="2521.0300000000002"/>
    <n v="2766.05"/>
    <n v="2323.482"/>
    <n v="55763.568000000007"/>
    <n v="60504.72"/>
    <n v="-4741.1519999999946"/>
    <n v="-8.5022393115160674E-2"/>
    <s v="Loss"/>
    <x v="0"/>
    <n v="0.16"/>
    <s v="Bank Transfer"/>
    <s v="Retail"/>
    <s v="East-Alice"/>
    <x v="0"/>
  </r>
  <r>
    <n v="1028"/>
    <x v="121"/>
    <x v="4"/>
    <x v="0"/>
    <n v="45"/>
    <x v="2"/>
    <n v="1"/>
    <n v="4848.9799999999996"/>
    <n v="4985.75"/>
    <n v="3988.6000000000004"/>
    <n v="179487"/>
    <n v="218204.09999999998"/>
    <n v="-38717.099999999977"/>
    <n v="-0.21570977285262988"/>
    <s v="Loss"/>
    <x v="0"/>
    <n v="0.2"/>
    <s v="Bank Transfer"/>
    <s v="Online"/>
    <s v="West-Charlie"/>
    <x v="1"/>
  </r>
  <r>
    <n v="1028"/>
    <x v="145"/>
    <x v="4"/>
    <x v="3"/>
    <n v="41"/>
    <x v="2"/>
    <n v="1"/>
    <n v="3956.03"/>
    <n v="4163.68"/>
    <n v="3664.0384000000004"/>
    <n v="150225.57440000001"/>
    <n v="162197.23000000001"/>
    <n v="-11971.655599999998"/>
    <n v="-7.969119537611831E-2"/>
    <s v="Loss"/>
    <x v="1"/>
    <n v="0.12"/>
    <s v="Bank Transfer"/>
    <s v="Retail"/>
    <s v="South-Charlie"/>
    <x v="1"/>
  </r>
  <r>
    <n v="1028"/>
    <x v="86"/>
    <x v="0"/>
    <x v="2"/>
    <n v="24"/>
    <x v="3"/>
    <n v="1"/>
    <n v="1969.09"/>
    <n v="2241.96"/>
    <n v="2197.1208000000001"/>
    <n v="52730.8992"/>
    <n v="47258.159999999996"/>
    <n v="5472.7392000000036"/>
    <n v="0.10378619145565421"/>
    <s v="Profit"/>
    <x v="0"/>
    <n v="0.02"/>
    <s v="Credit Card"/>
    <s v="Online"/>
    <s v="East-Bob"/>
    <x v="0"/>
  </r>
  <r>
    <n v="1028"/>
    <x v="99"/>
    <x v="3"/>
    <x v="2"/>
    <n v="5"/>
    <x v="0"/>
    <n v="1"/>
    <n v="734.92"/>
    <n v="991.21"/>
    <n v="783.05590000000007"/>
    <n v="3915.2795000000001"/>
    <n v="3674.6"/>
    <n v="240.67950000000019"/>
    <n v="6.1471856606916613E-2"/>
    <s v="Profit"/>
    <x v="0"/>
    <n v="0.21"/>
    <s v="Credit Card"/>
    <s v="Online"/>
    <s v="East-Alice"/>
    <x v="0"/>
  </r>
  <r>
    <n v="1028"/>
    <x v="150"/>
    <x v="2"/>
    <x v="1"/>
    <n v="28"/>
    <x v="1"/>
    <n v="1"/>
    <n v="2055.2800000000002"/>
    <n v="2449.64"/>
    <n v="1984.2084"/>
    <n v="55557.835200000001"/>
    <n v="57547.840000000004"/>
    <n v="-1990.0048000000024"/>
    <n v="-3.5818616633212563E-2"/>
    <s v="Loss"/>
    <x v="1"/>
    <n v="0.19"/>
    <s v="Credit Card"/>
    <s v="Online"/>
    <s v="North-Eve"/>
    <x v="0"/>
  </r>
  <r>
    <n v="1029"/>
    <x v="199"/>
    <x v="1"/>
    <x v="2"/>
    <n v="28"/>
    <x v="2"/>
    <n v="1"/>
    <n v="2873.53"/>
    <n v="3108.3"/>
    <n v="2642.0550000000003"/>
    <n v="73977.540000000008"/>
    <n v="80458.840000000011"/>
    <n v="-6481.3000000000029"/>
    <n v="-8.7611726478063506E-2"/>
    <s v="Loss"/>
    <x v="1"/>
    <n v="0.15"/>
    <s v="Credit Card"/>
    <s v="Retail"/>
    <s v="East-David"/>
    <x v="1"/>
  </r>
  <r>
    <n v="1029"/>
    <x v="200"/>
    <x v="2"/>
    <x v="3"/>
    <n v="46"/>
    <x v="1"/>
    <n v="1"/>
    <n v="4609.66"/>
    <n v="4879.1499999999996"/>
    <n v="3415.4049999999997"/>
    <n v="157108.62999999998"/>
    <n v="212044.36"/>
    <n v="-54935.73000000001"/>
    <n v="-0.34966716977927959"/>
    <s v="Loss"/>
    <x v="0"/>
    <n v="0.3"/>
    <s v="Cash"/>
    <s v="Retail"/>
    <s v="South-Eve"/>
    <x v="1"/>
  </r>
  <r>
    <n v="1029"/>
    <x v="201"/>
    <x v="4"/>
    <x v="1"/>
    <n v="31"/>
    <x v="1"/>
    <n v="1"/>
    <n v="951.21"/>
    <n v="1320.32"/>
    <n v="1122.2719999999999"/>
    <n v="34790.432000000001"/>
    <n v="29487.510000000002"/>
    <n v="5302.9219999999987"/>
    <n v="0.15242472413104841"/>
    <s v="Profit"/>
    <x v="1"/>
    <n v="0.15"/>
    <s v="Cash"/>
    <s v="Online"/>
    <s v="North-Charlie"/>
    <x v="0"/>
  </r>
  <r>
    <n v="1029"/>
    <x v="198"/>
    <x v="2"/>
    <x v="2"/>
    <n v="15"/>
    <x v="2"/>
    <n v="1"/>
    <n v="498.27"/>
    <n v="634.16"/>
    <n v="564.40239999999994"/>
    <n v="8466.0360000000001"/>
    <n v="7474.0499999999993"/>
    <n v="991.98600000000079"/>
    <n v="0.11717242874941718"/>
    <s v="Profit"/>
    <x v="0"/>
    <n v="0.11"/>
    <s v="Credit Card"/>
    <s v="Retail"/>
    <s v="East-Eve"/>
    <x v="0"/>
  </r>
  <r>
    <n v="1029"/>
    <x v="82"/>
    <x v="4"/>
    <x v="1"/>
    <n v="31"/>
    <x v="3"/>
    <n v="1"/>
    <n v="2719"/>
    <n v="3133.55"/>
    <n v="2600.8465000000001"/>
    <n v="80626.241500000004"/>
    <n v="84289"/>
    <n v="-3662.7584999999963"/>
    <n v="-4.5428863256635817E-2"/>
    <s v="Loss"/>
    <x v="0"/>
    <n v="0.17"/>
    <s v="Bank Transfer"/>
    <s v="Retail"/>
    <s v="North-Charlie"/>
    <x v="1"/>
  </r>
  <r>
    <n v="1029"/>
    <x v="19"/>
    <x v="2"/>
    <x v="3"/>
    <n v="27"/>
    <x v="0"/>
    <n v="1"/>
    <n v="3196.38"/>
    <n v="3596.64"/>
    <n v="3560.6735999999996"/>
    <n v="96138.1872"/>
    <n v="86302.260000000009"/>
    <n v="9835.927199999991"/>
    <n v="0.10231030443228485"/>
    <s v="Profit"/>
    <x v="1"/>
    <n v="0.01"/>
    <s v="Cash"/>
    <s v="Retail"/>
    <s v="South-Eve"/>
    <x v="1"/>
  </r>
  <r>
    <n v="1029"/>
    <x v="202"/>
    <x v="2"/>
    <x v="1"/>
    <n v="21"/>
    <x v="0"/>
    <n v="1"/>
    <n v="3085.1"/>
    <n v="3200.75"/>
    <n v="2528.5925000000002"/>
    <n v="53100.442500000005"/>
    <n v="64787.1"/>
    <n v="-11686.657499999994"/>
    <n v="-0.22008587781542485"/>
    <s v="Loss"/>
    <x v="1"/>
    <n v="0.21"/>
    <s v="Cash"/>
    <s v="Retail"/>
    <s v="North-Eve"/>
    <x v="1"/>
  </r>
  <r>
    <n v="1029"/>
    <x v="203"/>
    <x v="2"/>
    <x v="2"/>
    <n v="16"/>
    <x v="3"/>
    <n v="1"/>
    <n v="2572.8000000000002"/>
    <n v="2760.6"/>
    <n v="2346.5099999999998"/>
    <n v="37544.159999999996"/>
    <n v="41164.800000000003"/>
    <n v="-3620.6400000000067"/>
    <n v="-9.6436835981947841E-2"/>
    <s v="Loss"/>
    <x v="0"/>
    <n v="0.15"/>
    <s v="Credit Card"/>
    <s v="Retail"/>
    <s v="East-Eve"/>
    <x v="0"/>
  </r>
  <r>
    <n v="1030"/>
    <x v="204"/>
    <x v="1"/>
    <x v="2"/>
    <n v="49"/>
    <x v="1"/>
    <n v="1"/>
    <n v="2590.29"/>
    <n v="2925.86"/>
    <n v="2165.1363999999999"/>
    <n v="106091.6836"/>
    <n v="126924.20999999999"/>
    <n v="-20832.526399999988"/>
    <n v="-0.19636342541744703"/>
    <s v="Loss"/>
    <x v="0"/>
    <n v="0.26"/>
    <s v="Cash"/>
    <s v="Retail"/>
    <s v="East-David"/>
    <x v="1"/>
  </r>
  <r>
    <n v="1030"/>
    <x v="2"/>
    <x v="0"/>
    <x v="0"/>
    <n v="34"/>
    <x v="3"/>
    <n v="1"/>
    <n v="3125.07"/>
    <n v="3564.19"/>
    <n v="3243.4129000000003"/>
    <n v="110276.03860000001"/>
    <n v="106252.38"/>
    <n v="4023.6586000000098"/>
    <n v="3.6487152159997968E-2"/>
    <s v="Profit"/>
    <x v="0"/>
    <n v="0.09"/>
    <s v="Cash"/>
    <s v="Online"/>
    <s v="West-Bob"/>
    <x v="1"/>
  </r>
  <r>
    <n v="1030"/>
    <x v="4"/>
    <x v="0"/>
    <x v="3"/>
    <n v="43"/>
    <x v="2"/>
    <n v="1"/>
    <n v="4696.6400000000003"/>
    <n v="4713.68"/>
    <n v="3582.3968000000004"/>
    <n v="154043.06240000002"/>
    <n v="201955.52000000002"/>
    <n v="-47912.457599999994"/>
    <n v="-0.31103288167296256"/>
    <s v="Loss"/>
    <x v="0"/>
    <n v="0.24"/>
    <s v="Bank Transfer"/>
    <s v="Online"/>
    <s v="South-Bob"/>
    <x v="1"/>
  </r>
  <r>
    <n v="1030"/>
    <x v="205"/>
    <x v="3"/>
    <x v="1"/>
    <n v="39"/>
    <x v="0"/>
    <n v="1"/>
    <n v="2511.2800000000002"/>
    <n v="2658.06"/>
    <n v="2153.0286000000001"/>
    <n v="83968.11540000001"/>
    <n v="97939.920000000013"/>
    <n v="-13971.804600000003"/>
    <n v="-0.1663941668029863"/>
    <s v="Loss"/>
    <x v="1"/>
    <n v="0.19"/>
    <s v="Credit Card"/>
    <s v="Retail"/>
    <s v="North-Alice"/>
    <x v="0"/>
  </r>
  <r>
    <n v="1030"/>
    <x v="206"/>
    <x v="4"/>
    <x v="0"/>
    <n v="5"/>
    <x v="2"/>
    <n v="1"/>
    <n v="3932.14"/>
    <n v="4082.76"/>
    <n v="3021.2424000000001"/>
    <n v="15106.212000000001"/>
    <n v="19660.7"/>
    <n v="-4554.4879999999994"/>
    <n v="-0.30149768850059822"/>
    <s v="Loss"/>
    <x v="1"/>
    <n v="0.26"/>
    <s v="Credit Card"/>
    <s v="Online"/>
    <s v="West-Charlie"/>
    <x v="1"/>
  </r>
  <r>
    <n v="1030"/>
    <x v="194"/>
    <x v="0"/>
    <x v="2"/>
    <n v="39"/>
    <x v="2"/>
    <n v="1"/>
    <n v="4929.7299999999996"/>
    <n v="5088.0200000000004"/>
    <n v="3917.7754000000004"/>
    <n v="152793.24060000002"/>
    <n v="192259.46999999997"/>
    <n v="-39466.229399999953"/>
    <n v="-0.25829826794052529"/>
    <s v="Loss"/>
    <x v="1"/>
    <n v="0.23"/>
    <s v="Bank Transfer"/>
    <s v="Retail"/>
    <s v="East-Bob"/>
    <x v="1"/>
  </r>
  <r>
    <n v="1030"/>
    <x v="207"/>
    <x v="2"/>
    <x v="2"/>
    <n v="24"/>
    <x v="2"/>
    <n v="1"/>
    <n v="1370.52"/>
    <n v="1482.58"/>
    <n v="1186.0640000000001"/>
    <n v="28465.536"/>
    <n v="32892.479999999996"/>
    <n v="-4426.9439999999959"/>
    <n v="-0.15551943234091906"/>
    <s v="Loss"/>
    <x v="0"/>
    <n v="0.2"/>
    <s v="Credit Card"/>
    <s v="Retail"/>
    <s v="East-Eve"/>
    <x v="0"/>
  </r>
  <r>
    <n v="1030"/>
    <x v="28"/>
    <x v="1"/>
    <x v="0"/>
    <n v="19"/>
    <x v="2"/>
    <n v="1"/>
    <n v="3049.33"/>
    <n v="3209.22"/>
    <n v="2374.8227999999999"/>
    <n v="45121.633199999997"/>
    <n v="57937.27"/>
    <n v="-12815.6368"/>
    <n v="-0.28402422277569511"/>
    <s v="Loss"/>
    <x v="0"/>
    <n v="0.26"/>
    <s v="Cash"/>
    <s v="Online"/>
    <s v="West-David"/>
    <x v="1"/>
  </r>
  <r>
    <n v="1030"/>
    <x v="160"/>
    <x v="1"/>
    <x v="2"/>
    <n v="2"/>
    <x v="2"/>
    <n v="1"/>
    <n v="844.94"/>
    <n v="1225.6400000000001"/>
    <n v="943.7428000000001"/>
    <n v="1887.4856000000002"/>
    <n v="1689.88"/>
    <n v="197.60560000000009"/>
    <n v="0.10469250732296981"/>
    <s v="Profit"/>
    <x v="0"/>
    <n v="0.23"/>
    <s v="Credit Card"/>
    <s v="Online"/>
    <s v="East-David"/>
    <x v="0"/>
  </r>
  <r>
    <n v="1030"/>
    <x v="208"/>
    <x v="3"/>
    <x v="0"/>
    <n v="39"/>
    <x v="3"/>
    <n v="1"/>
    <n v="2041.75"/>
    <n v="2299.37"/>
    <n v="1747.5211999999999"/>
    <n v="68153.326799999995"/>
    <n v="79628.25"/>
    <n v="-11474.923200000005"/>
    <n v="-0.16836923065654377"/>
    <s v="Loss"/>
    <x v="0"/>
    <n v="0.24"/>
    <s v="Bank Transfer"/>
    <s v="Retail"/>
    <s v="West-Alice"/>
    <x v="0"/>
  </r>
  <r>
    <n v="1031"/>
    <x v="72"/>
    <x v="1"/>
    <x v="1"/>
    <n v="22"/>
    <x v="0"/>
    <n v="1"/>
    <n v="4236.05"/>
    <n v="4382.32"/>
    <n v="3505.8559999999998"/>
    <n v="77128.831999999995"/>
    <n v="93193.1"/>
    <n v="-16064.268000000011"/>
    <n v="-0.20827837766297319"/>
    <s v="Loss"/>
    <x v="1"/>
    <n v="0.2"/>
    <s v="Bank Transfer"/>
    <s v="Online"/>
    <s v="North-David"/>
    <x v="1"/>
  </r>
  <r>
    <n v="1031"/>
    <x v="209"/>
    <x v="2"/>
    <x v="2"/>
    <n v="32"/>
    <x v="2"/>
    <n v="1"/>
    <n v="3351.33"/>
    <n v="3711.47"/>
    <n v="3117.6347999999998"/>
    <n v="99764.313599999994"/>
    <n v="107242.56"/>
    <n v="-7478.2464000000036"/>
    <n v="-7.4959132480815302E-2"/>
    <s v="Loss"/>
    <x v="1"/>
    <n v="0.16"/>
    <s v="Cash"/>
    <s v="Retail"/>
    <s v="East-Eve"/>
    <x v="1"/>
  </r>
  <r>
    <n v="1031"/>
    <x v="130"/>
    <x v="3"/>
    <x v="0"/>
    <n v="10"/>
    <x v="3"/>
    <n v="1"/>
    <n v="566.86"/>
    <n v="818.14"/>
    <n v="613.60500000000002"/>
    <n v="6136.0499999999993"/>
    <n v="5668.6"/>
    <n v="467.44999999999891"/>
    <n v="7.618093072905191E-2"/>
    <s v="Profit"/>
    <x v="0"/>
    <n v="0.25"/>
    <s v="Credit Card"/>
    <s v="Retail"/>
    <s v="West-Alice"/>
    <x v="0"/>
  </r>
  <r>
    <n v="1032"/>
    <x v="92"/>
    <x v="2"/>
    <x v="0"/>
    <n v="49"/>
    <x v="3"/>
    <n v="1"/>
    <n v="4812.41"/>
    <n v="5088"/>
    <n v="4630.08"/>
    <n v="226873.92"/>
    <n v="235808.09"/>
    <n v="-8934.1699999999837"/>
    <n v="-3.9379449167184943E-2"/>
    <s v="Loss"/>
    <x v="0"/>
    <n v="0.09"/>
    <s v="Credit Card"/>
    <s v="Online"/>
    <s v="West-Eve"/>
    <x v="1"/>
  </r>
  <r>
    <n v="1032"/>
    <x v="3"/>
    <x v="2"/>
    <x v="2"/>
    <n v="11"/>
    <x v="0"/>
    <n v="1"/>
    <n v="2025.67"/>
    <n v="2081.5500000000002"/>
    <n v="1519.5315000000001"/>
    <n v="16714.846500000003"/>
    <n v="22282.370000000003"/>
    <n v="-5567.5234999999993"/>
    <n v="-0.33308852103427922"/>
    <s v="Loss"/>
    <x v="1"/>
    <n v="0.27"/>
    <s v="Bank Transfer"/>
    <s v="Online"/>
    <s v="East-Eve"/>
    <x v="0"/>
  </r>
  <r>
    <n v="1032"/>
    <x v="112"/>
    <x v="0"/>
    <x v="2"/>
    <n v="25"/>
    <x v="3"/>
    <n v="1"/>
    <n v="2934.3"/>
    <n v="3337.4"/>
    <n v="2503.0500000000002"/>
    <n v="62576.25"/>
    <n v="73357.5"/>
    <n v="-10781.25"/>
    <n v="-0.17228980643614791"/>
    <s v="Loss"/>
    <x v="0"/>
    <n v="0.25"/>
    <s v="Credit Card"/>
    <s v="Retail"/>
    <s v="East-Bob"/>
    <x v="1"/>
  </r>
  <r>
    <n v="1032"/>
    <x v="121"/>
    <x v="1"/>
    <x v="2"/>
    <n v="5"/>
    <x v="0"/>
    <n v="1"/>
    <n v="4714.74"/>
    <n v="5129.1099999999997"/>
    <n v="3846.8324999999995"/>
    <n v="19234.162499999999"/>
    <n v="23573.699999999997"/>
    <n v="-4339.5374999999985"/>
    <n v="-0.22561614003209127"/>
    <s v="Loss"/>
    <x v="1"/>
    <n v="0.25"/>
    <s v="Bank Transfer"/>
    <s v="Online"/>
    <s v="East-David"/>
    <x v="1"/>
  </r>
  <r>
    <n v="1032"/>
    <x v="84"/>
    <x v="3"/>
    <x v="1"/>
    <n v="17"/>
    <x v="2"/>
    <n v="1"/>
    <n v="1291.9100000000001"/>
    <n v="1528.59"/>
    <n v="1360.4450999999999"/>
    <n v="23127.566699999999"/>
    <n v="21962.47"/>
    <n v="1165.0966999999982"/>
    <n v="5.0376968537723353E-2"/>
    <s v="Profit"/>
    <x v="0"/>
    <n v="0.11"/>
    <s v="Credit Card"/>
    <s v="Retail"/>
    <s v="North-Alice"/>
    <x v="0"/>
  </r>
  <r>
    <n v="1032"/>
    <x v="205"/>
    <x v="3"/>
    <x v="1"/>
    <n v="20"/>
    <x v="3"/>
    <n v="1"/>
    <n v="4741.59"/>
    <n v="4975.2299999999996"/>
    <n v="4527.4592999999995"/>
    <n v="90549.186000000002"/>
    <n v="94831.8"/>
    <n v="-4282.6140000000014"/>
    <n v="-4.7295996675221372E-2"/>
    <s v="Loss"/>
    <x v="1"/>
    <n v="0.09"/>
    <s v="Credit Card"/>
    <s v="Online"/>
    <s v="North-Alice"/>
    <x v="1"/>
  </r>
  <r>
    <n v="1032"/>
    <x v="8"/>
    <x v="1"/>
    <x v="1"/>
    <n v="45"/>
    <x v="2"/>
    <n v="1"/>
    <n v="3712.35"/>
    <n v="3780.88"/>
    <n v="3516.2183999999997"/>
    <n v="158229.82800000001"/>
    <n v="167055.75"/>
    <n v="-8825.9219999999914"/>
    <n v="-5.5779129077988952E-2"/>
    <s v="Loss"/>
    <x v="1"/>
    <n v="7.0000000000000007E-2"/>
    <s v="Cash"/>
    <s v="Retail"/>
    <s v="North-David"/>
    <x v="1"/>
  </r>
  <r>
    <n v="1032"/>
    <x v="207"/>
    <x v="3"/>
    <x v="0"/>
    <n v="1"/>
    <x v="0"/>
    <n v="1"/>
    <n v="651"/>
    <n v="865.76"/>
    <n v="787.84159999999997"/>
    <n v="787.84159999999997"/>
    <n v="651"/>
    <n v="136.84159999999997"/>
    <n v="0.17369176748219436"/>
    <s v="Profit"/>
    <x v="0"/>
    <n v="0.09"/>
    <s v="Bank Transfer"/>
    <s v="Retail"/>
    <s v="West-Alice"/>
    <x v="0"/>
  </r>
  <r>
    <n v="1032"/>
    <x v="180"/>
    <x v="0"/>
    <x v="1"/>
    <n v="23"/>
    <x v="3"/>
    <n v="1"/>
    <n v="4673.1899999999996"/>
    <n v="4761.18"/>
    <n v="3951.7793999999999"/>
    <n v="90890.926200000002"/>
    <n v="107483.37"/>
    <n v="-16592.443799999994"/>
    <n v="-0.18255335811508094"/>
    <s v="Loss"/>
    <x v="0"/>
    <n v="0.17"/>
    <s v="Credit Card"/>
    <s v="Retail"/>
    <s v="North-Bob"/>
    <x v="1"/>
  </r>
  <r>
    <n v="1032"/>
    <x v="181"/>
    <x v="1"/>
    <x v="3"/>
    <n v="11"/>
    <x v="2"/>
    <n v="1"/>
    <n v="4100.62"/>
    <n v="4230"/>
    <n v="3003.2999999999997"/>
    <n v="33036.299999999996"/>
    <n v="45106.82"/>
    <n v="-12070.520000000004"/>
    <n v="-0.3653714247660908"/>
    <s v="Loss"/>
    <x v="1"/>
    <n v="0.28999999999999998"/>
    <s v="Bank Transfer"/>
    <s v="Online"/>
    <s v="South-David"/>
    <x v="1"/>
  </r>
  <r>
    <n v="1032"/>
    <x v="63"/>
    <x v="3"/>
    <x v="0"/>
    <n v="18"/>
    <x v="3"/>
    <n v="1"/>
    <n v="2466.1799999999998"/>
    <n v="2483.87"/>
    <n v="2285.1604000000002"/>
    <n v="41132.887199999997"/>
    <n v="44391.24"/>
    <n v="-3258.3528000000006"/>
    <n v="-7.9215270840506447E-2"/>
    <s v="Loss"/>
    <x v="0"/>
    <n v="0.08"/>
    <s v="Cash"/>
    <s v="Online"/>
    <s v="West-Alice"/>
    <x v="0"/>
  </r>
  <r>
    <n v="1032"/>
    <x v="210"/>
    <x v="2"/>
    <x v="1"/>
    <n v="6"/>
    <x v="2"/>
    <n v="1"/>
    <n v="2522.7600000000002"/>
    <n v="2840.14"/>
    <n v="2641.3301999999999"/>
    <n v="15847.981199999998"/>
    <n v="15136.560000000001"/>
    <n v="711.42119999999704"/>
    <n v="4.4890335937551283E-2"/>
    <s v="Profit"/>
    <x v="0"/>
    <n v="7.0000000000000007E-2"/>
    <s v="Credit Card"/>
    <s v="Retail"/>
    <s v="North-Eve"/>
    <x v="1"/>
  </r>
  <r>
    <n v="1033"/>
    <x v="0"/>
    <x v="3"/>
    <x v="0"/>
    <n v="40"/>
    <x v="0"/>
    <n v="1"/>
    <n v="541.19000000000005"/>
    <n v="595.20000000000005"/>
    <n v="482.11200000000008"/>
    <n v="19284.48"/>
    <n v="21647.600000000002"/>
    <n v="-2363.1200000000026"/>
    <n v="-0.12253999070755357"/>
    <s v="Loss"/>
    <x v="0"/>
    <n v="0.19"/>
    <s v="Credit Card"/>
    <s v="Online"/>
    <s v="West-Alice"/>
    <x v="0"/>
  </r>
  <r>
    <n v="1033"/>
    <x v="81"/>
    <x v="0"/>
    <x v="0"/>
    <n v="14"/>
    <x v="2"/>
    <n v="1"/>
    <n v="362.38"/>
    <n v="753.81"/>
    <n v="610.58609999999999"/>
    <n v="8548.2054000000007"/>
    <n v="5073.32"/>
    <n v="3474.885400000001"/>
    <n v="0.40650466821960091"/>
    <s v="Profit"/>
    <x v="0"/>
    <n v="0.19"/>
    <s v="Cash"/>
    <s v="Retail"/>
    <s v="West-Bob"/>
    <x v="0"/>
  </r>
  <r>
    <n v="1033"/>
    <x v="56"/>
    <x v="3"/>
    <x v="2"/>
    <n v="32"/>
    <x v="0"/>
    <n v="1"/>
    <n v="108.99"/>
    <n v="351.6"/>
    <n v="256.66800000000001"/>
    <n v="8213.3760000000002"/>
    <n v="3487.68"/>
    <n v="4725.6959999999999"/>
    <n v="0.57536584225536491"/>
    <s v="Profit"/>
    <x v="0"/>
    <n v="0.27"/>
    <s v="Credit Card"/>
    <s v="Retail"/>
    <s v="East-Alice"/>
    <x v="0"/>
  </r>
  <r>
    <n v="1033"/>
    <x v="211"/>
    <x v="0"/>
    <x v="2"/>
    <n v="4"/>
    <x v="0"/>
    <n v="1"/>
    <n v="2000.75"/>
    <n v="2426.9899999999998"/>
    <n v="2014.4016999999997"/>
    <n v="8057.6067999999987"/>
    <n v="8003"/>
    <n v="54.606799999998657"/>
    <n v="6.7770494832285269E-3"/>
    <s v="Profit"/>
    <x v="0"/>
    <n v="0.17"/>
    <s v="Bank Transfer"/>
    <s v="Online"/>
    <s v="East-Bob"/>
    <x v="0"/>
  </r>
  <r>
    <n v="1033"/>
    <x v="36"/>
    <x v="2"/>
    <x v="2"/>
    <n v="13"/>
    <x v="0"/>
    <n v="1"/>
    <n v="4342.53"/>
    <n v="4357.49"/>
    <n v="4008.8908000000001"/>
    <n v="52115.580399999999"/>
    <n v="56452.89"/>
    <n v="-4337.3096000000005"/>
    <n v="-8.3224816201029977E-2"/>
    <s v="Loss"/>
    <x v="1"/>
    <n v="0.08"/>
    <s v="Bank Transfer"/>
    <s v="Online"/>
    <s v="East-Eve"/>
    <x v="1"/>
  </r>
  <r>
    <n v="1033"/>
    <x v="120"/>
    <x v="2"/>
    <x v="1"/>
    <n v="39"/>
    <x v="3"/>
    <n v="1"/>
    <n v="4232.8100000000004"/>
    <n v="4345.25"/>
    <n v="3823.82"/>
    <n v="149128.98000000001"/>
    <n v="165079.59000000003"/>
    <n v="-15950.610000000015"/>
    <n v="-0.10695848653963846"/>
    <s v="Loss"/>
    <x v="0"/>
    <n v="0.12"/>
    <s v="Bank Transfer"/>
    <s v="Online"/>
    <s v="North-Eve"/>
    <x v="1"/>
  </r>
  <r>
    <n v="1033"/>
    <x v="112"/>
    <x v="1"/>
    <x v="2"/>
    <n v="6"/>
    <x v="2"/>
    <n v="1"/>
    <n v="1621.07"/>
    <n v="1687.5"/>
    <n v="1485"/>
    <n v="8910"/>
    <n v="9726.42"/>
    <n v="-816.42000000000007"/>
    <n v="-9.1629629629629644E-2"/>
    <s v="Loss"/>
    <x v="0"/>
    <n v="0.12"/>
    <s v="Credit Card"/>
    <s v="Online"/>
    <s v="East-David"/>
    <x v="0"/>
  </r>
  <r>
    <n v="1033"/>
    <x v="212"/>
    <x v="0"/>
    <x v="1"/>
    <n v="16"/>
    <x v="1"/>
    <n v="1"/>
    <n v="2915.88"/>
    <n v="3397.36"/>
    <n v="2717.8880000000004"/>
    <n v="43486.208000000006"/>
    <n v="46654.080000000002"/>
    <n v="-3167.8719999999958"/>
    <n v="-7.2847740598582317E-2"/>
    <s v="Loss"/>
    <x v="1"/>
    <n v="0.2"/>
    <s v="Bank Transfer"/>
    <s v="Retail"/>
    <s v="North-Bob"/>
    <x v="1"/>
  </r>
  <r>
    <n v="1033"/>
    <x v="178"/>
    <x v="3"/>
    <x v="0"/>
    <n v="24"/>
    <x v="2"/>
    <n v="1"/>
    <n v="1345.67"/>
    <n v="1367.76"/>
    <n v="1285.6943999999999"/>
    <n v="30856.665599999997"/>
    <n v="32296.080000000002"/>
    <n v="-1439.4144000000051"/>
    <n v="-4.6648410384303E-2"/>
    <s v="Loss"/>
    <x v="1"/>
    <n v="0.06"/>
    <s v="Bank Transfer"/>
    <s v="Online"/>
    <s v="West-Alice"/>
    <x v="0"/>
  </r>
  <r>
    <n v="1033"/>
    <x v="11"/>
    <x v="1"/>
    <x v="3"/>
    <n v="23"/>
    <x v="1"/>
    <n v="1"/>
    <n v="2981.5"/>
    <n v="3360.4"/>
    <n v="2621.1120000000001"/>
    <n v="60285.576000000001"/>
    <n v="68574.5"/>
    <n v="-8288.9239999999991"/>
    <n v="-0.137494315389804"/>
    <s v="Loss"/>
    <x v="0"/>
    <n v="0.22"/>
    <s v="Bank Transfer"/>
    <s v="Retail"/>
    <s v="South-David"/>
    <x v="1"/>
  </r>
  <r>
    <n v="1033"/>
    <x v="213"/>
    <x v="2"/>
    <x v="2"/>
    <n v="29"/>
    <x v="2"/>
    <n v="1"/>
    <n v="1412.09"/>
    <n v="1596.65"/>
    <n v="1484.8844999999999"/>
    <n v="43061.650500000003"/>
    <n v="40950.61"/>
    <n v="2111.0405000000028"/>
    <n v="4.9023678272619921E-2"/>
    <s v="Profit"/>
    <x v="0"/>
    <n v="7.0000000000000007E-2"/>
    <s v="Cash"/>
    <s v="Online"/>
    <s v="East-Eve"/>
    <x v="0"/>
  </r>
  <r>
    <n v="1033"/>
    <x v="214"/>
    <x v="0"/>
    <x v="3"/>
    <n v="5"/>
    <x v="1"/>
    <n v="1"/>
    <n v="3162.92"/>
    <n v="3409.93"/>
    <n v="3409.93"/>
    <n v="17049.649999999998"/>
    <n v="15814.6"/>
    <n v="1235.0499999999975"/>
    <n v="7.2438437152668678E-2"/>
    <s v="Profit"/>
    <x v="1"/>
    <n v="0"/>
    <s v="Cash"/>
    <s v="Online"/>
    <s v="South-Bob"/>
    <x v="1"/>
  </r>
  <r>
    <n v="1033"/>
    <x v="215"/>
    <x v="1"/>
    <x v="1"/>
    <n v="37"/>
    <x v="3"/>
    <n v="1"/>
    <n v="2600.7600000000002"/>
    <n v="2937.57"/>
    <n v="2438.1831000000002"/>
    <n v="90212.774700000009"/>
    <n v="96228.12000000001"/>
    <n v="-6015.3453000000009"/>
    <n v="-6.6679528703156049E-2"/>
    <s v="Loss"/>
    <x v="1"/>
    <n v="0.17"/>
    <s v="Credit Card"/>
    <s v="Retail"/>
    <s v="North-David"/>
    <x v="1"/>
  </r>
  <r>
    <n v="1033"/>
    <x v="77"/>
    <x v="4"/>
    <x v="2"/>
    <n v="44"/>
    <x v="3"/>
    <n v="1"/>
    <n v="1195.22"/>
    <n v="1320.06"/>
    <n v="1016.4462"/>
    <n v="44723.632799999999"/>
    <n v="52589.68"/>
    <n v="-7866.0472000000009"/>
    <n v="-0.1758812222427513"/>
    <s v="Loss"/>
    <x v="0"/>
    <n v="0.23"/>
    <s v="Bank Transfer"/>
    <s v="Retail"/>
    <s v="East-Charlie"/>
    <x v="0"/>
  </r>
  <r>
    <n v="1033"/>
    <x v="68"/>
    <x v="1"/>
    <x v="0"/>
    <n v="3"/>
    <x v="2"/>
    <n v="1"/>
    <n v="2958.75"/>
    <n v="3177.64"/>
    <n v="2637.4411999999998"/>
    <n v="7912.3235999999997"/>
    <n v="8876.25"/>
    <n v="-963.92640000000029"/>
    <n v="-0.12182595767443084"/>
    <s v="Loss"/>
    <x v="0"/>
    <n v="0.17"/>
    <s v="Cash"/>
    <s v="Online"/>
    <s v="West-David"/>
    <x v="1"/>
  </r>
  <r>
    <n v="1033"/>
    <x v="216"/>
    <x v="1"/>
    <x v="1"/>
    <n v="43"/>
    <x v="2"/>
    <n v="1"/>
    <n v="4781.42"/>
    <n v="4864.34"/>
    <n v="3648.2550000000001"/>
    <n v="156874.965"/>
    <n v="205601.06"/>
    <n v="-48726.095000000001"/>
    <n v="-0.31060465893968486"/>
    <s v="Loss"/>
    <x v="0"/>
    <n v="0.25"/>
    <s v="Bank Transfer"/>
    <s v="Online"/>
    <s v="North-David"/>
    <x v="1"/>
  </r>
  <r>
    <n v="1033"/>
    <x v="217"/>
    <x v="0"/>
    <x v="2"/>
    <n v="14"/>
    <x v="0"/>
    <n v="1"/>
    <n v="504.3"/>
    <n v="735.95"/>
    <n v="581.40050000000008"/>
    <n v="8139.6070000000009"/>
    <n v="7060.2"/>
    <n v="1079.4070000000011"/>
    <n v="0.13261168506047047"/>
    <s v="Profit"/>
    <x v="0"/>
    <n v="0.21"/>
    <s v="Cash"/>
    <s v="Retail"/>
    <s v="East-Bob"/>
    <x v="0"/>
  </r>
  <r>
    <n v="1033"/>
    <x v="218"/>
    <x v="2"/>
    <x v="2"/>
    <n v="18"/>
    <x v="1"/>
    <n v="1"/>
    <n v="3124.48"/>
    <n v="3553.27"/>
    <n v="3126.8775999999998"/>
    <n v="56283.796800000004"/>
    <n v="56240.639999999999"/>
    <n v="43.156800000004296"/>
    <n v="7.6677129926679523E-4"/>
    <s v="Profit"/>
    <x v="0"/>
    <n v="0.12"/>
    <s v="Cash"/>
    <s v="Retail"/>
    <s v="East-Eve"/>
    <x v="1"/>
  </r>
  <r>
    <n v="1034"/>
    <x v="199"/>
    <x v="4"/>
    <x v="0"/>
    <n v="45"/>
    <x v="0"/>
    <n v="1"/>
    <n v="2013.12"/>
    <n v="2321.87"/>
    <n v="1903.9334000000001"/>
    <n v="85677.002999999997"/>
    <n v="90590.399999999994"/>
    <n v="-4913.3969999999972"/>
    <n v="-5.7347909333383164E-2"/>
    <s v="Loss"/>
    <x v="1"/>
    <n v="0.18"/>
    <s v="Bank Transfer"/>
    <s v="Retail"/>
    <s v="West-Charlie"/>
    <x v="0"/>
  </r>
  <r>
    <n v="1034"/>
    <x v="46"/>
    <x v="4"/>
    <x v="0"/>
    <n v="7"/>
    <x v="3"/>
    <n v="1"/>
    <n v="2492.36"/>
    <n v="2738.68"/>
    <n v="2437.4251999999997"/>
    <n v="17061.9764"/>
    <n v="17446.52"/>
    <n v="-384.54360000000088"/>
    <n v="-2.2538045475200687E-2"/>
    <s v="Loss"/>
    <x v="0"/>
    <n v="0.11"/>
    <s v="Cash"/>
    <s v="Online"/>
    <s v="West-Charlie"/>
    <x v="0"/>
  </r>
  <r>
    <n v="1034"/>
    <x v="162"/>
    <x v="1"/>
    <x v="0"/>
    <n v="28"/>
    <x v="1"/>
    <n v="1"/>
    <n v="137.47"/>
    <n v="234.63"/>
    <n v="171.2799"/>
    <n v="4795.837199999999"/>
    <n v="3849.16"/>
    <n v="946.67719999999917"/>
    <n v="0.19739560800771122"/>
    <s v="Profit"/>
    <x v="1"/>
    <n v="0.27"/>
    <s v="Bank Transfer"/>
    <s v="Retail"/>
    <s v="West-David"/>
    <x v="0"/>
  </r>
  <r>
    <n v="1034"/>
    <x v="4"/>
    <x v="2"/>
    <x v="2"/>
    <n v="19"/>
    <x v="2"/>
    <n v="1"/>
    <n v="1922.21"/>
    <n v="2180.83"/>
    <n v="1810.0888999999997"/>
    <n v="34391.689099999996"/>
    <n v="36521.99"/>
    <n v="-2130.300900000002"/>
    <n v="-6.1942316755823498E-2"/>
    <s v="Loss"/>
    <x v="0"/>
    <n v="0.17"/>
    <s v="Credit Card"/>
    <s v="Retail"/>
    <s v="East-Eve"/>
    <x v="0"/>
  </r>
  <r>
    <n v="1034"/>
    <x v="113"/>
    <x v="2"/>
    <x v="3"/>
    <n v="26"/>
    <x v="3"/>
    <n v="1"/>
    <n v="667"/>
    <n v="718.72"/>
    <n v="574.976"/>
    <n v="14949.376000000002"/>
    <n v="17342"/>
    <n v="-2392.623999999998"/>
    <n v="-0.16004841941228837"/>
    <s v="Loss"/>
    <x v="1"/>
    <n v="0.2"/>
    <s v="Cash"/>
    <s v="Retail"/>
    <s v="South-Eve"/>
    <x v="0"/>
  </r>
  <r>
    <n v="1034"/>
    <x v="8"/>
    <x v="3"/>
    <x v="0"/>
    <n v="3"/>
    <x v="2"/>
    <n v="1"/>
    <n v="3472.51"/>
    <n v="3732"/>
    <n v="3508.08"/>
    <n v="10524.24"/>
    <n v="10417.530000000001"/>
    <n v="106.70999999999913"/>
    <n v="1.0139449499441207E-2"/>
    <s v="Profit"/>
    <x v="1"/>
    <n v="0.06"/>
    <s v="Cash"/>
    <s v="Online"/>
    <s v="West-Alice"/>
    <x v="1"/>
  </r>
  <r>
    <n v="1034"/>
    <x v="106"/>
    <x v="3"/>
    <x v="1"/>
    <n v="13"/>
    <x v="1"/>
    <n v="1"/>
    <n v="366.31"/>
    <n v="492.68"/>
    <n v="433.55840000000001"/>
    <n v="5636.2592000000004"/>
    <n v="4762.03"/>
    <n v="874.22920000000067"/>
    <n v="0.15510805464730945"/>
    <s v="Profit"/>
    <x v="1"/>
    <n v="0.12"/>
    <s v="Credit Card"/>
    <s v="Retail"/>
    <s v="North-Alice"/>
    <x v="0"/>
  </r>
  <r>
    <n v="1034"/>
    <x v="132"/>
    <x v="0"/>
    <x v="2"/>
    <n v="38"/>
    <x v="0"/>
    <n v="1"/>
    <n v="2729.75"/>
    <n v="3081.5"/>
    <n v="3050.6849999999999"/>
    <n v="115926.03"/>
    <n v="103730.5"/>
    <n v="12195.529999999999"/>
    <n v="0.10520096306239417"/>
    <s v="Profit"/>
    <x v="1"/>
    <n v="0.01"/>
    <s v="Bank Transfer"/>
    <s v="Online"/>
    <s v="East-Bob"/>
    <x v="1"/>
  </r>
  <r>
    <n v="1034"/>
    <x v="144"/>
    <x v="1"/>
    <x v="1"/>
    <n v="34"/>
    <x v="0"/>
    <n v="1"/>
    <n v="978.15"/>
    <n v="1040.21"/>
    <n v="915.38480000000004"/>
    <n v="31123.083200000001"/>
    <n v="33257.1"/>
    <n v="-2134.0167999999976"/>
    <n v="-6.8567011381442999E-2"/>
    <s v="Loss"/>
    <x v="1"/>
    <n v="0.12"/>
    <s v="Credit Card"/>
    <s v="Retail"/>
    <s v="North-David"/>
    <x v="0"/>
  </r>
  <r>
    <n v="1035"/>
    <x v="102"/>
    <x v="4"/>
    <x v="1"/>
    <n v="5"/>
    <x v="0"/>
    <n v="1"/>
    <n v="4483.8500000000004"/>
    <n v="4795.42"/>
    <n v="3692.4734000000003"/>
    <n v="18462.366999999998"/>
    <n v="22419.25"/>
    <n v="-3956.8830000000016"/>
    <n v="-0.21432154392770991"/>
    <s v="Loss"/>
    <x v="0"/>
    <n v="0.23"/>
    <s v="Cash"/>
    <s v="Online"/>
    <s v="North-Charlie"/>
    <x v="1"/>
  </r>
  <r>
    <n v="1035"/>
    <x v="64"/>
    <x v="0"/>
    <x v="0"/>
    <n v="47"/>
    <x v="3"/>
    <n v="1"/>
    <n v="2936.48"/>
    <n v="3096.64"/>
    <n v="2910.8415999999997"/>
    <n v="136809.55519999997"/>
    <n v="138014.56"/>
    <n v="-1205.0048000000243"/>
    <n v="-8.8078994061375655E-3"/>
    <s v="Loss"/>
    <x v="1"/>
    <n v="0.06"/>
    <s v="Bank Transfer"/>
    <s v="Online"/>
    <s v="West-Bob"/>
    <x v="1"/>
  </r>
  <r>
    <n v="1035"/>
    <x v="1"/>
    <x v="1"/>
    <x v="3"/>
    <n v="30"/>
    <x v="3"/>
    <n v="1"/>
    <n v="3813.62"/>
    <n v="3839.72"/>
    <n v="3033.3788"/>
    <n v="91001.364000000001"/>
    <n v="114408.59999999999"/>
    <n v="-23407.23599999999"/>
    <n v="-0.25721851817517799"/>
    <s v="Loss"/>
    <x v="1"/>
    <n v="0.21"/>
    <s v="Credit Card"/>
    <s v="Online"/>
    <s v="South-David"/>
    <x v="1"/>
  </r>
  <r>
    <n v="1035"/>
    <x v="171"/>
    <x v="3"/>
    <x v="0"/>
    <n v="5"/>
    <x v="2"/>
    <n v="1"/>
    <n v="3991.69"/>
    <n v="4454.97"/>
    <n v="3831.2742000000003"/>
    <n v="19156.371000000003"/>
    <n v="19958.45"/>
    <n v="-802.0789999999979"/>
    <n v="-4.1870091156618224E-2"/>
    <s v="Loss"/>
    <x v="1"/>
    <n v="0.14000000000000001"/>
    <s v="Credit Card"/>
    <s v="Retail"/>
    <s v="West-Alice"/>
    <x v="1"/>
  </r>
  <r>
    <n v="1035"/>
    <x v="184"/>
    <x v="1"/>
    <x v="1"/>
    <n v="1"/>
    <x v="1"/>
    <n v="1"/>
    <n v="610.83000000000004"/>
    <n v="808.69"/>
    <n v="630.77820000000008"/>
    <n v="630.77820000000008"/>
    <n v="610.83000000000004"/>
    <n v="19.948200000000043"/>
    <n v="3.1624745433497921E-2"/>
    <s v="Profit"/>
    <x v="1"/>
    <n v="0.22"/>
    <s v="Credit Card"/>
    <s v="Online"/>
    <s v="North-David"/>
    <x v="0"/>
  </r>
  <r>
    <n v="1035"/>
    <x v="96"/>
    <x v="1"/>
    <x v="3"/>
    <n v="34"/>
    <x v="0"/>
    <n v="1"/>
    <n v="1105.05"/>
    <n v="1200.96"/>
    <n v="972.77760000000012"/>
    <n v="33074.438399999999"/>
    <n v="37571.699999999997"/>
    <n v="-4497.261599999998"/>
    <n v="-0.13597393689986276"/>
    <s v="Loss"/>
    <x v="0"/>
    <n v="0.19"/>
    <s v="Cash"/>
    <s v="Online"/>
    <s v="South-David"/>
    <x v="0"/>
  </r>
  <r>
    <n v="1035"/>
    <x v="160"/>
    <x v="0"/>
    <x v="3"/>
    <n v="9"/>
    <x v="2"/>
    <n v="1"/>
    <n v="2534.94"/>
    <n v="2755.56"/>
    <n v="2397.3371999999999"/>
    <n v="21576.034800000001"/>
    <n v="22814.46"/>
    <n v="-1238.4251999999979"/>
    <n v="-5.7398183284353886E-2"/>
    <s v="Loss"/>
    <x v="0"/>
    <n v="0.13"/>
    <s v="Credit Card"/>
    <s v="Retail"/>
    <s v="South-Bob"/>
    <x v="0"/>
  </r>
  <r>
    <n v="1035"/>
    <x v="60"/>
    <x v="3"/>
    <x v="1"/>
    <n v="28"/>
    <x v="1"/>
    <n v="1"/>
    <n v="3771.38"/>
    <n v="4234.92"/>
    <n v="3049.1423999999997"/>
    <n v="85375.987200000003"/>
    <n v="105598.64"/>
    <n v="-20222.652799999996"/>
    <n v="-0.23686581512231106"/>
    <s v="Loss"/>
    <x v="1"/>
    <n v="0.28000000000000003"/>
    <s v="Credit Card"/>
    <s v="Retail"/>
    <s v="North-Alice"/>
    <x v="1"/>
  </r>
  <r>
    <n v="1035"/>
    <x v="219"/>
    <x v="3"/>
    <x v="3"/>
    <n v="45"/>
    <x v="0"/>
    <n v="1"/>
    <n v="4132.79"/>
    <n v="4624.1000000000004"/>
    <n v="3930.4850000000001"/>
    <n v="176871.82500000001"/>
    <n v="185975.55"/>
    <n v="-9103.7249999999767"/>
    <n v="-5.1470747248749067E-2"/>
    <s v="Loss"/>
    <x v="1"/>
    <n v="0.15"/>
    <s v="Credit Card"/>
    <s v="Retail"/>
    <s v="South-Alice"/>
    <x v="1"/>
  </r>
  <r>
    <n v="1035"/>
    <x v="209"/>
    <x v="1"/>
    <x v="2"/>
    <n v="30"/>
    <x v="2"/>
    <n v="1"/>
    <n v="1300.03"/>
    <n v="1745.52"/>
    <n v="1588.4232"/>
    <n v="47652.696000000004"/>
    <n v="39000.9"/>
    <n v="8651.7960000000021"/>
    <n v="0.18155942320661148"/>
    <s v="Profit"/>
    <x v="1"/>
    <n v="0.09"/>
    <s v="Cash"/>
    <s v="Retail"/>
    <s v="East-David"/>
    <x v="0"/>
  </r>
  <r>
    <n v="1036"/>
    <x v="191"/>
    <x v="3"/>
    <x v="0"/>
    <n v="17"/>
    <x v="1"/>
    <n v="1"/>
    <n v="1475"/>
    <n v="1840.77"/>
    <n v="1656.693"/>
    <n v="28163.780999999999"/>
    <n v="25075"/>
    <n v="3088.780999999999"/>
    <n v="0.10967209977950046"/>
    <s v="Profit"/>
    <x v="0"/>
    <n v="0.1"/>
    <s v="Credit Card"/>
    <s v="Online"/>
    <s v="West-Alice"/>
    <x v="0"/>
  </r>
  <r>
    <n v="1036"/>
    <x v="220"/>
    <x v="1"/>
    <x v="1"/>
    <n v="42"/>
    <x v="1"/>
    <n v="1"/>
    <n v="4292.63"/>
    <n v="4387.99"/>
    <n v="4080.8306999999995"/>
    <n v="171394.88939999999"/>
    <n v="180290.46"/>
    <n v="-8895.5706000000064"/>
    <n v="-5.1901025935724356E-2"/>
    <s v="Loss"/>
    <x v="1"/>
    <n v="7.0000000000000007E-2"/>
    <s v="Credit Card"/>
    <s v="Retail"/>
    <s v="North-David"/>
    <x v="1"/>
  </r>
  <r>
    <n v="1036"/>
    <x v="187"/>
    <x v="4"/>
    <x v="2"/>
    <n v="26"/>
    <x v="3"/>
    <n v="1"/>
    <n v="4266.3599999999997"/>
    <n v="4331.43"/>
    <n v="3725.0298000000003"/>
    <n v="96850.774799999999"/>
    <n v="110925.35999999999"/>
    <n v="-14074.585199999987"/>
    <n v="-0.14532238104511258"/>
    <s v="Loss"/>
    <x v="0"/>
    <n v="0.14000000000000001"/>
    <s v="Credit Card"/>
    <s v="Retail"/>
    <s v="East-Charlie"/>
    <x v="1"/>
  </r>
  <r>
    <n v="1036"/>
    <x v="159"/>
    <x v="1"/>
    <x v="1"/>
    <n v="7"/>
    <x v="0"/>
    <n v="1"/>
    <n v="2882.25"/>
    <n v="3163.7"/>
    <n v="3005.5149999999999"/>
    <n v="21038.604999999996"/>
    <n v="20175.75"/>
    <n v="862.85499999999593"/>
    <n v="4.1012937882525774E-2"/>
    <s v="Profit"/>
    <x v="0"/>
    <n v="0.05"/>
    <s v="Cash"/>
    <s v="Retail"/>
    <s v="North-David"/>
    <x v="1"/>
  </r>
  <r>
    <n v="1036"/>
    <x v="207"/>
    <x v="0"/>
    <x v="0"/>
    <n v="19"/>
    <x v="1"/>
    <n v="1"/>
    <n v="2844.97"/>
    <n v="3215"/>
    <n v="2925.65"/>
    <n v="55587.35"/>
    <n v="54054.429999999993"/>
    <n v="1532.9200000000055"/>
    <n v="2.7576777810059402E-2"/>
    <s v="Profit"/>
    <x v="0"/>
    <n v="0.09"/>
    <s v="Credit Card"/>
    <s v="Retail"/>
    <s v="West-Bob"/>
    <x v="1"/>
  </r>
  <r>
    <n v="1036"/>
    <x v="139"/>
    <x v="3"/>
    <x v="2"/>
    <n v="23"/>
    <x v="0"/>
    <n v="1"/>
    <n v="3335.53"/>
    <n v="3742.12"/>
    <n v="3629.8563999999997"/>
    <n v="83486.697199999995"/>
    <n v="76717.19"/>
    <n v="6769.5071999999927"/>
    <n v="8.1084860547100346E-2"/>
    <s v="Profit"/>
    <x v="1"/>
    <n v="0.03"/>
    <s v="Bank Transfer"/>
    <s v="Retail"/>
    <s v="East-Alice"/>
    <x v="1"/>
  </r>
  <r>
    <n v="1036"/>
    <x v="21"/>
    <x v="1"/>
    <x v="1"/>
    <n v="49"/>
    <x v="2"/>
    <n v="1"/>
    <n v="1247.0999999999999"/>
    <n v="1429.44"/>
    <n v="1200.7295999999999"/>
    <n v="58835.750399999997"/>
    <n v="61107.899999999994"/>
    <n v="-2272.149599999997"/>
    <n v="-3.8618519939876507E-2"/>
    <s v="Loss"/>
    <x v="1"/>
    <n v="0.16"/>
    <s v="Cash"/>
    <s v="Online"/>
    <s v="North-David"/>
    <x v="0"/>
  </r>
  <r>
    <n v="1036"/>
    <x v="99"/>
    <x v="3"/>
    <x v="2"/>
    <n v="32"/>
    <x v="2"/>
    <n v="1"/>
    <n v="700.49"/>
    <n v="1126.52"/>
    <n v="799.8291999999999"/>
    <n v="25594.534399999997"/>
    <n v="22415.68"/>
    <n v="3178.8543999999965"/>
    <n v="0.12420051681033889"/>
    <s v="Profit"/>
    <x v="1"/>
    <n v="0.28999999999999998"/>
    <s v="Credit Card"/>
    <s v="Retail"/>
    <s v="East-Alice"/>
    <x v="0"/>
  </r>
  <r>
    <n v="1036"/>
    <x v="196"/>
    <x v="1"/>
    <x v="2"/>
    <n v="25"/>
    <x v="0"/>
    <n v="1"/>
    <n v="2520.9699999999998"/>
    <n v="2707.11"/>
    <n v="2030.3325"/>
    <n v="50758.3125"/>
    <n v="63024.249999999993"/>
    <n v="-12265.937499999993"/>
    <n v="-0.24165376853298645"/>
    <s v="Loss"/>
    <x v="1"/>
    <n v="0.25"/>
    <s v="Cash"/>
    <s v="Retail"/>
    <s v="East-David"/>
    <x v="0"/>
  </r>
  <r>
    <n v="1036"/>
    <x v="221"/>
    <x v="0"/>
    <x v="1"/>
    <n v="42"/>
    <x v="1"/>
    <n v="1"/>
    <n v="3549.43"/>
    <n v="3967.69"/>
    <n v="3412.2134000000001"/>
    <n v="143312.96280000001"/>
    <n v="149076.06"/>
    <n v="-5763.0971999999892"/>
    <n v="-4.0213370007866373E-2"/>
    <s v="Loss"/>
    <x v="1"/>
    <n v="0.14000000000000001"/>
    <s v="Bank Transfer"/>
    <s v="Online"/>
    <s v="North-Bob"/>
    <x v="1"/>
  </r>
  <r>
    <n v="1036"/>
    <x v="33"/>
    <x v="4"/>
    <x v="0"/>
    <n v="25"/>
    <x v="1"/>
    <n v="1"/>
    <n v="4037.73"/>
    <n v="4446.45"/>
    <n v="4046.2694999999999"/>
    <n v="101156.7375"/>
    <n v="100943.25"/>
    <n v="213.48750000000291"/>
    <n v="2.1104624889667178E-3"/>
    <s v="Profit"/>
    <x v="0"/>
    <n v="0.09"/>
    <s v="Bank Transfer"/>
    <s v="Online"/>
    <s v="West-Charlie"/>
    <x v="1"/>
  </r>
  <r>
    <n v="1036"/>
    <x v="222"/>
    <x v="0"/>
    <x v="1"/>
    <n v="7"/>
    <x v="2"/>
    <n v="1"/>
    <n v="2588.67"/>
    <n v="2847.76"/>
    <n v="2221.2528000000002"/>
    <n v="15548.7696"/>
    <n v="18120.690000000002"/>
    <n v="-2571.9204000000027"/>
    <n v="-0.16540989841408435"/>
    <s v="Loss"/>
    <x v="1"/>
    <n v="0.22"/>
    <s v="Cash"/>
    <s v="Retail"/>
    <s v="North-Bob"/>
    <x v="1"/>
  </r>
  <r>
    <n v="1037"/>
    <x v="111"/>
    <x v="3"/>
    <x v="3"/>
    <n v="4"/>
    <x v="0"/>
    <n v="1"/>
    <n v="4721.7"/>
    <n v="5017.58"/>
    <n v="3813.3607999999999"/>
    <n v="15253.4432"/>
    <n v="18886.8"/>
    <n v="-3633.3567999999996"/>
    <n v="-0.23819912346085897"/>
    <s v="Loss"/>
    <x v="1"/>
    <n v="0.24"/>
    <s v="Cash"/>
    <s v="Retail"/>
    <s v="South-Alice"/>
    <x v="1"/>
  </r>
  <r>
    <n v="1037"/>
    <x v="223"/>
    <x v="4"/>
    <x v="1"/>
    <n v="41"/>
    <x v="2"/>
    <n v="1"/>
    <n v="4965.07"/>
    <n v="5243.13"/>
    <n v="5190.6986999999999"/>
    <n v="212818.64670000001"/>
    <n v="203567.87"/>
    <n v="9250.7767000000167"/>
    <n v="4.346788612484874E-2"/>
    <s v="Profit"/>
    <x v="1"/>
    <n v="0.01"/>
    <s v="Credit Card"/>
    <s v="Online"/>
    <s v="North-Charlie"/>
    <x v="1"/>
  </r>
  <r>
    <n v="1037"/>
    <x v="159"/>
    <x v="0"/>
    <x v="1"/>
    <n v="32"/>
    <x v="3"/>
    <n v="1"/>
    <n v="2594.08"/>
    <n v="3074.59"/>
    <n v="2644.1474000000003"/>
    <n v="84612.716800000009"/>
    <n v="83010.559999999998"/>
    <n v="1602.1568000000116"/>
    <n v="1.8935177365679522E-2"/>
    <s v="Profit"/>
    <x v="1"/>
    <n v="0.14000000000000001"/>
    <s v="Cash"/>
    <s v="Retail"/>
    <s v="North-Bob"/>
    <x v="1"/>
  </r>
  <r>
    <n v="1037"/>
    <x v="224"/>
    <x v="0"/>
    <x v="3"/>
    <n v="5"/>
    <x v="1"/>
    <n v="1"/>
    <n v="1941.56"/>
    <n v="2385.48"/>
    <n v="2027.6579999999999"/>
    <n v="10138.289999999999"/>
    <n v="9707.7999999999993"/>
    <n v="430.48999999999978"/>
    <n v="4.2461795825528746E-2"/>
    <s v="Profit"/>
    <x v="0"/>
    <n v="0.15"/>
    <s v="Credit Card"/>
    <s v="Online"/>
    <s v="South-Bob"/>
    <x v="0"/>
  </r>
  <r>
    <n v="1037"/>
    <x v="155"/>
    <x v="3"/>
    <x v="3"/>
    <n v="17"/>
    <x v="3"/>
    <n v="1"/>
    <n v="1308.58"/>
    <n v="1575.59"/>
    <n v="1102.9129999999998"/>
    <n v="18749.520999999997"/>
    <n v="22245.86"/>
    <n v="-3496.3390000000036"/>
    <n v="-0.18647617717807319"/>
    <s v="Loss"/>
    <x v="1"/>
    <n v="0.3"/>
    <s v="Cash"/>
    <s v="Online"/>
    <s v="South-Alice"/>
    <x v="0"/>
  </r>
  <r>
    <n v="1037"/>
    <x v="148"/>
    <x v="0"/>
    <x v="1"/>
    <n v="40"/>
    <x v="2"/>
    <n v="1"/>
    <n v="2790.11"/>
    <n v="3192.37"/>
    <n v="2362.3537999999999"/>
    <n v="94494.151999999987"/>
    <n v="111604.40000000001"/>
    <n v="-17110.248000000021"/>
    <n v="-0.18107203078556675"/>
    <s v="Loss"/>
    <x v="0"/>
    <n v="0.26"/>
    <s v="Bank Transfer"/>
    <s v="Online"/>
    <s v="North-Bob"/>
    <x v="1"/>
  </r>
  <r>
    <n v="1037"/>
    <x v="148"/>
    <x v="4"/>
    <x v="2"/>
    <n v="25"/>
    <x v="0"/>
    <n v="1"/>
    <n v="1074.6199999999999"/>
    <n v="1382.43"/>
    <n v="1050.6468"/>
    <n v="26266.170000000002"/>
    <n v="26865.499999999996"/>
    <n v="-599.32999999999447"/>
    <n v="-2.281756342854685E-2"/>
    <s v="Loss"/>
    <x v="0"/>
    <n v="0.24"/>
    <s v="Credit Card"/>
    <s v="Retail"/>
    <s v="East-Charlie"/>
    <x v="0"/>
  </r>
  <r>
    <n v="1038"/>
    <x v="200"/>
    <x v="3"/>
    <x v="2"/>
    <n v="43"/>
    <x v="1"/>
    <n v="1"/>
    <n v="3031.17"/>
    <n v="3231.32"/>
    <n v="2520.4296000000004"/>
    <n v="108378.47280000002"/>
    <n v="130340.31"/>
    <n v="-21961.83719999998"/>
    <n v="-0.20264021657260312"/>
    <s v="Loss"/>
    <x v="0"/>
    <n v="0.22"/>
    <s v="Cash"/>
    <s v="Retail"/>
    <s v="East-Alice"/>
    <x v="1"/>
  </r>
  <r>
    <n v="1038"/>
    <x v="186"/>
    <x v="4"/>
    <x v="1"/>
    <n v="7"/>
    <x v="1"/>
    <n v="1"/>
    <n v="523.02"/>
    <n v="686.25"/>
    <n v="658.8"/>
    <n v="4611.5999999999995"/>
    <n v="3661.14"/>
    <n v="950.45999999999958"/>
    <n v="0.20610200364298717"/>
    <s v="Profit"/>
    <x v="0"/>
    <n v="0.04"/>
    <s v="Cash"/>
    <s v="Online"/>
    <s v="North-Charlie"/>
    <x v="0"/>
  </r>
  <r>
    <n v="1038"/>
    <x v="158"/>
    <x v="3"/>
    <x v="2"/>
    <n v="16"/>
    <x v="1"/>
    <n v="1"/>
    <n v="3899.7"/>
    <n v="4228.18"/>
    <n v="3086.5714000000003"/>
    <n v="49385.142400000004"/>
    <n v="62395.199999999997"/>
    <n v="-13010.057599999993"/>
    <n v="-0.26344072260891144"/>
    <s v="Loss"/>
    <x v="1"/>
    <n v="0.27"/>
    <s v="Cash"/>
    <s v="Retail"/>
    <s v="East-Alice"/>
    <x v="1"/>
  </r>
  <r>
    <n v="1038"/>
    <x v="112"/>
    <x v="1"/>
    <x v="2"/>
    <n v="1"/>
    <x v="0"/>
    <n v="1"/>
    <n v="1281.6500000000001"/>
    <n v="1709.71"/>
    <n v="1470.3506"/>
    <n v="1470.3506"/>
    <n v="1281.6500000000001"/>
    <n v="188.70059999999989"/>
    <n v="0.12833714625613776"/>
    <s v="Profit"/>
    <x v="0"/>
    <n v="0.14000000000000001"/>
    <s v="Credit Card"/>
    <s v="Online"/>
    <s v="East-David"/>
    <x v="0"/>
  </r>
  <r>
    <n v="1038"/>
    <x v="225"/>
    <x v="0"/>
    <x v="3"/>
    <n v="15"/>
    <x v="2"/>
    <n v="1"/>
    <n v="2543.36"/>
    <n v="2790.1"/>
    <n v="2594.7929999999997"/>
    <n v="38921.894999999997"/>
    <n v="38150.400000000001"/>
    <n v="771.49499999999534"/>
    <n v="1.9821619682186476E-2"/>
    <s v="Profit"/>
    <x v="0"/>
    <n v="7.0000000000000007E-2"/>
    <s v="Cash"/>
    <s v="Online"/>
    <s v="South-Bob"/>
    <x v="0"/>
  </r>
  <r>
    <n v="1038"/>
    <x v="212"/>
    <x v="0"/>
    <x v="3"/>
    <n v="20"/>
    <x v="2"/>
    <n v="1"/>
    <n v="2607.31"/>
    <n v="2774.86"/>
    <n v="2025.6478"/>
    <n v="40512.956000000006"/>
    <n v="52146.2"/>
    <n v="-11633.243999999992"/>
    <n v="-0.28714873335828645"/>
    <s v="Loss"/>
    <x v="1"/>
    <n v="0.27"/>
    <s v="Credit Card"/>
    <s v="Retail"/>
    <s v="South-Bob"/>
    <x v="0"/>
  </r>
  <r>
    <n v="1038"/>
    <x v="205"/>
    <x v="1"/>
    <x v="1"/>
    <n v="9"/>
    <x v="2"/>
    <n v="1"/>
    <n v="400.42"/>
    <n v="446.11"/>
    <n v="441.64890000000003"/>
    <n v="3974.8401000000003"/>
    <n v="3603.78"/>
    <n v="371.06010000000015"/>
    <n v="9.33522080548599E-2"/>
    <s v="Profit"/>
    <x v="1"/>
    <n v="0.01"/>
    <s v="Bank Transfer"/>
    <s v="Retail"/>
    <s v="North-David"/>
    <x v="0"/>
  </r>
  <r>
    <n v="1038"/>
    <x v="38"/>
    <x v="3"/>
    <x v="0"/>
    <n v="42"/>
    <x v="0"/>
    <n v="1"/>
    <n v="1089.0899999999999"/>
    <n v="1355.44"/>
    <n v="1274.1135999999999"/>
    <n v="53512.771200000003"/>
    <n v="45741.78"/>
    <n v="7770.991200000004"/>
    <n v="0.14521750650805398"/>
    <s v="Profit"/>
    <x v="1"/>
    <n v="0.06"/>
    <s v="Cash"/>
    <s v="Retail"/>
    <s v="West-Alice"/>
    <x v="0"/>
  </r>
  <r>
    <n v="1038"/>
    <x v="184"/>
    <x v="1"/>
    <x v="0"/>
    <n v="31"/>
    <x v="2"/>
    <n v="1"/>
    <n v="2709.84"/>
    <n v="2766.51"/>
    <n v="2240.8731000000002"/>
    <n v="69467.066100000011"/>
    <n v="84005.040000000008"/>
    <n v="-14537.973899999997"/>
    <n v="-0.20927865125428113"/>
    <s v="Loss"/>
    <x v="1"/>
    <n v="0.19"/>
    <s v="Cash"/>
    <s v="Retail"/>
    <s v="West-David"/>
    <x v="0"/>
  </r>
  <r>
    <n v="1038"/>
    <x v="226"/>
    <x v="2"/>
    <x v="0"/>
    <n v="24"/>
    <x v="2"/>
    <n v="1"/>
    <n v="1543.91"/>
    <n v="1862.88"/>
    <n v="1695.2208000000001"/>
    <n v="40685.299200000001"/>
    <n v="37053.840000000004"/>
    <n v="3631.4591999999975"/>
    <n v="8.9257281411365352E-2"/>
    <s v="Profit"/>
    <x v="1"/>
    <n v="0.09"/>
    <s v="Bank Transfer"/>
    <s v="Online"/>
    <s v="West-Eve"/>
    <x v="0"/>
  </r>
  <r>
    <n v="1039"/>
    <x v="227"/>
    <x v="2"/>
    <x v="0"/>
    <n v="36"/>
    <x v="2"/>
    <n v="1"/>
    <n v="2919"/>
    <n v="3125.01"/>
    <n v="2375.0076000000004"/>
    <n v="85500.273600000015"/>
    <n v="105084"/>
    <n v="-19583.726399999985"/>
    <n v="-0.22904869862311156"/>
    <s v="Loss"/>
    <x v="1"/>
    <n v="0.24"/>
    <s v="Cash"/>
    <s v="Online"/>
    <s v="West-Eve"/>
    <x v="1"/>
  </r>
  <r>
    <n v="1039"/>
    <x v="127"/>
    <x v="0"/>
    <x v="3"/>
    <n v="8"/>
    <x v="2"/>
    <n v="1"/>
    <n v="3380.14"/>
    <n v="3609.34"/>
    <n v="3284.4994000000002"/>
    <n v="26275.995200000001"/>
    <n v="27041.119999999999"/>
    <n v="-765.12479999999778"/>
    <n v="-2.91187752995174E-2"/>
    <s v="Loss"/>
    <x v="0"/>
    <n v="0.09"/>
    <s v="Credit Card"/>
    <s v="Online"/>
    <s v="South-Bob"/>
    <x v="1"/>
  </r>
  <r>
    <n v="1039"/>
    <x v="228"/>
    <x v="2"/>
    <x v="3"/>
    <n v="4"/>
    <x v="3"/>
    <n v="1"/>
    <n v="1054.1199999999999"/>
    <n v="1175.22"/>
    <n v="1034.1936000000001"/>
    <n v="4136.7744000000002"/>
    <n v="4216.4799999999996"/>
    <n v="-79.705599999999322"/>
    <n v="-1.9267572338486555E-2"/>
    <s v="Loss"/>
    <x v="0"/>
    <n v="0.12"/>
    <s v="Bank Transfer"/>
    <s v="Retail"/>
    <s v="South-Eve"/>
    <x v="0"/>
  </r>
  <r>
    <n v="1039"/>
    <x v="158"/>
    <x v="1"/>
    <x v="3"/>
    <n v="20"/>
    <x v="0"/>
    <n v="1"/>
    <n v="2014.11"/>
    <n v="2056.35"/>
    <n v="1624.5165"/>
    <n v="32490.33"/>
    <n v="40282.199999999997"/>
    <n v="-7791.8699999999953"/>
    <n v="-0.23982120218538855"/>
    <s v="Loss"/>
    <x v="0"/>
    <n v="0.21"/>
    <s v="Bank Transfer"/>
    <s v="Retail"/>
    <s v="South-David"/>
    <x v="0"/>
  </r>
  <r>
    <n v="1039"/>
    <x v="229"/>
    <x v="3"/>
    <x v="1"/>
    <n v="3"/>
    <x v="0"/>
    <n v="1"/>
    <n v="391.19"/>
    <n v="471.75"/>
    <n v="344.3775"/>
    <n v="1033.1324999999999"/>
    <n v="1173.57"/>
    <n v="-140.4375"/>
    <n v="-0.13593367743246873"/>
    <s v="Loss"/>
    <x v="0"/>
    <n v="0.27"/>
    <s v="Cash"/>
    <s v="Online"/>
    <s v="North-Alice"/>
    <x v="0"/>
  </r>
  <r>
    <n v="1039"/>
    <x v="230"/>
    <x v="2"/>
    <x v="0"/>
    <n v="40"/>
    <x v="1"/>
    <n v="1"/>
    <n v="3536.46"/>
    <n v="3945.82"/>
    <n v="2998.8232000000003"/>
    <n v="119952.92800000001"/>
    <n v="141458.4"/>
    <n v="-21505.47199999998"/>
    <n v="-0.17928259325191276"/>
    <s v="Loss"/>
    <x v="1"/>
    <n v="0.24"/>
    <s v="Bank Transfer"/>
    <s v="Online"/>
    <s v="West-Eve"/>
    <x v="1"/>
  </r>
  <r>
    <n v="1039"/>
    <x v="231"/>
    <x v="2"/>
    <x v="1"/>
    <n v="35"/>
    <x v="1"/>
    <n v="1"/>
    <n v="2735.74"/>
    <n v="3181.23"/>
    <n v="2863.107"/>
    <n v="100208.74500000001"/>
    <n v="95750.9"/>
    <n v="4457.8450000000157"/>
    <n v="4.448558855816441E-2"/>
    <s v="Profit"/>
    <x v="1"/>
    <n v="0.1"/>
    <s v="Credit Card"/>
    <s v="Retail"/>
    <s v="North-Eve"/>
    <x v="1"/>
  </r>
  <r>
    <n v="1039"/>
    <x v="155"/>
    <x v="0"/>
    <x v="3"/>
    <n v="28"/>
    <x v="2"/>
    <n v="1"/>
    <n v="666.84"/>
    <n v="817.36"/>
    <n v="801.01279999999997"/>
    <n v="22428.358400000001"/>
    <n v="18671.52"/>
    <n v="3756.8384000000005"/>
    <n v="0.16750394001194491"/>
    <s v="Profit"/>
    <x v="0"/>
    <n v="0.02"/>
    <s v="Cash"/>
    <s v="Retail"/>
    <s v="South-Bob"/>
    <x v="0"/>
  </r>
  <r>
    <n v="1039"/>
    <x v="232"/>
    <x v="3"/>
    <x v="2"/>
    <n v="42"/>
    <x v="2"/>
    <n v="1"/>
    <n v="3120.19"/>
    <n v="3600.14"/>
    <n v="2916.1134000000002"/>
    <n v="122476.76280000001"/>
    <n v="131047.98"/>
    <n v="-8571.2171999999846"/>
    <n v="-6.9982395060493738E-2"/>
    <s v="Loss"/>
    <x v="0"/>
    <n v="0.19"/>
    <s v="Credit Card"/>
    <s v="Retail"/>
    <s v="East-Alice"/>
    <x v="1"/>
  </r>
  <r>
    <n v="1039"/>
    <x v="233"/>
    <x v="3"/>
    <x v="2"/>
    <n v="24"/>
    <x v="2"/>
    <n v="1"/>
    <n v="2615.48"/>
    <n v="3062.22"/>
    <n v="2480.3982000000001"/>
    <n v="59529.556800000006"/>
    <n v="62771.520000000004"/>
    <n v="-3241.9631999999983"/>
    <n v="-5.4459723442792339E-2"/>
    <s v="Loss"/>
    <x v="1"/>
    <n v="0.19"/>
    <s v="Bank Transfer"/>
    <s v="Retail"/>
    <s v="East-Alice"/>
    <x v="1"/>
  </r>
  <r>
    <n v="1039"/>
    <x v="234"/>
    <x v="2"/>
    <x v="0"/>
    <n v="37"/>
    <x v="3"/>
    <n v="1"/>
    <n v="4127.05"/>
    <n v="4313.45"/>
    <n v="3623.2979999999998"/>
    <n v="134062.02599999998"/>
    <n v="152700.85"/>
    <n v="-18638.824000000022"/>
    <n v="-0.13903134657982882"/>
    <s v="Loss"/>
    <x v="1"/>
    <n v="0.16"/>
    <s v="Cash"/>
    <s v="Online"/>
    <s v="West-Eve"/>
    <x v="1"/>
  </r>
  <r>
    <n v="1039"/>
    <x v="42"/>
    <x v="0"/>
    <x v="2"/>
    <n v="2"/>
    <x v="3"/>
    <n v="1"/>
    <n v="4394.58"/>
    <n v="4545.78"/>
    <n v="3636.6239999999998"/>
    <n v="7273.2479999999996"/>
    <n v="8789.16"/>
    <n v="-1515.9120000000003"/>
    <n v="-0.20842297691485295"/>
    <s v="Loss"/>
    <x v="0"/>
    <n v="0.2"/>
    <s v="Credit Card"/>
    <s v="Retail"/>
    <s v="East-Bob"/>
    <x v="1"/>
  </r>
  <r>
    <n v="1040"/>
    <x v="193"/>
    <x v="4"/>
    <x v="2"/>
    <n v="13"/>
    <x v="2"/>
    <n v="1"/>
    <n v="2750.18"/>
    <n v="2882.85"/>
    <n v="2190.9659999999999"/>
    <n v="28482.557999999997"/>
    <n v="35752.339999999997"/>
    <n v="-7269.7819999999992"/>
    <n v="-0.25523627477560124"/>
    <s v="Loss"/>
    <x v="0"/>
    <n v="0.24"/>
    <s v="Credit Card"/>
    <s v="Online"/>
    <s v="East-Charlie"/>
    <x v="1"/>
  </r>
  <r>
    <n v="1040"/>
    <x v="193"/>
    <x v="3"/>
    <x v="2"/>
    <n v="42"/>
    <x v="3"/>
    <n v="1"/>
    <n v="4205.29"/>
    <n v="4382.3500000000004"/>
    <n v="3286.7625000000003"/>
    <n v="138044.02500000002"/>
    <n v="176622.18"/>
    <n v="-38578.15499999997"/>
    <n v="-0.27946269315169536"/>
    <s v="Loss"/>
    <x v="1"/>
    <n v="0.25"/>
    <s v="Cash"/>
    <s v="Retail"/>
    <s v="East-Alice"/>
    <x v="1"/>
  </r>
  <r>
    <n v="1040"/>
    <x v="136"/>
    <x v="4"/>
    <x v="1"/>
    <n v="19"/>
    <x v="1"/>
    <n v="1"/>
    <n v="342.3"/>
    <n v="768.06"/>
    <n v="698.93459999999993"/>
    <n v="13279.7574"/>
    <n v="6503.7"/>
    <n v="6776.0574000000006"/>
    <n v="0.5102546075126343"/>
    <s v="Profit"/>
    <x v="0"/>
    <n v="0.09"/>
    <s v="Credit Card"/>
    <s v="Online"/>
    <s v="North-Charlie"/>
    <x v="0"/>
  </r>
  <r>
    <n v="1040"/>
    <x v="215"/>
    <x v="1"/>
    <x v="1"/>
    <n v="47"/>
    <x v="3"/>
    <n v="1"/>
    <n v="2189.54"/>
    <n v="2617"/>
    <n v="2590.83"/>
    <n v="121769.01"/>
    <n v="102908.38"/>
    <n v="18860.62999999999"/>
    <n v="0.15488858782706694"/>
    <s v="Profit"/>
    <x v="1"/>
    <n v="0.01"/>
    <s v="Bank Transfer"/>
    <s v="Online"/>
    <s v="North-David"/>
    <x v="0"/>
  </r>
  <r>
    <n v="1040"/>
    <x v="25"/>
    <x v="3"/>
    <x v="3"/>
    <n v="47"/>
    <x v="2"/>
    <n v="1"/>
    <n v="1656.82"/>
    <n v="1750.38"/>
    <n v="1382.8002000000001"/>
    <n v="64991.609400000001"/>
    <n v="77870.539999999994"/>
    <n v="-12878.930599999992"/>
    <n v="-0.19816297394229465"/>
    <s v="Loss"/>
    <x v="1"/>
    <n v="0.21"/>
    <s v="Credit Card"/>
    <s v="Online"/>
    <s v="South-Alice"/>
    <x v="0"/>
  </r>
  <r>
    <n v="1041"/>
    <x v="199"/>
    <x v="4"/>
    <x v="2"/>
    <n v="44"/>
    <x v="3"/>
    <n v="1"/>
    <n v="3288.39"/>
    <n v="3391.46"/>
    <n v="3221.8869999999997"/>
    <n v="141763.02799999999"/>
    <n v="144689.16"/>
    <n v="-2926.1320000000123"/>
    <n v="-2.0641009445706904E-2"/>
    <s v="Loss"/>
    <x v="1"/>
    <n v="0.05"/>
    <s v="Credit Card"/>
    <s v="Retail"/>
    <s v="East-Charlie"/>
    <x v="1"/>
  </r>
  <r>
    <n v="1041"/>
    <x v="228"/>
    <x v="1"/>
    <x v="2"/>
    <n v="36"/>
    <x v="0"/>
    <n v="1"/>
    <n v="864.77"/>
    <n v="1170.1600000000001"/>
    <n v="1041.4424000000001"/>
    <n v="37491.926400000004"/>
    <n v="31131.72"/>
    <n v="6360.2064000000028"/>
    <n v="0.16964202724989885"/>
    <s v="Profit"/>
    <x v="0"/>
    <n v="0.11"/>
    <s v="Cash"/>
    <s v="Retail"/>
    <s v="East-David"/>
    <x v="0"/>
  </r>
  <r>
    <n v="1041"/>
    <x v="123"/>
    <x v="1"/>
    <x v="3"/>
    <n v="40"/>
    <x v="0"/>
    <n v="1"/>
    <n v="601.86"/>
    <n v="1067.53"/>
    <n v="875.3746000000001"/>
    <n v="35014.983999999997"/>
    <n v="24074.400000000001"/>
    <n v="10940.583999999995"/>
    <n v="0.31245434811565231"/>
    <s v="Profit"/>
    <x v="1"/>
    <n v="0.18"/>
    <s v="Cash"/>
    <s v="Online"/>
    <s v="South-David"/>
    <x v="0"/>
  </r>
  <r>
    <n v="1041"/>
    <x v="180"/>
    <x v="0"/>
    <x v="3"/>
    <n v="31"/>
    <x v="0"/>
    <n v="1"/>
    <n v="1604.52"/>
    <n v="1756.34"/>
    <n v="1457.7621999999999"/>
    <n v="45190.628199999999"/>
    <n v="49740.12"/>
    <n v="-4549.4918000000034"/>
    <n v="-0.10067334713439552"/>
    <s v="Loss"/>
    <x v="0"/>
    <n v="0.17"/>
    <s v="Cash"/>
    <s v="Retail"/>
    <s v="South-Bob"/>
    <x v="0"/>
  </r>
  <r>
    <n v="1042"/>
    <x v="118"/>
    <x v="3"/>
    <x v="0"/>
    <n v="37"/>
    <x v="1"/>
    <n v="1"/>
    <n v="502.86"/>
    <n v="687.6"/>
    <n v="543.20400000000006"/>
    <n v="20098.548000000003"/>
    <n v="18605.82"/>
    <n v="1492.7280000000028"/>
    <n v="7.4270439834758339E-2"/>
    <s v="Profit"/>
    <x v="0"/>
    <n v="0.21"/>
    <s v="Cash"/>
    <s v="Online"/>
    <s v="West-Alice"/>
    <x v="0"/>
  </r>
  <r>
    <n v="1042"/>
    <x v="56"/>
    <x v="0"/>
    <x v="1"/>
    <n v="20"/>
    <x v="0"/>
    <n v="1"/>
    <n v="3115.06"/>
    <n v="3565.58"/>
    <n v="2495.9059999999999"/>
    <n v="49918.12"/>
    <n v="62301.2"/>
    <n v="-12383.079999999994"/>
    <n v="-0.24806783588805015"/>
    <s v="Loss"/>
    <x v="0"/>
    <n v="0.3"/>
    <s v="Credit Card"/>
    <s v="Retail"/>
    <s v="North-Bob"/>
    <x v="1"/>
  </r>
  <r>
    <n v="1042"/>
    <x v="235"/>
    <x v="3"/>
    <x v="2"/>
    <n v="23"/>
    <x v="3"/>
    <n v="1"/>
    <n v="1314"/>
    <n v="1567.78"/>
    <n v="1332.6129999999998"/>
    <n v="30650.099000000002"/>
    <n v="30222"/>
    <n v="428.09900000000198"/>
    <n v="1.396729583157307E-2"/>
    <s v="Profit"/>
    <x v="0"/>
    <n v="0.15"/>
    <s v="Credit Card"/>
    <s v="Retail"/>
    <s v="East-Alice"/>
    <x v="0"/>
  </r>
  <r>
    <n v="1042"/>
    <x v="136"/>
    <x v="1"/>
    <x v="3"/>
    <n v="46"/>
    <x v="1"/>
    <n v="1"/>
    <n v="2172.38"/>
    <n v="2367.11"/>
    <n v="1988.3724"/>
    <n v="91465.130400000009"/>
    <n v="99929.48000000001"/>
    <n v="-8464.3496000000014"/>
    <n v="-9.2541819630970537E-2"/>
    <s v="Loss"/>
    <x v="1"/>
    <n v="0.16"/>
    <s v="Cash"/>
    <s v="Retail"/>
    <s v="South-David"/>
    <x v="0"/>
  </r>
  <r>
    <n v="1042"/>
    <x v="236"/>
    <x v="4"/>
    <x v="0"/>
    <n v="26"/>
    <x v="3"/>
    <n v="1"/>
    <n v="4208.09"/>
    <n v="4226.5600000000004"/>
    <n v="3000.8576000000003"/>
    <n v="78022.297600000005"/>
    <n v="109410.34"/>
    <n v="-31388.042399999991"/>
    <n v="-0.4022957970414856"/>
    <s v="Loss"/>
    <x v="0"/>
    <n v="0.28999999999999998"/>
    <s v="Cash"/>
    <s v="Retail"/>
    <s v="West-Charlie"/>
    <x v="1"/>
  </r>
  <r>
    <n v="1042"/>
    <x v="237"/>
    <x v="0"/>
    <x v="2"/>
    <n v="1"/>
    <x v="3"/>
    <n v="1"/>
    <n v="1406.24"/>
    <n v="1535.57"/>
    <n v="1412.7244000000001"/>
    <n v="1412.7244000000001"/>
    <n v="1406.24"/>
    <n v="6.4844000000000506"/>
    <n v="4.5899964635707077E-3"/>
    <s v="Profit"/>
    <x v="1"/>
    <n v="0.08"/>
    <s v="Credit Card"/>
    <s v="Retail"/>
    <s v="East-Bob"/>
    <x v="0"/>
  </r>
  <r>
    <n v="1042"/>
    <x v="69"/>
    <x v="2"/>
    <x v="1"/>
    <n v="25"/>
    <x v="0"/>
    <n v="1"/>
    <n v="2403.54"/>
    <n v="2850.56"/>
    <n v="2479.9872"/>
    <n v="61999.68"/>
    <n v="60088.5"/>
    <n v="1911.1800000000003"/>
    <n v="3.08256429710605E-2"/>
    <s v="Profit"/>
    <x v="1"/>
    <n v="0.13"/>
    <s v="Bank Transfer"/>
    <s v="Online"/>
    <s v="North-Eve"/>
    <x v="1"/>
  </r>
  <r>
    <n v="1042"/>
    <x v="238"/>
    <x v="2"/>
    <x v="3"/>
    <n v="27"/>
    <x v="2"/>
    <n v="1"/>
    <n v="1139.45"/>
    <n v="1454.41"/>
    <n v="1018.087"/>
    <n v="27488.348999999998"/>
    <n v="30765.15"/>
    <n v="-3276.8010000000031"/>
    <n v="-0.11920690471443023"/>
    <s v="Loss"/>
    <x v="0"/>
    <n v="0.3"/>
    <s v="Bank Transfer"/>
    <s v="Online"/>
    <s v="South-Eve"/>
    <x v="0"/>
  </r>
  <r>
    <n v="1042"/>
    <x v="239"/>
    <x v="3"/>
    <x v="1"/>
    <n v="11"/>
    <x v="0"/>
    <n v="1"/>
    <n v="635.20000000000005"/>
    <n v="814.14"/>
    <n v="797.85719999999992"/>
    <n v="8776.4291999999987"/>
    <n v="6987.2000000000007"/>
    <n v="1789.2291999999979"/>
    <n v="0.20386755925747094"/>
    <s v="Profit"/>
    <x v="0"/>
    <n v="0.02"/>
    <s v="Cash"/>
    <s v="Online"/>
    <s v="North-Alice"/>
    <x v="0"/>
  </r>
  <r>
    <n v="1043"/>
    <x v="0"/>
    <x v="1"/>
    <x v="2"/>
    <n v="22"/>
    <x v="3"/>
    <n v="1"/>
    <n v="4260"/>
    <n v="4656.58"/>
    <n v="4656.58"/>
    <n v="102444.76"/>
    <n v="93720"/>
    <n v="8724.7599999999948"/>
    <n v="8.5165507733143159E-2"/>
    <s v="Profit"/>
    <x v="1"/>
    <n v="0"/>
    <s v="Bank Transfer"/>
    <s v="Online"/>
    <s v="East-David"/>
    <x v="1"/>
  </r>
  <r>
    <n v="1043"/>
    <x v="95"/>
    <x v="1"/>
    <x v="0"/>
    <n v="6"/>
    <x v="2"/>
    <n v="1"/>
    <n v="563.59"/>
    <n v="838.97"/>
    <n v="696.3451"/>
    <n v="4178.0705999999991"/>
    <n v="3381.54"/>
    <n v="796.53059999999914"/>
    <n v="0.19064555778449491"/>
    <s v="Profit"/>
    <x v="1"/>
    <n v="0.17"/>
    <s v="Credit Card"/>
    <s v="Online"/>
    <s v="West-David"/>
    <x v="0"/>
  </r>
  <r>
    <n v="1043"/>
    <x v="202"/>
    <x v="2"/>
    <x v="3"/>
    <n v="12"/>
    <x v="3"/>
    <n v="1"/>
    <n v="4920.46"/>
    <n v="5079.68"/>
    <n v="4012.9472000000005"/>
    <n v="48155.366400000006"/>
    <n v="59045.520000000004"/>
    <n v="-10890.153599999998"/>
    <n v="-0.2261462099476414"/>
    <s v="Loss"/>
    <x v="1"/>
    <n v="0.21"/>
    <s v="Credit Card"/>
    <s v="Retail"/>
    <s v="South-Eve"/>
    <x v="1"/>
  </r>
  <r>
    <n v="1043"/>
    <x v="21"/>
    <x v="4"/>
    <x v="3"/>
    <n v="22"/>
    <x v="0"/>
    <n v="1"/>
    <n v="530.04"/>
    <n v="759.32"/>
    <n v="630.23559999999998"/>
    <n v="13865.183199999999"/>
    <n v="11660.88"/>
    <n v="2204.3032000000003"/>
    <n v="0.15898118100596034"/>
    <s v="Profit"/>
    <x v="0"/>
    <n v="0.17"/>
    <s v="Bank Transfer"/>
    <s v="Retail"/>
    <s v="South-Charlie"/>
    <x v="0"/>
  </r>
  <r>
    <n v="1043"/>
    <x v="208"/>
    <x v="0"/>
    <x v="3"/>
    <n v="3"/>
    <x v="3"/>
    <n v="1"/>
    <n v="2009.1"/>
    <n v="2186.42"/>
    <n v="1639.8150000000001"/>
    <n v="4919.4449999999997"/>
    <n v="6027.2999999999993"/>
    <n v="-1107.8549999999996"/>
    <n v="-0.22519918405429873"/>
    <s v="Loss"/>
    <x v="1"/>
    <n v="0.25"/>
    <s v="Bank Transfer"/>
    <s v="Online"/>
    <s v="South-Bob"/>
    <x v="0"/>
  </r>
  <r>
    <n v="1044"/>
    <x v="240"/>
    <x v="3"/>
    <x v="1"/>
    <n v="18"/>
    <x v="2"/>
    <n v="1"/>
    <n v="430.14"/>
    <n v="641.17999999999995"/>
    <n v="557.82659999999998"/>
    <n v="10040.8788"/>
    <n v="7742.5199999999995"/>
    <n v="2298.3588000000009"/>
    <n v="0.22890016359922608"/>
    <s v="Profit"/>
    <x v="1"/>
    <n v="0.13"/>
    <s v="Cash"/>
    <s v="Online"/>
    <s v="North-Alice"/>
    <x v="0"/>
  </r>
  <r>
    <n v="1044"/>
    <x v="241"/>
    <x v="2"/>
    <x v="1"/>
    <n v="5"/>
    <x v="0"/>
    <n v="1"/>
    <n v="4762.87"/>
    <n v="5050.46"/>
    <n v="3787.8450000000003"/>
    <n v="18939.224999999999"/>
    <n v="23814.35"/>
    <n v="-4875.125"/>
    <n v="-0.25740889608735312"/>
    <s v="Loss"/>
    <x v="1"/>
    <n v="0.25"/>
    <s v="Cash"/>
    <s v="Retail"/>
    <s v="North-Eve"/>
    <x v="1"/>
  </r>
  <r>
    <n v="1044"/>
    <x v="242"/>
    <x v="1"/>
    <x v="0"/>
    <n v="12"/>
    <x v="3"/>
    <n v="1"/>
    <n v="2221.31"/>
    <n v="2494.48"/>
    <n v="1945.6944000000001"/>
    <n v="23348.332800000004"/>
    <n v="26655.72"/>
    <n v="-3307.3871999999974"/>
    <n v="-0.14165410559849467"/>
    <s v="Loss"/>
    <x v="0"/>
    <n v="0.22"/>
    <s v="Bank Transfer"/>
    <s v="Online"/>
    <s v="West-David"/>
    <x v="0"/>
  </r>
  <r>
    <n v="1044"/>
    <x v="86"/>
    <x v="1"/>
    <x v="3"/>
    <n v="22"/>
    <x v="0"/>
    <n v="1"/>
    <n v="3373.46"/>
    <n v="3454.76"/>
    <n v="2694.7128000000002"/>
    <n v="59283.681600000004"/>
    <n v="74216.12"/>
    <n v="-14932.438399999992"/>
    <n v="-0.2518810910016086"/>
    <s v="Loss"/>
    <x v="0"/>
    <n v="0.22"/>
    <s v="Bank Transfer"/>
    <s v="Retail"/>
    <s v="South-David"/>
    <x v="1"/>
  </r>
  <r>
    <n v="1044"/>
    <x v="243"/>
    <x v="4"/>
    <x v="1"/>
    <n v="6"/>
    <x v="1"/>
    <n v="1"/>
    <n v="2388.9499999999998"/>
    <n v="2742.97"/>
    <n v="2057.2275"/>
    <n v="12343.365"/>
    <n v="14333.699999999999"/>
    <n v="-1990.3349999999991"/>
    <n v="-0.16124735839862137"/>
    <s v="Loss"/>
    <x v="0"/>
    <n v="0.25"/>
    <s v="Credit Card"/>
    <s v="Retail"/>
    <s v="North-Charlie"/>
    <x v="0"/>
  </r>
  <r>
    <n v="1044"/>
    <x v="244"/>
    <x v="4"/>
    <x v="0"/>
    <n v="34"/>
    <x v="0"/>
    <n v="1"/>
    <n v="3573.3"/>
    <n v="3740.13"/>
    <n v="3702.7287000000001"/>
    <n v="125892.7758"/>
    <n v="121492.20000000001"/>
    <n v="4400.5757999999914"/>
    <n v="3.4954950925786092E-2"/>
    <s v="Profit"/>
    <x v="0"/>
    <n v="0.01"/>
    <s v="Credit Card"/>
    <s v="Online"/>
    <s v="West-Charlie"/>
    <x v="1"/>
  </r>
  <r>
    <n v="1044"/>
    <x v="245"/>
    <x v="0"/>
    <x v="0"/>
    <n v="19"/>
    <x v="0"/>
    <n v="1"/>
    <n v="2182.75"/>
    <n v="2504.0300000000002"/>
    <n v="2478.9897000000001"/>
    <n v="47100.804300000003"/>
    <n v="41472.25"/>
    <n v="5628.5543000000034"/>
    <n v="0.11950017380064151"/>
    <s v="Profit"/>
    <x v="1"/>
    <n v="0.01"/>
    <s v="Bank Transfer"/>
    <s v="Online"/>
    <s v="West-Bob"/>
    <x v="0"/>
  </r>
  <r>
    <n v="1044"/>
    <x v="54"/>
    <x v="4"/>
    <x v="0"/>
    <n v="6"/>
    <x v="3"/>
    <n v="1"/>
    <n v="3703.93"/>
    <n v="3840.24"/>
    <n v="3571.4231999999997"/>
    <n v="21428.539199999996"/>
    <n v="22223.579999999998"/>
    <n v="-795.04080000000249"/>
    <n v="-3.7101959801347666E-2"/>
    <s v="Loss"/>
    <x v="1"/>
    <n v="7.0000000000000007E-2"/>
    <s v="Credit Card"/>
    <s v="Online"/>
    <s v="West-Charlie"/>
    <x v="1"/>
  </r>
  <r>
    <n v="1044"/>
    <x v="246"/>
    <x v="3"/>
    <x v="1"/>
    <n v="47"/>
    <x v="3"/>
    <n v="1"/>
    <n v="1512.34"/>
    <n v="1830.76"/>
    <n v="1611.0688"/>
    <n v="75720.233600000007"/>
    <n v="71079.98"/>
    <n v="4640.2536000000109"/>
    <n v="6.1281554207989267E-2"/>
    <s v="Profit"/>
    <x v="1"/>
    <n v="0.12"/>
    <s v="Bank Transfer"/>
    <s v="Online"/>
    <s v="North-Alice"/>
    <x v="0"/>
  </r>
  <r>
    <n v="1044"/>
    <x v="144"/>
    <x v="4"/>
    <x v="1"/>
    <n v="11"/>
    <x v="2"/>
    <n v="1"/>
    <n v="1812.66"/>
    <n v="2196.3000000000002"/>
    <n v="2020.5960000000002"/>
    <n v="22226.556000000004"/>
    <n v="19939.260000000002"/>
    <n v="2287.2960000000021"/>
    <n v="0.10290825083292264"/>
    <s v="Profit"/>
    <x v="1"/>
    <n v="0.08"/>
    <s v="Cash"/>
    <s v="Online"/>
    <s v="North-Charlie"/>
    <x v="0"/>
  </r>
  <r>
    <n v="1045"/>
    <x v="56"/>
    <x v="0"/>
    <x v="3"/>
    <n v="15"/>
    <x v="3"/>
    <n v="1"/>
    <n v="316.22000000000003"/>
    <n v="799.04"/>
    <n v="799.04"/>
    <n v="11985.599999999999"/>
    <n v="4743.3"/>
    <n v="7242.2999999999984"/>
    <n v="0.60425010012014413"/>
    <s v="Profit"/>
    <x v="1"/>
    <n v="0"/>
    <s v="Bank Transfer"/>
    <s v="Online"/>
    <s v="South-Bob"/>
    <x v="0"/>
  </r>
  <r>
    <n v="1045"/>
    <x v="247"/>
    <x v="3"/>
    <x v="0"/>
    <n v="22"/>
    <x v="2"/>
    <n v="1"/>
    <n v="241.85"/>
    <n v="613.09"/>
    <n v="576.30460000000005"/>
    <n v="12678.701200000001"/>
    <n v="5320.7"/>
    <n v="7358.0012000000015"/>
    <n v="0.58034345032123646"/>
    <s v="Profit"/>
    <x v="0"/>
    <n v="0.06"/>
    <s v="Cash"/>
    <s v="Online"/>
    <s v="West-Alice"/>
    <x v="0"/>
  </r>
  <r>
    <n v="1045"/>
    <x v="104"/>
    <x v="4"/>
    <x v="3"/>
    <n v="35"/>
    <x v="1"/>
    <n v="1"/>
    <n v="3777.94"/>
    <n v="4188.66"/>
    <n v="3476.5877999999998"/>
    <n v="121680.573"/>
    <n v="132227.9"/>
    <n v="-10547.32699999999"/>
    <n v="-8.6680451447249424E-2"/>
    <s v="Loss"/>
    <x v="1"/>
    <n v="0.17"/>
    <s v="Bank Transfer"/>
    <s v="Online"/>
    <s v="South-Charlie"/>
    <x v="1"/>
  </r>
  <r>
    <n v="1045"/>
    <x v="95"/>
    <x v="1"/>
    <x v="3"/>
    <n v="42"/>
    <x v="2"/>
    <n v="1"/>
    <n v="3587.74"/>
    <n v="3745.91"/>
    <n v="3371.319"/>
    <n v="141595.39800000002"/>
    <n v="150685.07999999999"/>
    <n v="-9089.6819999999716"/>
    <n v="-6.4194755821089397E-2"/>
    <s v="Loss"/>
    <x v="0"/>
    <n v="0.1"/>
    <s v="Cash"/>
    <s v="Online"/>
    <s v="South-David"/>
    <x v="1"/>
  </r>
  <r>
    <n v="1045"/>
    <x v="19"/>
    <x v="1"/>
    <x v="1"/>
    <n v="36"/>
    <x v="3"/>
    <n v="1"/>
    <n v="3835.64"/>
    <n v="4076.77"/>
    <n v="3669.0929999999998"/>
    <n v="132087.348"/>
    <n v="138083.04"/>
    <n v="-5995.69200000001"/>
    <n v="-4.5391872051212735E-2"/>
    <s v="Loss"/>
    <x v="0"/>
    <n v="0.1"/>
    <s v="Credit Card"/>
    <s v="Retail"/>
    <s v="North-David"/>
    <x v="1"/>
  </r>
  <r>
    <n v="1045"/>
    <x v="215"/>
    <x v="0"/>
    <x v="1"/>
    <n v="2"/>
    <x v="3"/>
    <n v="1"/>
    <n v="912.08"/>
    <n v="993.24"/>
    <n v="903.84840000000008"/>
    <n v="1807.6968000000002"/>
    <n v="1824.16"/>
    <n v="-16.463199999999915"/>
    <n v="-9.1072794951011227E-3"/>
    <s v="Loss"/>
    <x v="0"/>
    <n v="0.09"/>
    <s v="Credit Card"/>
    <s v="Online"/>
    <s v="North-Bob"/>
    <x v="0"/>
  </r>
  <r>
    <n v="1045"/>
    <x v="60"/>
    <x v="0"/>
    <x v="2"/>
    <n v="46"/>
    <x v="0"/>
    <n v="1"/>
    <n v="2577.08"/>
    <n v="2961.56"/>
    <n v="2665.404"/>
    <n v="122608.58400000002"/>
    <n v="118545.68"/>
    <n v="4062.9040000000241"/>
    <n v="3.3137190459682851E-2"/>
    <s v="Profit"/>
    <x v="0"/>
    <n v="0.1"/>
    <s v="Cash"/>
    <s v="Online"/>
    <s v="East-Bob"/>
    <x v="1"/>
  </r>
  <r>
    <n v="1045"/>
    <x v="130"/>
    <x v="2"/>
    <x v="3"/>
    <n v="9"/>
    <x v="2"/>
    <n v="1"/>
    <n v="4920.34"/>
    <n v="5129.1899999999996"/>
    <n v="4462.3952999999992"/>
    <n v="40161.557699999998"/>
    <n v="44283.06"/>
    <n v="-4121.5023000000001"/>
    <n v="-0.10262306882583891"/>
    <s v="Loss"/>
    <x v="0"/>
    <n v="0.13"/>
    <s v="Credit Card"/>
    <s v="Online"/>
    <s v="South-Eve"/>
    <x v="1"/>
  </r>
  <r>
    <n v="1045"/>
    <x v="248"/>
    <x v="2"/>
    <x v="0"/>
    <n v="14"/>
    <x v="2"/>
    <n v="1"/>
    <n v="635.28"/>
    <n v="831.13"/>
    <n v="689.83789999999999"/>
    <n v="9657.730599999999"/>
    <n v="8893.92"/>
    <n v="763.81059999999889"/>
    <n v="7.9088000238896602E-2"/>
    <s v="Profit"/>
    <x v="0"/>
    <n v="0.17"/>
    <s v="Bank Transfer"/>
    <s v="Retail"/>
    <s v="West-Eve"/>
    <x v="0"/>
  </r>
  <r>
    <n v="1046"/>
    <x v="48"/>
    <x v="3"/>
    <x v="1"/>
    <n v="30"/>
    <x v="1"/>
    <n v="1"/>
    <n v="320.73"/>
    <n v="678.04"/>
    <n v="623.79679999999996"/>
    <n v="18713.903999999999"/>
    <n v="9621.9000000000015"/>
    <n v="9092.0039999999972"/>
    <n v="0.48584218450623651"/>
    <s v="Profit"/>
    <x v="0"/>
    <n v="0.08"/>
    <s v="Cash"/>
    <s v="Retail"/>
    <s v="North-Alice"/>
    <x v="0"/>
  </r>
  <r>
    <n v="1046"/>
    <x v="158"/>
    <x v="4"/>
    <x v="2"/>
    <n v="3"/>
    <x v="1"/>
    <n v="1"/>
    <n v="1216.1600000000001"/>
    <n v="1295.3699999999999"/>
    <n v="1114.0182"/>
    <n v="3342.0545999999995"/>
    <n v="3648.4800000000005"/>
    <n v="-306.42540000000099"/>
    <n v="-9.1687730056834213E-2"/>
    <s v="Loss"/>
    <x v="1"/>
    <n v="0.14000000000000001"/>
    <s v="Cash"/>
    <s v="Retail"/>
    <s v="East-Charlie"/>
    <x v="0"/>
  </r>
  <r>
    <n v="1046"/>
    <x v="170"/>
    <x v="2"/>
    <x v="1"/>
    <n v="17"/>
    <x v="1"/>
    <n v="1"/>
    <n v="3850.99"/>
    <n v="4045.34"/>
    <n v="3398.0855999999999"/>
    <n v="57767.455199999997"/>
    <n v="65466.829999999994"/>
    <n v="-7699.3747999999978"/>
    <n v="-0.13328222220181854"/>
    <s v="Loss"/>
    <x v="0"/>
    <n v="0.16"/>
    <s v="Credit Card"/>
    <s v="Online"/>
    <s v="North-Eve"/>
    <x v="1"/>
  </r>
  <r>
    <n v="1046"/>
    <x v="213"/>
    <x v="3"/>
    <x v="3"/>
    <n v="4"/>
    <x v="1"/>
    <n v="1"/>
    <n v="4095.1"/>
    <n v="4134.55"/>
    <n v="3762.4405000000002"/>
    <n v="15049.762000000001"/>
    <n v="16380.4"/>
    <n v="-1330.637999999999"/>
    <n v="-8.8415883254499242E-2"/>
    <s v="Loss"/>
    <x v="0"/>
    <n v="0.09"/>
    <s v="Bank Transfer"/>
    <s v="Retail"/>
    <s v="South-Alice"/>
    <x v="1"/>
  </r>
  <r>
    <n v="1046"/>
    <x v="140"/>
    <x v="2"/>
    <x v="2"/>
    <n v="43"/>
    <x v="2"/>
    <n v="1"/>
    <n v="4052.42"/>
    <n v="4199.3"/>
    <n v="3779.3700000000003"/>
    <n v="162512.91"/>
    <n v="174254.06"/>
    <n v="-11741.149999999994"/>
    <n v="-7.2247490983947019E-2"/>
    <s v="Loss"/>
    <x v="1"/>
    <n v="0.1"/>
    <s v="Bank Transfer"/>
    <s v="Retail"/>
    <s v="East-Eve"/>
    <x v="1"/>
  </r>
  <r>
    <n v="1046"/>
    <x v="249"/>
    <x v="3"/>
    <x v="3"/>
    <n v="46"/>
    <x v="2"/>
    <n v="1"/>
    <n v="2551.56"/>
    <n v="2841.68"/>
    <n v="2585.9288000000001"/>
    <n v="118952.7248"/>
    <n v="117371.76"/>
    <n v="1580.9648000000016"/>
    <n v="1.3290698491002549E-2"/>
    <s v="Profit"/>
    <x v="1"/>
    <n v="0.09"/>
    <s v="Bank Transfer"/>
    <s v="Retail"/>
    <s v="South-Alice"/>
    <x v="1"/>
  </r>
  <r>
    <n v="1046"/>
    <x v="50"/>
    <x v="4"/>
    <x v="0"/>
    <n v="41"/>
    <x v="2"/>
    <n v="1"/>
    <n v="1825.37"/>
    <n v="2073.88"/>
    <n v="1513.9324000000001"/>
    <n v="62071.2284"/>
    <n v="74840.17"/>
    <n v="-12768.941599999998"/>
    <n v="-0.20571433704701739"/>
    <s v="Loss"/>
    <x v="0"/>
    <n v="0.27"/>
    <s v="Cash"/>
    <s v="Retail"/>
    <s v="West-Charlie"/>
    <x v="0"/>
  </r>
  <r>
    <n v="1047"/>
    <x v="1"/>
    <x v="2"/>
    <x v="3"/>
    <n v="47"/>
    <x v="2"/>
    <n v="1"/>
    <n v="4729.59"/>
    <n v="4976.68"/>
    <n v="4080.8776000000007"/>
    <n v="191801.24720000004"/>
    <n v="222290.73"/>
    <n v="-30489.482799999969"/>
    <n v="-0.15896394442215056"/>
    <s v="Loss"/>
    <x v="0"/>
    <n v="0.18"/>
    <s v="Credit Card"/>
    <s v="Retail"/>
    <s v="South-Eve"/>
    <x v="1"/>
  </r>
  <r>
    <n v="1047"/>
    <x v="36"/>
    <x v="1"/>
    <x v="3"/>
    <n v="15"/>
    <x v="2"/>
    <n v="1"/>
    <n v="957.95"/>
    <n v="1329.26"/>
    <n v="1050.1154000000001"/>
    <n v="15751.731000000002"/>
    <n v="14369.25"/>
    <n v="1382.4810000000016"/>
    <n v="8.776692542552951E-2"/>
    <s v="Profit"/>
    <x v="1"/>
    <n v="0.21"/>
    <s v="Cash"/>
    <s v="Online"/>
    <s v="South-David"/>
    <x v="0"/>
  </r>
  <r>
    <n v="1047"/>
    <x v="240"/>
    <x v="1"/>
    <x v="1"/>
    <n v="33"/>
    <x v="3"/>
    <n v="1"/>
    <n v="1341.55"/>
    <n v="1427.21"/>
    <n v="1213.1285"/>
    <n v="40033.2405"/>
    <n v="44271.15"/>
    <n v="-4237.9095000000016"/>
    <n v="-0.10585976671061643"/>
    <s v="Loss"/>
    <x v="0"/>
    <n v="0.15"/>
    <s v="Credit Card"/>
    <s v="Online"/>
    <s v="North-David"/>
    <x v="0"/>
  </r>
  <r>
    <n v="1047"/>
    <x v="134"/>
    <x v="1"/>
    <x v="2"/>
    <n v="18"/>
    <x v="2"/>
    <n v="1"/>
    <n v="560.91999999999996"/>
    <n v="1024.31"/>
    <n v="757.98939999999993"/>
    <n v="13643.809199999998"/>
    <n v="10096.56"/>
    <n v="3547.2491999999984"/>
    <n v="0.25998965157032533"/>
    <s v="Profit"/>
    <x v="0"/>
    <n v="0.26"/>
    <s v="Cash"/>
    <s v="Online"/>
    <s v="East-David"/>
    <x v="0"/>
  </r>
  <r>
    <n v="1047"/>
    <x v="250"/>
    <x v="1"/>
    <x v="1"/>
    <n v="41"/>
    <x v="2"/>
    <n v="1"/>
    <n v="2888.49"/>
    <n v="2929.45"/>
    <n v="2753.6829999999995"/>
    <n v="112901.003"/>
    <n v="118428.09"/>
    <n v="-5527.0869999999995"/>
    <n v="-4.8955162958118269E-2"/>
    <s v="Loss"/>
    <x v="1"/>
    <n v="0.06"/>
    <s v="Cash"/>
    <s v="Retail"/>
    <s v="North-David"/>
    <x v="1"/>
  </r>
  <r>
    <n v="1047"/>
    <x v="251"/>
    <x v="1"/>
    <x v="1"/>
    <n v="36"/>
    <x v="0"/>
    <n v="1"/>
    <n v="4043.53"/>
    <n v="4384.8500000000004"/>
    <n v="3770.9710000000005"/>
    <n v="135754.95600000001"/>
    <n v="145567.08000000002"/>
    <n v="-9812.1240000000107"/>
    <n v="-7.2278201025677544E-2"/>
    <s v="Loss"/>
    <x v="1"/>
    <n v="0.14000000000000001"/>
    <s v="Cash"/>
    <s v="Online"/>
    <s v="North-David"/>
    <x v="1"/>
  </r>
  <r>
    <n v="1047"/>
    <x v="8"/>
    <x v="2"/>
    <x v="0"/>
    <n v="16"/>
    <x v="2"/>
    <n v="1"/>
    <n v="3966.86"/>
    <n v="4321.04"/>
    <n v="3327.2008000000001"/>
    <n v="53235.212800000001"/>
    <n v="63469.760000000002"/>
    <n v="-10234.547200000001"/>
    <n v="-0.19225145653968345"/>
    <s v="Loss"/>
    <x v="0"/>
    <n v="0.23"/>
    <s v="Credit Card"/>
    <s v="Retail"/>
    <s v="West-Eve"/>
    <x v="1"/>
  </r>
  <r>
    <n v="1047"/>
    <x v="83"/>
    <x v="2"/>
    <x v="0"/>
    <n v="17"/>
    <x v="1"/>
    <n v="1"/>
    <n v="1591.34"/>
    <n v="2043.82"/>
    <n v="1451.1121999999998"/>
    <n v="24668.9074"/>
    <n v="27052.78"/>
    <n v="-2383.8725999999988"/>
    <n v="-9.6634705434907056E-2"/>
    <s v="Loss"/>
    <x v="1"/>
    <n v="0.28999999999999998"/>
    <s v="Cash"/>
    <s v="Retail"/>
    <s v="West-Eve"/>
    <x v="0"/>
  </r>
  <r>
    <n v="1047"/>
    <x v="32"/>
    <x v="4"/>
    <x v="2"/>
    <n v="19"/>
    <x v="1"/>
    <n v="1"/>
    <n v="3484.62"/>
    <n v="3781.55"/>
    <n v="2987.4245000000001"/>
    <n v="56761.065499999997"/>
    <n v="66207.78"/>
    <n v="-9446.7145000000019"/>
    <n v="-0.16642947796672355"/>
    <s v="Loss"/>
    <x v="0"/>
    <n v="0.21"/>
    <s v="Credit Card"/>
    <s v="Retail"/>
    <s v="East-Charlie"/>
    <x v="1"/>
  </r>
  <r>
    <n v="1047"/>
    <x v="53"/>
    <x v="1"/>
    <x v="1"/>
    <n v="43"/>
    <x v="3"/>
    <n v="1"/>
    <n v="1249.17"/>
    <n v="1727.15"/>
    <n v="1588.9780000000001"/>
    <n v="68326.054000000004"/>
    <n v="53714.310000000005"/>
    <n v="14611.743999999999"/>
    <n v="0.21385318110131163"/>
    <s v="Profit"/>
    <x v="1"/>
    <n v="0.08"/>
    <s v="Cash"/>
    <s v="Retail"/>
    <s v="North-David"/>
    <x v="0"/>
  </r>
  <r>
    <n v="1047"/>
    <x v="252"/>
    <x v="2"/>
    <x v="1"/>
    <n v="32"/>
    <x v="3"/>
    <n v="1"/>
    <n v="367.98"/>
    <n v="806.14"/>
    <n v="628.78920000000005"/>
    <n v="20121.254400000002"/>
    <n v="11775.36"/>
    <n v="8345.894400000001"/>
    <n v="0.41478002484775506"/>
    <s v="Profit"/>
    <x v="0"/>
    <n v="0.22"/>
    <s v="Credit Card"/>
    <s v="Retail"/>
    <s v="North-Eve"/>
    <x v="0"/>
  </r>
  <r>
    <n v="1047"/>
    <x v="45"/>
    <x v="3"/>
    <x v="2"/>
    <n v="37"/>
    <x v="3"/>
    <n v="1"/>
    <n v="3114.88"/>
    <n v="3256.78"/>
    <n v="2410.0172000000002"/>
    <n v="89170.636400000003"/>
    <n v="115250.56"/>
    <n v="-26079.923599999995"/>
    <n v="-0.2924721035185972"/>
    <s v="Loss"/>
    <x v="0"/>
    <n v="0.26"/>
    <s v="Credit Card"/>
    <s v="Online"/>
    <s v="East-Alice"/>
    <x v="1"/>
  </r>
  <r>
    <n v="1048"/>
    <x v="46"/>
    <x v="1"/>
    <x v="3"/>
    <n v="45"/>
    <x v="3"/>
    <n v="1"/>
    <n v="4262.21"/>
    <n v="4533.3100000000004"/>
    <n v="3309.3163000000004"/>
    <n v="148919.2335"/>
    <n v="191799.45"/>
    <n v="-42880.21650000001"/>
    <n v="-0.2879427693267036"/>
    <s v="Loss"/>
    <x v="0"/>
    <n v="0.27"/>
    <s v="Credit Card"/>
    <s v="Online"/>
    <s v="South-David"/>
    <x v="1"/>
  </r>
  <r>
    <n v="1048"/>
    <x v="204"/>
    <x v="1"/>
    <x v="1"/>
    <n v="42"/>
    <x v="3"/>
    <n v="1"/>
    <n v="4723.83"/>
    <n v="5186.1899999999996"/>
    <n v="4045.2282"/>
    <n v="169899.58439999999"/>
    <n v="198400.86"/>
    <n v="-28501.275599999994"/>
    <n v="-0.16775365107956083"/>
    <s v="Loss"/>
    <x v="0"/>
    <n v="0.22"/>
    <s v="Credit Card"/>
    <s v="Online"/>
    <s v="North-David"/>
    <x v="1"/>
  </r>
  <r>
    <n v="1048"/>
    <x v="120"/>
    <x v="4"/>
    <x v="0"/>
    <n v="27"/>
    <x v="2"/>
    <n v="1"/>
    <n v="3197.76"/>
    <n v="3572.61"/>
    <n v="3286.8012000000003"/>
    <n v="88743.632400000002"/>
    <n v="86339.520000000004"/>
    <n v="2404.1123999999982"/>
    <n v="2.7090534103492457E-2"/>
    <s v="Profit"/>
    <x v="0"/>
    <n v="0.08"/>
    <s v="Credit Card"/>
    <s v="Online"/>
    <s v="West-Charlie"/>
    <x v="1"/>
  </r>
  <r>
    <n v="1048"/>
    <x v="104"/>
    <x v="4"/>
    <x v="2"/>
    <n v="47"/>
    <x v="2"/>
    <n v="1"/>
    <n v="702.44"/>
    <n v="1067.6600000000001"/>
    <n v="811.42160000000013"/>
    <n v="38136.815200000005"/>
    <n v="33014.68"/>
    <n v="5122.1352000000043"/>
    <n v="0.13430946378553402"/>
    <s v="Profit"/>
    <x v="1"/>
    <n v="0.24"/>
    <s v="Cash"/>
    <s v="Retail"/>
    <s v="East-Charlie"/>
    <x v="0"/>
  </r>
  <r>
    <n v="1048"/>
    <x v="184"/>
    <x v="4"/>
    <x v="1"/>
    <n v="42"/>
    <x v="3"/>
    <n v="1"/>
    <n v="3139.99"/>
    <n v="3349.37"/>
    <n v="2913.9519"/>
    <n v="122385.9798"/>
    <n v="131879.57999999999"/>
    <n v="-9493.6001999999862"/>
    <n v="-7.7570978436534821E-2"/>
    <s v="Loss"/>
    <x v="0"/>
    <n v="0.13"/>
    <s v="Credit Card"/>
    <s v="Retail"/>
    <s v="North-Charlie"/>
    <x v="1"/>
  </r>
  <r>
    <n v="1048"/>
    <x v="253"/>
    <x v="0"/>
    <x v="0"/>
    <n v="7"/>
    <x v="2"/>
    <n v="1"/>
    <n v="4310.95"/>
    <n v="4723.2"/>
    <n v="4487.04"/>
    <n v="31409.279999999999"/>
    <n v="30176.649999999998"/>
    <n v="1232.630000000001"/>
    <n v="3.9244134217658003E-2"/>
    <s v="Profit"/>
    <x v="0"/>
    <n v="0.05"/>
    <s v="Credit Card"/>
    <s v="Retail"/>
    <s v="West-Bob"/>
    <x v="1"/>
  </r>
  <r>
    <n v="1048"/>
    <x v="21"/>
    <x v="3"/>
    <x v="3"/>
    <n v="6"/>
    <x v="3"/>
    <n v="1"/>
    <n v="3717.3"/>
    <n v="4061.37"/>
    <n v="3939.5288999999998"/>
    <n v="23637.1734"/>
    <n v="22303.800000000003"/>
    <n v="1333.3733999999968"/>
    <n v="5.6410018974603654E-2"/>
    <s v="Profit"/>
    <x v="1"/>
    <n v="0.03"/>
    <s v="Bank Transfer"/>
    <s v="Retail"/>
    <s v="South-Alice"/>
    <x v="1"/>
  </r>
  <r>
    <n v="1048"/>
    <x v="254"/>
    <x v="0"/>
    <x v="0"/>
    <n v="47"/>
    <x v="0"/>
    <n v="1"/>
    <n v="4535.8599999999997"/>
    <n v="4641.41"/>
    <n v="3388.2293"/>
    <n v="159246.77709999998"/>
    <n v="213185.41999999998"/>
    <n v="-53938.642900000006"/>
    <n v="-0.33871104886555353"/>
    <s v="Loss"/>
    <x v="1"/>
    <n v="0.27"/>
    <s v="Credit Card"/>
    <s v="Retail"/>
    <s v="West-Bob"/>
    <x v="1"/>
  </r>
  <r>
    <n v="1048"/>
    <x v="91"/>
    <x v="2"/>
    <x v="3"/>
    <n v="7"/>
    <x v="3"/>
    <n v="1"/>
    <n v="1655.43"/>
    <n v="2001.08"/>
    <n v="1620.8748000000001"/>
    <n v="11346.123600000001"/>
    <n v="11588.01"/>
    <n v="-241.88639999999941"/>
    <n v="-2.1318858186949365E-2"/>
    <s v="Loss"/>
    <x v="1"/>
    <n v="0.19"/>
    <s v="Bank Transfer"/>
    <s v="Online"/>
    <s v="South-Eve"/>
    <x v="0"/>
  </r>
  <r>
    <n v="1048"/>
    <x v="255"/>
    <x v="3"/>
    <x v="1"/>
    <n v="6"/>
    <x v="1"/>
    <n v="1"/>
    <n v="1945.27"/>
    <n v="2309.4299999999998"/>
    <n v="1708.9781999999998"/>
    <n v="10253.869199999999"/>
    <n v="11671.619999999999"/>
    <n v="-1417.7507999999998"/>
    <n v="-0.13826495855827767"/>
    <s v="Loss"/>
    <x v="1"/>
    <n v="0.26"/>
    <s v="Credit Card"/>
    <s v="Online"/>
    <s v="North-Alice"/>
    <x v="0"/>
  </r>
  <r>
    <n v="1048"/>
    <x v="173"/>
    <x v="4"/>
    <x v="1"/>
    <n v="4"/>
    <x v="1"/>
    <n v="1"/>
    <n v="2900.14"/>
    <n v="2910.51"/>
    <n v="2270.1978000000004"/>
    <n v="9080.7912000000015"/>
    <n v="11600.56"/>
    <n v="-2519.768799999998"/>
    <n v="-0.27748339814266376"/>
    <s v="Loss"/>
    <x v="1"/>
    <n v="0.22"/>
    <s v="Credit Card"/>
    <s v="Retail"/>
    <s v="North-Charlie"/>
    <x v="1"/>
  </r>
  <r>
    <n v="1049"/>
    <x v="9"/>
    <x v="2"/>
    <x v="3"/>
    <n v="22"/>
    <x v="3"/>
    <n v="1"/>
    <n v="4573.6899999999996"/>
    <n v="4820.3"/>
    <n v="4627.4880000000003"/>
    <n v="101804.736"/>
    <n v="100621.18"/>
    <n v="1183.5560000000114"/>
    <n v="1.1625745977083142E-2"/>
    <s v="Profit"/>
    <x v="1"/>
    <n v="0.04"/>
    <s v="Cash"/>
    <s v="Online"/>
    <s v="South-Eve"/>
    <x v="1"/>
  </r>
  <r>
    <n v="1049"/>
    <x v="39"/>
    <x v="3"/>
    <x v="0"/>
    <n v="1"/>
    <x v="1"/>
    <n v="1"/>
    <n v="3290.89"/>
    <n v="3317.75"/>
    <n v="2753.7325000000001"/>
    <n v="2753.7325000000001"/>
    <n v="3290.89"/>
    <n v="-537.1574999999998"/>
    <n v="-0.19506524326527713"/>
    <s v="Loss"/>
    <x v="0"/>
    <n v="0.17"/>
    <s v="Bank Transfer"/>
    <s v="Online"/>
    <s v="West-Alice"/>
    <x v="1"/>
  </r>
  <r>
    <n v="1049"/>
    <x v="256"/>
    <x v="2"/>
    <x v="3"/>
    <n v="30"/>
    <x v="2"/>
    <n v="1"/>
    <n v="4697.4399999999996"/>
    <n v="4752.24"/>
    <n v="3421.6127999999999"/>
    <n v="102648.38399999998"/>
    <n v="140923.19999999998"/>
    <n v="-38274.816000000006"/>
    <n v="-0.37287304980855829"/>
    <s v="Loss"/>
    <x v="1"/>
    <n v="0.28000000000000003"/>
    <s v="Credit Card"/>
    <s v="Online"/>
    <s v="South-Eve"/>
    <x v="1"/>
  </r>
  <r>
    <n v="1049"/>
    <x v="257"/>
    <x v="3"/>
    <x v="2"/>
    <n v="31"/>
    <x v="3"/>
    <n v="1"/>
    <n v="3570.24"/>
    <n v="3712.25"/>
    <n v="3600.8824999999997"/>
    <n v="111627.3575"/>
    <n v="110677.43999999999"/>
    <n v="949.91750000001048"/>
    <n v="8.5097194923745324E-3"/>
    <s v="Profit"/>
    <x v="1"/>
    <n v="0.03"/>
    <s v="Credit Card"/>
    <s v="Online"/>
    <s v="East-Alice"/>
    <x v="1"/>
  </r>
  <r>
    <n v="1049"/>
    <x v="219"/>
    <x v="0"/>
    <x v="2"/>
    <n v="19"/>
    <x v="2"/>
    <n v="1"/>
    <n v="3316.97"/>
    <n v="3544.02"/>
    <n v="3047.8571999999999"/>
    <n v="57909.286800000002"/>
    <n v="63022.429999999993"/>
    <n v="-5113.1431999999913"/>
    <n v="-8.8295737739943828E-2"/>
    <s v="Loss"/>
    <x v="0"/>
    <n v="0.14000000000000001"/>
    <s v="Cash"/>
    <s v="Online"/>
    <s v="East-Bob"/>
    <x v="1"/>
  </r>
  <r>
    <n v="1049"/>
    <x v="51"/>
    <x v="2"/>
    <x v="2"/>
    <n v="17"/>
    <x v="3"/>
    <n v="1"/>
    <n v="558.70000000000005"/>
    <n v="1004.08"/>
    <n v="973.95759999999996"/>
    <n v="16557.279200000001"/>
    <n v="9497.9000000000015"/>
    <n v="7059.3791999999994"/>
    <n v="0.42636106540982888"/>
    <s v="Profit"/>
    <x v="0"/>
    <n v="0.03"/>
    <s v="Credit Card"/>
    <s v="Online"/>
    <s v="East-Eve"/>
    <x v="0"/>
  </r>
  <r>
    <n v="1049"/>
    <x v="44"/>
    <x v="3"/>
    <x v="0"/>
    <n v="44"/>
    <x v="1"/>
    <n v="1"/>
    <n v="3351.33"/>
    <n v="3465.35"/>
    <n v="3049.5079999999998"/>
    <n v="134178.35199999998"/>
    <n v="147458.51999999999"/>
    <n v="-13280.168000000005"/>
    <n v="-9.8973998428599025E-2"/>
    <s v="Loss"/>
    <x v="0"/>
    <n v="0.12"/>
    <s v="Bank Transfer"/>
    <s v="Online"/>
    <s v="West-Alice"/>
    <x v="1"/>
  </r>
  <r>
    <n v="1049"/>
    <x v="166"/>
    <x v="4"/>
    <x v="3"/>
    <n v="38"/>
    <x v="0"/>
    <n v="1"/>
    <n v="2945.92"/>
    <n v="3381.22"/>
    <n v="2603.5394000000001"/>
    <n v="98934.497199999998"/>
    <n v="111944.96000000001"/>
    <n v="-13010.462800000008"/>
    <n v="-0.1315058262609739"/>
    <s v="Loss"/>
    <x v="0"/>
    <n v="0.23"/>
    <s v="Cash"/>
    <s v="Retail"/>
    <s v="South-Charlie"/>
    <x v="1"/>
  </r>
  <r>
    <n v="1049"/>
    <x v="203"/>
    <x v="3"/>
    <x v="2"/>
    <n v="38"/>
    <x v="0"/>
    <n v="1"/>
    <n v="4243.9799999999996"/>
    <n v="4474.51"/>
    <n v="4429.7649000000001"/>
    <n v="168331.0662"/>
    <n v="161271.24"/>
    <n v="7059.8262000000104"/>
    <n v="4.1940126438764339E-2"/>
    <s v="Profit"/>
    <x v="1"/>
    <n v="0.01"/>
    <s v="Credit Card"/>
    <s v="Online"/>
    <s v="East-Alice"/>
    <x v="1"/>
  </r>
  <r>
    <n v="1050"/>
    <x v="101"/>
    <x v="0"/>
    <x v="3"/>
    <n v="23"/>
    <x v="1"/>
    <n v="1"/>
    <n v="3756.06"/>
    <n v="4255.7299999999996"/>
    <n v="4085.5007999999993"/>
    <n v="93966.518399999986"/>
    <n v="86389.38"/>
    <n v="7577.1383999999816"/>
    <n v="8.0636577038486756E-2"/>
    <s v="Profit"/>
    <x v="0"/>
    <n v="0.04"/>
    <s v="Cash"/>
    <s v="Online"/>
    <s v="South-Bob"/>
    <x v="1"/>
  </r>
  <r>
    <n v="1050"/>
    <x v="258"/>
    <x v="0"/>
    <x v="1"/>
    <n v="20"/>
    <x v="3"/>
    <n v="1"/>
    <n v="3318.92"/>
    <n v="3785.91"/>
    <n v="2877.2916"/>
    <n v="57545.831999999995"/>
    <n v="66378.399999999994"/>
    <n v="-8832.5679999999993"/>
    <n v="-0.15348753668206588"/>
    <s v="Loss"/>
    <x v="1"/>
    <n v="0.24"/>
    <s v="Bank Transfer"/>
    <s v="Online"/>
    <s v="North-Bob"/>
    <x v="1"/>
  </r>
  <r>
    <n v="1050"/>
    <x v="113"/>
    <x v="4"/>
    <x v="0"/>
    <n v="48"/>
    <x v="1"/>
    <n v="1"/>
    <n v="710.06"/>
    <n v="851.35"/>
    <n v="817.29599999999994"/>
    <n v="39230.207999999999"/>
    <n v="34082.879999999997"/>
    <n v="5147.3280000000013"/>
    <n v="0.13120827705017524"/>
    <s v="Profit"/>
    <x v="0"/>
    <n v="0.04"/>
    <s v="Bank Transfer"/>
    <s v="Online"/>
    <s v="West-Charlie"/>
    <x v="0"/>
  </r>
  <r>
    <n v="1050"/>
    <x v="259"/>
    <x v="3"/>
    <x v="1"/>
    <n v="28"/>
    <x v="0"/>
    <n v="1"/>
    <n v="1711.63"/>
    <n v="1951.24"/>
    <n v="1521.9672"/>
    <n v="42615.081600000005"/>
    <n v="47925.64"/>
    <n v="-5310.5583999999944"/>
    <n v="-0.12461687742022284"/>
    <s v="Loss"/>
    <x v="1"/>
    <n v="0.22"/>
    <s v="Cash"/>
    <s v="Online"/>
    <s v="North-Alice"/>
    <x v="0"/>
  </r>
  <r>
    <n v="1050"/>
    <x v="39"/>
    <x v="0"/>
    <x v="1"/>
    <n v="45"/>
    <x v="1"/>
    <n v="1"/>
    <n v="112.35"/>
    <n v="586.17999999999995"/>
    <n v="422.04959999999994"/>
    <n v="18992.232"/>
    <n v="5055.75"/>
    <n v="13936.482"/>
    <n v="0.73379906058434841"/>
    <s v="Profit"/>
    <x v="0"/>
    <n v="0.28000000000000003"/>
    <s v="Credit Card"/>
    <s v="Retail"/>
    <s v="North-Bob"/>
    <x v="0"/>
  </r>
  <r>
    <n v="1050"/>
    <x v="154"/>
    <x v="2"/>
    <x v="3"/>
    <n v="43"/>
    <x v="1"/>
    <n v="1"/>
    <n v="4834.47"/>
    <n v="4973.38"/>
    <n v="4824.1786000000002"/>
    <n v="207439.67979999998"/>
    <n v="207882.21000000002"/>
    <n v="-442.53020000003744"/>
    <n v="-2.13329581122906E-3"/>
    <s v="Loss"/>
    <x v="0"/>
    <n v="0.03"/>
    <s v="Bank Transfer"/>
    <s v="Online"/>
    <s v="South-Eve"/>
    <x v="1"/>
  </r>
  <r>
    <n v="1050"/>
    <x v="260"/>
    <x v="4"/>
    <x v="2"/>
    <n v="35"/>
    <x v="2"/>
    <n v="1"/>
    <n v="2158.69"/>
    <n v="2384.38"/>
    <n v="2169.7858000000001"/>
    <n v="75942.503000000012"/>
    <n v="75554.150000000009"/>
    <n v="388.35300000000279"/>
    <n v="5.1137766686463141E-3"/>
    <s v="Profit"/>
    <x v="0"/>
    <n v="0.09"/>
    <s v="Bank Transfer"/>
    <s v="Retail"/>
    <s v="East-Charlie"/>
    <x v="0"/>
  </r>
  <r>
    <n v="1050"/>
    <x v="261"/>
    <x v="1"/>
    <x v="1"/>
    <n v="17"/>
    <x v="1"/>
    <n v="1"/>
    <n v="2346.8000000000002"/>
    <n v="2654.65"/>
    <n v="2309.5455000000002"/>
    <n v="39262.273500000003"/>
    <n v="39895.600000000006"/>
    <n v="-633.32650000000285"/>
    <n v="-1.6130662937794544E-2"/>
    <s v="Loss"/>
    <x v="1"/>
    <n v="0.13"/>
    <s v="Cash"/>
    <s v="Retail"/>
    <s v="North-David"/>
    <x v="0"/>
  </r>
  <r>
    <n v="1050"/>
    <x v="62"/>
    <x v="3"/>
    <x v="1"/>
    <n v="6"/>
    <x v="1"/>
    <n v="1"/>
    <n v="3763.26"/>
    <n v="4102.72"/>
    <n v="3651.4208000000003"/>
    <n v="21908.524799999999"/>
    <n v="22579.56"/>
    <n v="-671.03520000000208"/>
    <n v="-3.062895407727325E-2"/>
    <s v="Loss"/>
    <x v="1"/>
    <n v="0.11"/>
    <s v="Credit Card"/>
    <s v="Retail"/>
    <s v="North-Alice"/>
    <x v="1"/>
  </r>
  <r>
    <n v="1051"/>
    <x v="220"/>
    <x v="3"/>
    <x v="1"/>
    <n v="34"/>
    <x v="1"/>
    <n v="1"/>
    <n v="3764.14"/>
    <n v="4100.3999999999996"/>
    <n v="3895.3799999999997"/>
    <n v="132442.91999999998"/>
    <n v="127980.76"/>
    <n v="4462.1599999999889"/>
    <n v="3.3691193157021827E-2"/>
    <s v="Profit"/>
    <x v="0"/>
    <n v="0.05"/>
    <s v="Bank Transfer"/>
    <s v="Retail"/>
    <s v="North-Alice"/>
    <x v="1"/>
  </r>
  <r>
    <n v="1051"/>
    <x v="16"/>
    <x v="2"/>
    <x v="1"/>
    <n v="14"/>
    <x v="3"/>
    <n v="1"/>
    <n v="3686.81"/>
    <n v="3710.92"/>
    <n v="3339.828"/>
    <n v="46757.592000000004"/>
    <n v="51615.34"/>
    <n v="-4857.7479999999923"/>
    <n v="-0.10389217648333969"/>
    <s v="Loss"/>
    <x v="1"/>
    <n v="0.1"/>
    <s v="Bank Transfer"/>
    <s v="Retail"/>
    <s v="North-Eve"/>
    <x v="1"/>
  </r>
  <r>
    <n v="1051"/>
    <x v="262"/>
    <x v="0"/>
    <x v="2"/>
    <n v="12"/>
    <x v="3"/>
    <n v="1"/>
    <n v="3544.48"/>
    <n v="3723.66"/>
    <n v="3016.1646000000001"/>
    <n v="36193.975200000001"/>
    <n v="42533.760000000002"/>
    <n v="-6339.7848000000013"/>
    <n v="-0.17516132906009177"/>
    <s v="Loss"/>
    <x v="0"/>
    <n v="0.19"/>
    <s v="Cash"/>
    <s v="Online"/>
    <s v="East-Bob"/>
    <x v="1"/>
  </r>
  <r>
    <n v="1051"/>
    <x v="211"/>
    <x v="3"/>
    <x v="0"/>
    <n v="23"/>
    <x v="3"/>
    <n v="1"/>
    <n v="3325.43"/>
    <n v="3401.1"/>
    <n v="3060.99"/>
    <n v="70402.77"/>
    <n v="76484.89"/>
    <n v="-6082.1199999999953"/>
    <n v="-8.6390350834207166E-2"/>
    <s v="Loss"/>
    <x v="1"/>
    <n v="0.1"/>
    <s v="Cash"/>
    <s v="Online"/>
    <s v="West-Alice"/>
    <x v="1"/>
  </r>
  <r>
    <n v="1051"/>
    <x v="263"/>
    <x v="0"/>
    <x v="0"/>
    <n v="3"/>
    <x v="1"/>
    <n v="1"/>
    <n v="3434.75"/>
    <n v="3659.42"/>
    <n v="3073.9128000000001"/>
    <n v="9221.7384000000002"/>
    <n v="10304.25"/>
    <n v="-1082.5115999999998"/>
    <n v="-0.11738693433333565"/>
    <s v="Loss"/>
    <x v="1"/>
    <n v="0.16"/>
    <s v="Cash"/>
    <s v="Online"/>
    <s v="West-Bob"/>
    <x v="1"/>
  </r>
  <r>
    <n v="1051"/>
    <x v="223"/>
    <x v="1"/>
    <x v="3"/>
    <n v="23"/>
    <x v="1"/>
    <n v="1"/>
    <n v="2598.1799999999998"/>
    <n v="3042.73"/>
    <n v="2312.4748"/>
    <n v="53186.920399999995"/>
    <n v="59758.14"/>
    <n v="-6571.219600000004"/>
    <n v="-0.12354954095067336"/>
    <s v="Loss"/>
    <x v="0"/>
    <n v="0.24"/>
    <s v="Credit Card"/>
    <s v="Online"/>
    <s v="South-David"/>
    <x v="1"/>
  </r>
  <r>
    <n v="1051"/>
    <x v="6"/>
    <x v="0"/>
    <x v="1"/>
    <n v="36"/>
    <x v="0"/>
    <n v="1"/>
    <n v="4418.95"/>
    <n v="4647.87"/>
    <n v="4461.9551999999994"/>
    <n v="160630.3872"/>
    <n v="159082.19999999998"/>
    <n v="1548.1872000000149"/>
    <n v="9.6381962777215731E-3"/>
    <s v="Profit"/>
    <x v="1"/>
    <n v="0.04"/>
    <s v="Bank Transfer"/>
    <s v="Online"/>
    <s v="North-Bob"/>
    <x v="1"/>
  </r>
  <r>
    <n v="1051"/>
    <x v="264"/>
    <x v="2"/>
    <x v="1"/>
    <n v="8"/>
    <x v="2"/>
    <n v="1"/>
    <n v="467.11"/>
    <n v="792.21"/>
    <n v="633.76800000000003"/>
    <n v="5070.1440000000002"/>
    <n v="3736.88"/>
    <n v="1333.2640000000001"/>
    <n v="0.26296373436336329"/>
    <s v="Profit"/>
    <x v="1"/>
    <n v="0.2"/>
    <s v="Credit Card"/>
    <s v="Online"/>
    <s v="North-Eve"/>
    <x v="0"/>
  </r>
  <r>
    <n v="1051"/>
    <x v="207"/>
    <x v="3"/>
    <x v="1"/>
    <n v="23"/>
    <x v="3"/>
    <n v="1"/>
    <n v="1676.42"/>
    <n v="2082.52"/>
    <n v="1770.1419999999998"/>
    <n v="40713.265999999996"/>
    <n v="38557.660000000003"/>
    <n v="2155.6059999999925"/>
    <n v="5.2946034837882884E-2"/>
    <s v="Profit"/>
    <x v="1"/>
    <n v="0.15"/>
    <s v="Bank Transfer"/>
    <s v="Retail"/>
    <s v="North-Alice"/>
    <x v="0"/>
  </r>
  <r>
    <n v="1051"/>
    <x v="122"/>
    <x v="3"/>
    <x v="0"/>
    <n v="43"/>
    <x v="2"/>
    <n v="1"/>
    <n v="287.99"/>
    <n v="666.64"/>
    <n v="666.64"/>
    <n v="28665.52"/>
    <n v="12383.57"/>
    <n v="16281.95"/>
    <n v="0.56799771990879633"/>
    <s v="Profit"/>
    <x v="0"/>
    <n v="0"/>
    <s v="Bank Transfer"/>
    <s v="Online"/>
    <s v="West-Alice"/>
    <x v="0"/>
  </r>
  <r>
    <n v="1051"/>
    <x v="123"/>
    <x v="0"/>
    <x v="0"/>
    <n v="31"/>
    <x v="1"/>
    <n v="1"/>
    <n v="144.88"/>
    <n v="175.29"/>
    <n v="163.01969999999997"/>
    <n v="5053.6106999999993"/>
    <n v="4491.28"/>
    <n v="562.33069999999952"/>
    <n v="0.11127305472896826"/>
    <s v="Profit"/>
    <x v="1"/>
    <n v="7.0000000000000007E-2"/>
    <s v="Bank Transfer"/>
    <s v="Online"/>
    <s v="West-Bob"/>
    <x v="0"/>
  </r>
  <r>
    <n v="1051"/>
    <x v="208"/>
    <x v="2"/>
    <x v="3"/>
    <n v="8"/>
    <x v="0"/>
    <n v="1"/>
    <n v="3970.37"/>
    <n v="4257.5200000000004"/>
    <n v="3789.1928000000003"/>
    <n v="30313.542400000002"/>
    <n v="31762.959999999999"/>
    <n v="-1449.417599999997"/>
    <n v="-4.7814194094319931E-2"/>
    <s v="Loss"/>
    <x v="1"/>
    <n v="0.11"/>
    <s v="Cash"/>
    <s v="Retail"/>
    <s v="South-Eve"/>
    <x v="1"/>
  </r>
  <r>
    <n v="1051"/>
    <x v="63"/>
    <x v="0"/>
    <x v="0"/>
    <n v="3"/>
    <x v="0"/>
    <n v="1"/>
    <n v="1000.18"/>
    <n v="1023.64"/>
    <n v="982.69439999999997"/>
    <n v="2948.0832"/>
    <n v="3000.54"/>
    <n v="-52.45679999999993"/>
    <n v="-1.7793527672489002E-2"/>
    <s v="Loss"/>
    <x v="0"/>
    <n v="0.04"/>
    <s v="Credit Card"/>
    <s v="Online"/>
    <s v="West-Bob"/>
    <x v="0"/>
  </r>
  <r>
    <n v="1052"/>
    <x v="102"/>
    <x v="0"/>
    <x v="1"/>
    <n v="18"/>
    <x v="1"/>
    <n v="1"/>
    <n v="152.75"/>
    <n v="267.22000000000003"/>
    <n v="243.17020000000002"/>
    <n v="4377.0636000000013"/>
    <n v="2749.5"/>
    <n v="1627.5636000000013"/>
    <n v="0.37183914805350343"/>
    <s v="Profit"/>
    <x v="0"/>
    <n v="0.09"/>
    <s v="Cash"/>
    <s v="Online"/>
    <s v="North-Bob"/>
    <x v="0"/>
  </r>
  <r>
    <n v="1052"/>
    <x v="169"/>
    <x v="0"/>
    <x v="1"/>
    <n v="11"/>
    <x v="2"/>
    <n v="1"/>
    <n v="3451.59"/>
    <n v="3929.26"/>
    <n v="2750.482"/>
    <n v="30255.302"/>
    <n v="37967.490000000005"/>
    <n v="-7712.1880000000056"/>
    <n v="-0.25490368597213164"/>
    <s v="Loss"/>
    <x v="1"/>
    <n v="0.3"/>
    <s v="Credit Card"/>
    <s v="Retail"/>
    <s v="North-Bob"/>
    <x v="1"/>
  </r>
  <r>
    <n v="1052"/>
    <x v="265"/>
    <x v="4"/>
    <x v="3"/>
    <n v="26"/>
    <x v="2"/>
    <n v="1"/>
    <n v="4771.99"/>
    <n v="5079.6499999999996"/>
    <n v="3606.5514999999996"/>
    <n v="93770.338999999993"/>
    <n v="124071.73999999999"/>
    <n v="-30301.400999999998"/>
    <n v="-0.32314483794283821"/>
    <s v="Loss"/>
    <x v="1"/>
    <n v="0.28999999999999998"/>
    <s v="Credit Card"/>
    <s v="Online"/>
    <s v="South-Charlie"/>
    <x v="1"/>
  </r>
  <r>
    <n v="1052"/>
    <x v="266"/>
    <x v="4"/>
    <x v="2"/>
    <n v="18"/>
    <x v="1"/>
    <n v="1"/>
    <n v="3271.62"/>
    <n v="3722.38"/>
    <n v="3015.1278000000002"/>
    <n v="54272.3004"/>
    <n v="58889.159999999996"/>
    <n v="-4616.8595999999961"/>
    <n v="-8.5068433915139449E-2"/>
    <s v="Loss"/>
    <x v="0"/>
    <n v="0.19"/>
    <s v="Bank Transfer"/>
    <s v="Retail"/>
    <s v="East-Charlie"/>
    <x v="1"/>
  </r>
  <r>
    <n v="1052"/>
    <x v="267"/>
    <x v="1"/>
    <x v="0"/>
    <n v="41"/>
    <x v="3"/>
    <n v="1"/>
    <n v="1509.98"/>
    <n v="1792.83"/>
    <n v="1721.1167999999998"/>
    <n v="70565.788799999995"/>
    <n v="61909.18"/>
    <n v="8656.6087999999945"/>
    <n v="0.12267430077958677"/>
    <s v="Profit"/>
    <x v="1"/>
    <n v="0.04"/>
    <s v="Cash"/>
    <s v="Retail"/>
    <s v="West-David"/>
    <x v="0"/>
  </r>
  <r>
    <n v="1052"/>
    <x v="84"/>
    <x v="1"/>
    <x v="1"/>
    <n v="46"/>
    <x v="3"/>
    <n v="1"/>
    <n v="3136.42"/>
    <n v="3198.49"/>
    <n v="2270.9278999999997"/>
    <n v="104462.68339999998"/>
    <n v="144275.32"/>
    <n v="-39812.636600000027"/>
    <n v="-0.38111826447682501"/>
    <s v="Loss"/>
    <x v="0"/>
    <n v="0.28999999999999998"/>
    <s v="Cash"/>
    <s v="Retail"/>
    <s v="North-David"/>
    <x v="1"/>
  </r>
  <r>
    <n v="1052"/>
    <x v="8"/>
    <x v="1"/>
    <x v="1"/>
    <n v="5"/>
    <x v="1"/>
    <n v="1"/>
    <n v="745.71"/>
    <n v="856.91"/>
    <n v="659.82069999999999"/>
    <n v="3299.1035000000002"/>
    <n v="3728.55"/>
    <n v="-429.44650000000001"/>
    <n v="-0.13017066606124966"/>
    <s v="Loss"/>
    <x v="0"/>
    <n v="0.23"/>
    <s v="Bank Transfer"/>
    <s v="Retail"/>
    <s v="North-David"/>
    <x v="0"/>
  </r>
  <r>
    <n v="1052"/>
    <x v="137"/>
    <x v="4"/>
    <x v="2"/>
    <n v="48"/>
    <x v="0"/>
    <n v="1"/>
    <n v="3002.35"/>
    <n v="3080.61"/>
    <n v="2526.1002000000003"/>
    <n v="121252.80960000001"/>
    <n v="144112.79999999999"/>
    <n v="-22859.990399999981"/>
    <n v="-0.18853163465170525"/>
    <s v="Loss"/>
    <x v="0"/>
    <n v="0.18"/>
    <s v="Bank Transfer"/>
    <s v="Retail"/>
    <s v="East-Charlie"/>
    <x v="1"/>
  </r>
  <r>
    <n v="1052"/>
    <x v="268"/>
    <x v="3"/>
    <x v="3"/>
    <n v="2"/>
    <x v="0"/>
    <n v="1"/>
    <n v="1935.41"/>
    <n v="2305.44"/>
    <n v="1798.2432000000001"/>
    <n v="3596.4864000000002"/>
    <n v="3870.82"/>
    <n v="-274.33359999999993"/>
    <n v="-7.6278225325695628E-2"/>
    <s v="Loss"/>
    <x v="0"/>
    <n v="0.22"/>
    <s v="Credit Card"/>
    <s v="Online"/>
    <s v="South-Alice"/>
    <x v="0"/>
  </r>
  <r>
    <n v="1052"/>
    <x v="154"/>
    <x v="2"/>
    <x v="3"/>
    <n v="42"/>
    <x v="3"/>
    <n v="1"/>
    <n v="417.96"/>
    <n v="907.63"/>
    <n v="871.32479999999998"/>
    <n v="36595.641599999995"/>
    <n v="17554.32"/>
    <n v="19041.321599999996"/>
    <n v="0.52031664885470952"/>
    <s v="Profit"/>
    <x v="1"/>
    <n v="0.04"/>
    <s v="Cash"/>
    <s v="Retail"/>
    <s v="South-Eve"/>
    <x v="0"/>
  </r>
  <r>
    <n v="1052"/>
    <x v="13"/>
    <x v="4"/>
    <x v="0"/>
    <n v="2"/>
    <x v="1"/>
    <n v="1"/>
    <n v="3752.68"/>
    <n v="4017.91"/>
    <n v="3375.0443999999998"/>
    <n v="6750.0887999999995"/>
    <n v="7505.36"/>
    <n v="-755.27120000000014"/>
    <n v="-0.11189055764718239"/>
    <s v="Loss"/>
    <x v="0"/>
    <n v="0.16"/>
    <s v="Bank Transfer"/>
    <s v="Online"/>
    <s v="West-Charlie"/>
    <x v="1"/>
  </r>
  <r>
    <n v="1052"/>
    <x v="13"/>
    <x v="4"/>
    <x v="0"/>
    <n v="18"/>
    <x v="0"/>
    <n v="1"/>
    <n v="1127.8599999999999"/>
    <n v="1586.29"/>
    <n v="1522.8383999999999"/>
    <n v="27411.091199999999"/>
    <n v="20301.48"/>
    <n v="7109.6111999999994"/>
    <n v="0.25936987141905538"/>
    <s v="Profit"/>
    <x v="1"/>
    <n v="0.04"/>
    <s v="Credit Card"/>
    <s v="Online"/>
    <s v="West-Charlie"/>
    <x v="0"/>
  </r>
  <r>
    <n v="1053"/>
    <x v="269"/>
    <x v="1"/>
    <x v="2"/>
    <n v="29"/>
    <x v="3"/>
    <n v="1"/>
    <n v="3741.3"/>
    <n v="4061.04"/>
    <n v="3208.2216000000003"/>
    <n v="93038.426400000011"/>
    <n v="108497.70000000001"/>
    <n v="-15459.2736"/>
    <n v="-0.16616009318059574"/>
    <s v="Loss"/>
    <x v="0"/>
    <n v="0.21"/>
    <s v="Credit Card"/>
    <s v="Online"/>
    <s v="East-David"/>
    <x v="1"/>
  </r>
  <r>
    <n v="1053"/>
    <x v="270"/>
    <x v="4"/>
    <x v="2"/>
    <n v="11"/>
    <x v="3"/>
    <n v="1"/>
    <n v="200.56"/>
    <n v="540.38"/>
    <n v="443.11160000000001"/>
    <n v="4874.2276000000002"/>
    <n v="2206.16"/>
    <n v="2668.0676000000003"/>
    <n v="0.54738264581653928"/>
    <s v="Profit"/>
    <x v="1"/>
    <n v="0.18"/>
    <s v="Bank Transfer"/>
    <s v="Online"/>
    <s v="East-Charlie"/>
    <x v="0"/>
  </r>
  <r>
    <n v="1053"/>
    <x v="198"/>
    <x v="4"/>
    <x v="2"/>
    <n v="39"/>
    <x v="1"/>
    <n v="1"/>
    <n v="4643.67"/>
    <n v="4829.5200000000004"/>
    <n v="4008.5016000000001"/>
    <n v="156331.56240000002"/>
    <n v="181103.13"/>
    <n v="-24771.56759999998"/>
    <n v="-0.15845531906485941"/>
    <s v="Loss"/>
    <x v="0"/>
    <n v="0.17"/>
    <s v="Bank Transfer"/>
    <s v="Online"/>
    <s v="East-Charlie"/>
    <x v="1"/>
  </r>
  <r>
    <n v="1053"/>
    <x v="264"/>
    <x v="3"/>
    <x v="3"/>
    <n v="47"/>
    <x v="3"/>
    <n v="1"/>
    <n v="3551.76"/>
    <n v="3696.1"/>
    <n v="3141.6849999999999"/>
    <n v="147659.19499999998"/>
    <n v="166932.72"/>
    <n v="-19273.525000000023"/>
    <n v="-0.13052708976234109"/>
    <s v="Loss"/>
    <x v="0"/>
    <n v="0.15"/>
    <s v="Bank Transfer"/>
    <s v="Retail"/>
    <s v="South-Alice"/>
    <x v="1"/>
  </r>
  <r>
    <n v="1053"/>
    <x v="86"/>
    <x v="2"/>
    <x v="0"/>
    <n v="11"/>
    <x v="1"/>
    <n v="1"/>
    <n v="1582.86"/>
    <n v="1942.55"/>
    <n v="1612.3164999999999"/>
    <n v="17735.481499999998"/>
    <n v="17411.46"/>
    <n v="324.02149999999892"/>
    <n v="1.8269675960023921E-2"/>
    <s v="Profit"/>
    <x v="1"/>
    <n v="0.17"/>
    <s v="Credit Card"/>
    <s v="Retail"/>
    <s v="West-Eve"/>
    <x v="0"/>
  </r>
  <r>
    <n v="1053"/>
    <x v="122"/>
    <x v="0"/>
    <x v="1"/>
    <n v="48"/>
    <x v="1"/>
    <n v="1"/>
    <n v="121.19"/>
    <n v="487.65"/>
    <n v="399.87299999999999"/>
    <n v="19193.903999999999"/>
    <n v="5817.12"/>
    <n v="13376.784"/>
    <n v="0.69692877488602634"/>
    <s v="Profit"/>
    <x v="1"/>
    <n v="0.18"/>
    <s v="Cash"/>
    <s v="Retail"/>
    <s v="North-Bob"/>
    <x v="0"/>
  </r>
  <r>
    <n v="1053"/>
    <x v="39"/>
    <x v="0"/>
    <x v="3"/>
    <n v="36"/>
    <x v="2"/>
    <n v="1"/>
    <n v="4252.17"/>
    <n v="4720.2700000000004"/>
    <n v="4295.4457000000002"/>
    <n v="154636.04520000002"/>
    <n v="153078.12"/>
    <n v="1557.925200000027"/>
    <n v="1.0074786884164487E-2"/>
    <s v="Profit"/>
    <x v="1"/>
    <n v="0.09"/>
    <s v="Cash"/>
    <s v="Retail"/>
    <s v="South-Bob"/>
    <x v="1"/>
  </r>
  <r>
    <n v="1053"/>
    <x v="140"/>
    <x v="1"/>
    <x v="0"/>
    <n v="42"/>
    <x v="1"/>
    <n v="1"/>
    <n v="2443.5700000000002"/>
    <n v="2943.31"/>
    <n v="2089.7500999999997"/>
    <n v="87769.504199999996"/>
    <n v="102629.94"/>
    <n v="-14860.435800000007"/>
    <n v="-0.16931206271984395"/>
    <s v="Loss"/>
    <x v="1"/>
    <n v="0.28999999999999998"/>
    <s v="Cash"/>
    <s v="Online"/>
    <s v="West-David"/>
    <x v="1"/>
  </r>
  <r>
    <n v="1053"/>
    <x v="271"/>
    <x v="0"/>
    <x v="1"/>
    <n v="44"/>
    <x v="1"/>
    <n v="1"/>
    <n v="2045"/>
    <n v="2217.5100000000002"/>
    <n v="2040.1092000000003"/>
    <n v="89764.804800000013"/>
    <n v="89980"/>
    <n v="-215.19519999998738"/>
    <n v="-2.397322653120584E-3"/>
    <s v="Loss"/>
    <x v="0"/>
    <n v="0.08"/>
    <s v="Credit Card"/>
    <s v="Online"/>
    <s v="North-Bob"/>
    <x v="0"/>
  </r>
  <r>
    <n v="1053"/>
    <x v="51"/>
    <x v="0"/>
    <x v="2"/>
    <n v="1"/>
    <x v="2"/>
    <n v="1"/>
    <n v="1702.82"/>
    <n v="1862.61"/>
    <n v="1415.5835999999999"/>
    <n v="1415.5835999999999"/>
    <n v="1702.82"/>
    <n v="-287.2364"/>
    <n v="-0.20291023433727265"/>
    <s v="Loss"/>
    <x v="0"/>
    <n v="0.24"/>
    <s v="Cash"/>
    <s v="Retail"/>
    <s v="East-Bob"/>
    <x v="0"/>
  </r>
  <r>
    <n v="1053"/>
    <x v="203"/>
    <x v="1"/>
    <x v="1"/>
    <n v="1"/>
    <x v="0"/>
    <n v="1"/>
    <n v="2258.44"/>
    <n v="2475.56"/>
    <n v="1856.67"/>
    <n v="1856.67"/>
    <n v="2258.44"/>
    <n v="-401.77"/>
    <n v="-0.21639278924095287"/>
    <s v="Loss"/>
    <x v="1"/>
    <n v="0.25"/>
    <s v="Cash"/>
    <s v="Online"/>
    <s v="North-David"/>
    <x v="0"/>
  </r>
  <r>
    <n v="1054"/>
    <x v="272"/>
    <x v="2"/>
    <x v="3"/>
    <n v="40"/>
    <x v="1"/>
    <n v="1"/>
    <n v="2654.11"/>
    <n v="2929.32"/>
    <n v="2694.9744000000001"/>
    <n v="107798.97600000001"/>
    <n v="106164.40000000001"/>
    <n v="1634.5760000000009"/>
    <n v="1.5163186707821796E-2"/>
    <s v="Profit"/>
    <x v="0"/>
    <n v="0.08"/>
    <s v="Cash"/>
    <s v="Online"/>
    <s v="South-Eve"/>
    <x v="1"/>
  </r>
  <r>
    <n v="1054"/>
    <x v="198"/>
    <x v="0"/>
    <x v="3"/>
    <n v="21"/>
    <x v="1"/>
    <n v="1"/>
    <n v="4668.1400000000003"/>
    <n v="5040.22"/>
    <n v="4788.2089999999998"/>
    <n v="100552.38900000001"/>
    <n v="98030.94"/>
    <n v="2521.4490000000078"/>
    <n v="2.5075973083046366E-2"/>
    <s v="Profit"/>
    <x v="1"/>
    <n v="0.05"/>
    <s v="Bank Transfer"/>
    <s v="Online"/>
    <s v="South-Bob"/>
    <x v="1"/>
  </r>
  <r>
    <n v="1054"/>
    <x v="37"/>
    <x v="3"/>
    <x v="3"/>
    <n v="47"/>
    <x v="0"/>
    <n v="1"/>
    <n v="4429.8"/>
    <n v="4694.21"/>
    <n v="3520.6575000000003"/>
    <n v="165470.9025"/>
    <n v="208200.6"/>
    <n v="-42729.697500000009"/>
    <n v="-0.25823088442996806"/>
    <s v="Loss"/>
    <x v="1"/>
    <n v="0.25"/>
    <s v="Bank Transfer"/>
    <s v="Online"/>
    <s v="South-Alice"/>
    <x v="1"/>
  </r>
  <r>
    <n v="1054"/>
    <x v="273"/>
    <x v="0"/>
    <x v="3"/>
    <n v="16"/>
    <x v="3"/>
    <n v="1"/>
    <n v="4557.79"/>
    <n v="5043.3599999999997"/>
    <n v="4337.2896000000001"/>
    <n v="69396.633600000001"/>
    <n v="72924.639999999999"/>
    <n v="-3528.0063999999984"/>
    <n v="-5.083829311282325E-2"/>
    <s v="Loss"/>
    <x v="0"/>
    <n v="0.14000000000000001"/>
    <s v="Credit Card"/>
    <s v="Retail"/>
    <s v="South-Bob"/>
    <x v="1"/>
  </r>
  <r>
    <n v="1054"/>
    <x v="274"/>
    <x v="1"/>
    <x v="0"/>
    <n v="27"/>
    <x v="3"/>
    <n v="1"/>
    <n v="1456.09"/>
    <n v="1510.43"/>
    <n v="1253.6569"/>
    <n v="33848.736299999997"/>
    <n v="39314.43"/>
    <n v="-5465.6937000000034"/>
    <n v="-0.16147408433679114"/>
    <s v="Loss"/>
    <x v="0"/>
    <n v="0.17"/>
    <s v="Cash"/>
    <s v="Retail"/>
    <s v="West-David"/>
    <x v="0"/>
  </r>
  <r>
    <n v="1054"/>
    <x v="172"/>
    <x v="1"/>
    <x v="2"/>
    <n v="8"/>
    <x v="0"/>
    <n v="1"/>
    <n v="4117.13"/>
    <n v="4177.0600000000004"/>
    <n v="3132.7950000000001"/>
    <n v="25062.36"/>
    <n v="32937.040000000001"/>
    <n v="-7874.68"/>
    <n v="-0.31420345091204499"/>
    <s v="Loss"/>
    <x v="0"/>
    <n v="0.25"/>
    <s v="Bank Transfer"/>
    <s v="Retail"/>
    <s v="East-David"/>
    <x v="1"/>
  </r>
  <r>
    <n v="1054"/>
    <x v="172"/>
    <x v="1"/>
    <x v="3"/>
    <n v="48"/>
    <x v="3"/>
    <n v="1"/>
    <n v="4325.0200000000004"/>
    <n v="4391.67"/>
    <n v="3689.0027999999998"/>
    <n v="177072.13440000001"/>
    <n v="207600.96000000002"/>
    <n v="-30528.825600000011"/>
    <n v="-0.17240897729868901"/>
    <s v="Loss"/>
    <x v="0"/>
    <n v="0.16"/>
    <s v="Credit Card"/>
    <s v="Retail"/>
    <s v="South-David"/>
    <x v="1"/>
  </r>
  <r>
    <n v="1054"/>
    <x v="143"/>
    <x v="0"/>
    <x v="2"/>
    <n v="22"/>
    <x v="3"/>
    <n v="1"/>
    <n v="4200.08"/>
    <n v="4647.28"/>
    <n v="4136.0792000000001"/>
    <n v="90993.742399999988"/>
    <n v="92401.76"/>
    <n v="-1408.0176000000065"/>
    <n v="-1.5473784931391135E-2"/>
    <s v="Loss"/>
    <x v="0"/>
    <n v="0.11"/>
    <s v="Cash"/>
    <s v="Online"/>
    <s v="East-Bob"/>
    <x v="1"/>
  </r>
  <r>
    <n v="1054"/>
    <x v="78"/>
    <x v="3"/>
    <x v="1"/>
    <n v="43"/>
    <x v="0"/>
    <n v="1"/>
    <n v="2124.7199999999998"/>
    <n v="2188.66"/>
    <n v="2123.0001999999999"/>
    <n v="91289.008599999986"/>
    <n v="91362.959999999992"/>
    <n v="-73.951400000005378"/>
    <n v="-8.1007999905045956E-4"/>
    <s v="Loss"/>
    <x v="0"/>
    <n v="0.03"/>
    <s v="Credit Card"/>
    <s v="Retail"/>
    <s v="North-Alice"/>
    <x v="0"/>
  </r>
  <r>
    <n v="1054"/>
    <x v="179"/>
    <x v="1"/>
    <x v="1"/>
    <n v="48"/>
    <x v="0"/>
    <n v="1"/>
    <n v="2316.92"/>
    <n v="2462.63"/>
    <n v="2364.1248000000001"/>
    <n v="113477.9904"/>
    <n v="111212.16"/>
    <n v="2265.8303999999916"/>
    <n v="1.9967135406726341E-2"/>
    <s v="Profit"/>
    <x v="1"/>
    <n v="0.04"/>
    <s v="Credit Card"/>
    <s v="Online"/>
    <s v="North-David"/>
    <x v="0"/>
  </r>
  <r>
    <n v="1054"/>
    <x v="185"/>
    <x v="1"/>
    <x v="2"/>
    <n v="20"/>
    <x v="2"/>
    <n v="1"/>
    <n v="4622.1400000000003"/>
    <n v="5122.07"/>
    <n v="3790.3317999999999"/>
    <n v="75806.635999999999"/>
    <n v="92442.8"/>
    <n v="-16636.164000000004"/>
    <n v="-0.21945524663566399"/>
    <s v="Loss"/>
    <x v="1"/>
    <n v="0.26"/>
    <s v="Cash"/>
    <s v="Retail"/>
    <s v="East-David"/>
    <x v="1"/>
  </r>
  <r>
    <n v="1054"/>
    <x v="144"/>
    <x v="1"/>
    <x v="0"/>
    <n v="8"/>
    <x v="2"/>
    <n v="1"/>
    <n v="3610.21"/>
    <n v="3817.99"/>
    <n v="3245.2914999999998"/>
    <n v="25962.331999999999"/>
    <n v="28881.68"/>
    <n v="-2919.3480000000018"/>
    <n v="-0.11244552299847341"/>
    <s v="Loss"/>
    <x v="0"/>
    <n v="0.15"/>
    <s v="Cash"/>
    <s v="Retail"/>
    <s v="West-David"/>
    <x v="1"/>
  </r>
  <r>
    <n v="1055"/>
    <x v="275"/>
    <x v="4"/>
    <x v="0"/>
    <n v="8"/>
    <x v="1"/>
    <n v="1"/>
    <n v="3513"/>
    <n v="3838.42"/>
    <n v="3339.4254000000001"/>
    <n v="26715.403200000001"/>
    <n v="28104"/>
    <n v="-1388.5967999999993"/>
    <n v="-5.1977385091459119E-2"/>
    <s v="Loss"/>
    <x v="0"/>
    <n v="0.13"/>
    <s v="Bank Transfer"/>
    <s v="Online"/>
    <s v="West-Charlie"/>
    <x v="1"/>
  </r>
  <r>
    <n v="1055"/>
    <x v="168"/>
    <x v="4"/>
    <x v="0"/>
    <n v="12"/>
    <x v="3"/>
    <n v="1"/>
    <n v="2538.61"/>
    <n v="2971.75"/>
    <n v="2258.5300000000002"/>
    <n v="27102.36"/>
    <n v="30463.32"/>
    <n v="-3360.9599999999991"/>
    <n v="-0.12400986482357991"/>
    <s v="Loss"/>
    <x v="0"/>
    <n v="0.24"/>
    <s v="Cash"/>
    <s v="Online"/>
    <s v="West-Charlie"/>
    <x v="1"/>
  </r>
  <r>
    <n v="1055"/>
    <x v="270"/>
    <x v="2"/>
    <x v="3"/>
    <n v="16"/>
    <x v="2"/>
    <n v="1"/>
    <n v="4195.38"/>
    <n v="4461.51"/>
    <n v="4059.9741000000004"/>
    <n v="64959.585600000006"/>
    <n v="67126.080000000002"/>
    <n v="-2166.4943999999959"/>
    <n v="-3.3351419655608082E-2"/>
    <s v="Loss"/>
    <x v="0"/>
    <n v="0.09"/>
    <s v="Bank Transfer"/>
    <s v="Online"/>
    <s v="South-Eve"/>
    <x v="1"/>
  </r>
  <r>
    <n v="1055"/>
    <x v="122"/>
    <x v="1"/>
    <x v="2"/>
    <n v="46"/>
    <x v="2"/>
    <n v="1"/>
    <n v="4173.5200000000004"/>
    <n v="4294.8500000000004"/>
    <n v="4166.0045"/>
    <n v="191636.20699999999"/>
    <n v="191981.92"/>
    <n v="-345.71300000001793"/>
    <n v="-1.8040066927437043E-3"/>
    <s v="Loss"/>
    <x v="0"/>
    <n v="0.03"/>
    <s v="Bank Transfer"/>
    <s v="Retail"/>
    <s v="East-David"/>
    <x v="1"/>
  </r>
  <r>
    <n v="1055"/>
    <x v="276"/>
    <x v="2"/>
    <x v="0"/>
    <n v="43"/>
    <x v="1"/>
    <n v="1"/>
    <n v="4111.7"/>
    <n v="4537.9399999999996"/>
    <n v="3948.0077999999994"/>
    <n v="169764.33539999998"/>
    <n v="176803.1"/>
    <n v="-7038.7646000000241"/>
    <n v="-4.1461974821833072E-2"/>
    <s v="Loss"/>
    <x v="0"/>
    <n v="0.13"/>
    <s v="Bank Transfer"/>
    <s v="Online"/>
    <s v="West-Eve"/>
    <x v="1"/>
  </r>
  <r>
    <n v="1055"/>
    <x v="51"/>
    <x v="1"/>
    <x v="2"/>
    <n v="11"/>
    <x v="3"/>
    <n v="1"/>
    <n v="2495.1999999999998"/>
    <n v="2600.9299999999998"/>
    <n v="2054.7347"/>
    <n v="22602.081700000002"/>
    <n v="27447.199999999997"/>
    <n v="-4845.1182999999946"/>
    <n v="-0.21436602009982089"/>
    <s v="Loss"/>
    <x v="1"/>
    <n v="0.21"/>
    <s v="Bank Transfer"/>
    <s v="Retail"/>
    <s v="East-David"/>
    <x v="0"/>
  </r>
  <r>
    <n v="1055"/>
    <x v="277"/>
    <x v="2"/>
    <x v="1"/>
    <n v="40"/>
    <x v="1"/>
    <n v="1"/>
    <n v="959.73"/>
    <n v="1111.4100000000001"/>
    <n v="855.78570000000013"/>
    <n v="34231.428"/>
    <n v="38389.199999999997"/>
    <n v="-4157.7719999999972"/>
    <n v="-0.12146066474352157"/>
    <s v="Loss"/>
    <x v="1"/>
    <n v="0.23"/>
    <s v="Bank Transfer"/>
    <s v="Online"/>
    <s v="North-Eve"/>
    <x v="0"/>
  </r>
  <r>
    <n v="1056"/>
    <x v="278"/>
    <x v="1"/>
    <x v="2"/>
    <n v="28"/>
    <x v="2"/>
    <n v="1"/>
    <n v="1566.03"/>
    <n v="1576.34"/>
    <n v="1261.0720000000001"/>
    <n v="35310.015999999996"/>
    <n v="43848.84"/>
    <n v="-8538.8240000000005"/>
    <n v="-0.24182441605237454"/>
    <s v="Loss"/>
    <x v="0"/>
    <n v="0.2"/>
    <s v="Bank Transfer"/>
    <s v="Online"/>
    <s v="East-David"/>
    <x v="0"/>
  </r>
  <r>
    <n v="1056"/>
    <x v="176"/>
    <x v="0"/>
    <x v="0"/>
    <n v="42"/>
    <x v="1"/>
    <n v="1"/>
    <n v="1080.1199999999999"/>
    <n v="1424.17"/>
    <n v="1281.7530000000002"/>
    <n v="53833.626000000004"/>
    <n v="45365.039999999994"/>
    <n v="8468.5860000000102"/>
    <n v="0.15731033982366355"/>
    <s v="Profit"/>
    <x v="1"/>
    <n v="0.1"/>
    <s v="Cash"/>
    <s v="Online"/>
    <s v="West-Bob"/>
    <x v="0"/>
  </r>
  <r>
    <n v="1056"/>
    <x v="178"/>
    <x v="4"/>
    <x v="0"/>
    <n v="25"/>
    <x v="0"/>
    <n v="1"/>
    <n v="2361.7399999999998"/>
    <n v="2584.35"/>
    <n v="2067.48"/>
    <n v="51687"/>
    <n v="59043.499999999993"/>
    <n v="-7356.4999999999927"/>
    <n v="-0.14232785806875989"/>
    <s v="Loss"/>
    <x v="0"/>
    <n v="0.2"/>
    <s v="Cash"/>
    <s v="Online"/>
    <s v="West-Charlie"/>
    <x v="0"/>
  </r>
  <r>
    <n v="1056"/>
    <x v="39"/>
    <x v="1"/>
    <x v="0"/>
    <n v="47"/>
    <x v="1"/>
    <n v="1"/>
    <n v="2461.6999999999998"/>
    <n v="2529.02"/>
    <n v="1972.6356000000001"/>
    <n v="92713.873200000002"/>
    <n v="115699.9"/>
    <n v="-22986.026799999992"/>
    <n v="-0.24792435054908257"/>
    <s v="Loss"/>
    <x v="0"/>
    <n v="0.22"/>
    <s v="Cash"/>
    <s v="Retail"/>
    <s v="West-David"/>
    <x v="0"/>
  </r>
  <r>
    <n v="1056"/>
    <x v="236"/>
    <x v="0"/>
    <x v="0"/>
    <n v="35"/>
    <x v="1"/>
    <n v="1"/>
    <n v="2344.9299999999998"/>
    <n v="2707.25"/>
    <n v="2382.38"/>
    <n v="83383.3"/>
    <n v="82072.549999999988"/>
    <n v="1310.7500000000146"/>
    <n v="1.5719574543104128E-2"/>
    <s v="Profit"/>
    <x v="1"/>
    <n v="0.12"/>
    <s v="Credit Card"/>
    <s v="Retail"/>
    <s v="West-Bob"/>
    <x v="0"/>
  </r>
  <r>
    <n v="1056"/>
    <x v="53"/>
    <x v="0"/>
    <x v="1"/>
    <n v="25"/>
    <x v="2"/>
    <n v="1"/>
    <n v="1154.28"/>
    <n v="1408.4"/>
    <n v="999.96400000000006"/>
    <n v="24999.1"/>
    <n v="28857"/>
    <n v="-3857.9000000000015"/>
    <n v="-0.1543215555760008"/>
    <s v="Loss"/>
    <x v="0"/>
    <n v="0.28999999999999998"/>
    <s v="Bank Transfer"/>
    <s v="Retail"/>
    <s v="North-Bob"/>
    <x v="0"/>
  </r>
  <r>
    <n v="1056"/>
    <x v="279"/>
    <x v="0"/>
    <x v="2"/>
    <n v="4"/>
    <x v="0"/>
    <n v="1"/>
    <n v="1612.82"/>
    <n v="1647.25"/>
    <n v="1581.36"/>
    <n v="6325.44"/>
    <n v="6451.28"/>
    <n v="-125.84000000000015"/>
    <n v="-1.9894268224819166E-2"/>
    <s v="Loss"/>
    <x v="0"/>
    <n v="0.04"/>
    <s v="Credit Card"/>
    <s v="Retail"/>
    <s v="East-Bob"/>
    <x v="0"/>
  </r>
  <r>
    <n v="1056"/>
    <x v="68"/>
    <x v="2"/>
    <x v="1"/>
    <n v="37"/>
    <x v="3"/>
    <n v="1"/>
    <n v="1555.41"/>
    <n v="1609.94"/>
    <n v="1352.3496"/>
    <n v="50036.9352"/>
    <n v="57550.170000000006"/>
    <n v="-7513.2348000000056"/>
    <n v="-0.15015377680445954"/>
    <s v="Loss"/>
    <x v="0"/>
    <n v="0.16"/>
    <s v="Credit Card"/>
    <s v="Online"/>
    <s v="North-Eve"/>
    <x v="0"/>
  </r>
  <r>
    <n v="1056"/>
    <x v="280"/>
    <x v="4"/>
    <x v="1"/>
    <n v="10"/>
    <x v="2"/>
    <n v="1"/>
    <n v="536.80999999999995"/>
    <n v="839.92"/>
    <n v="713.9319999999999"/>
    <n v="7139.3199999999988"/>
    <n v="5368.0999999999995"/>
    <n v="1771.2199999999993"/>
    <n v="0.24809365597844046"/>
    <s v="Profit"/>
    <x v="0"/>
    <n v="0.15"/>
    <s v="Bank Transfer"/>
    <s v="Online"/>
    <s v="North-Charlie"/>
    <x v="0"/>
  </r>
  <r>
    <n v="1057"/>
    <x v="174"/>
    <x v="0"/>
    <x v="3"/>
    <n v="12"/>
    <x v="3"/>
    <n v="1"/>
    <n v="1878.3"/>
    <n v="2087.4499999999998"/>
    <n v="1983.0774999999996"/>
    <n v="23796.929999999997"/>
    <n v="22539.599999999999"/>
    <n v="1257.3299999999981"/>
    <n v="5.2835806971739563E-2"/>
    <s v="Profit"/>
    <x v="1"/>
    <n v="0.05"/>
    <s v="Bank Transfer"/>
    <s v="Retail"/>
    <s v="South-Bob"/>
    <x v="0"/>
  </r>
  <r>
    <n v="1057"/>
    <x v="174"/>
    <x v="2"/>
    <x v="2"/>
    <n v="22"/>
    <x v="0"/>
    <n v="1"/>
    <n v="3462.61"/>
    <n v="3672.89"/>
    <n v="2681.2096999999999"/>
    <n v="58986.613400000002"/>
    <n v="76177.42"/>
    <n v="-17190.806599999996"/>
    <n v="-0.29143572768664822"/>
    <s v="Loss"/>
    <x v="0"/>
    <n v="0.27"/>
    <s v="Credit Card"/>
    <s v="Online"/>
    <s v="East-Eve"/>
    <x v="1"/>
  </r>
  <r>
    <n v="1057"/>
    <x v="281"/>
    <x v="0"/>
    <x v="2"/>
    <n v="26"/>
    <x v="2"/>
    <n v="1"/>
    <n v="1291.82"/>
    <n v="1308.44"/>
    <n v="1216.8491999999999"/>
    <n v="31638.0792"/>
    <n v="33587.32"/>
    <n v="-1949.2407999999996"/>
    <n v="-6.1610592339625965E-2"/>
    <s v="Loss"/>
    <x v="0"/>
    <n v="7.0000000000000007E-2"/>
    <s v="Credit Card"/>
    <s v="Online"/>
    <s v="East-Bob"/>
    <x v="0"/>
  </r>
  <r>
    <n v="1057"/>
    <x v="92"/>
    <x v="4"/>
    <x v="2"/>
    <n v="43"/>
    <x v="1"/>
    <n v="1"/>
    <n v="4567.3900000000003"/>
    <n v="4958.78"/>
    <n v="4760.4287999999997"/>
    <n v="204698.43839999998"/>
    <n v="196397.77000000002"/>
    <n v="8300.6683999999659"/>
    <n v="4.0550716775765917E-2"/>
    <s v="Profit"/>
    <x v="1"/>
    <n v="0.04"/>
    <s v="Cash"/>
    <s v="Retail"/>
    <s v="East-Charlie"/>
    <x v="1"/>
  </r>
  <r>
    <n v="1057"/>
    <x v="223"/>
    <x v="4"/>
    <x v="1"/>
    <n v="12"/>
    <x v="1"/>
    <n v="1"/>
    <n v="639.16"/>
    <n v="746.28"/>
    <n v="716.42879999999991"/>
    <n v="8597.1455999999998"/>
    <n v="7669.92"/>
    <n v="927.22559999999976"/>
    <n v="0.1078527273052116"/>
    <s v="Profit"/>
    <x v="0"/>
    <n v="0.04"/>
    <s v="Bank Transfer"/>
    <s v="Retail"/>
    <s v="North-Charlie"/>
    <x v="0"/>
  </r>
  <r>
    <n v="1057"/>
    <x v="59"/>
    <x v="4"/>
    <x v="0"/>
    <n v="25"/>
    <x v="0"/>
    <n v="1"/>
    <n v="1821.91"/>
    <n v="2027.74"/>
    <n v="1987.1851999999999"/>
    <n v="49679.63"/>
    <n v="45547.75"/>
    <n v="4131.8799999999974"/>
    <n v="8.3170506704659392E-2"/>
    <s v="Profit"/>
    <x v="1"/>
    <n v="0.02"/>
    <s v="Bank Transfer"/>
    <s v="Retail"/>
    <s v="West-Charlie"/>
    <x v="0"/>
  </r>
  <r>
    <n v="1057"/>
    <x v="100"/>
    <x v="2"/>
    <x v="3"/>
    <n v="40"/>
    <x v="2"/>
    <n v="1"/>
    <n v="3233.37"/>
    <n v="3723.21"/>
    <n v="2904.1038000000003"/>
    <n v="116164.152"/>
    <n v="129334.79999999999"/>
    <n v="-13170.647999999986"/>
    <n v="-0.11337962506712042"/>
    <s v="Loss"/>
    <x v="1"/>
    <n v="0.22"/>
    <s v="Bank Transfer"/>
    <s v="Retail"/>
    <s v="South-Eve"/>
    <x v="1"/>
  </r>
  <r>
    <n v="1057"/>
    <x v="279"/>
    <x v="0"/>
    <x v="3"/>
    <n v="31"/>
    <x v="1"/>
    <n v="1"/>
    <n v="2403.16"/>
    <n v="2453.35"/>
    <n v="1987.2135000000001"/>
    <n v="61603.618499999997"/>
    <n v="74497.959999999992"/>
    <n v="-12894.341499999995"/>
    <n v="-0.20931143030177676"/>
    <s v="Loss"/>
    <x v="0"/>
    <n v="0.19"/>
    <s v="Credit Card"/>
    <s v="Online"/>
    <s v="South-Bob"/>
    <x v="0"/>
  </r>
  <r>
    <n v="1057"/>
    <x v="239"/>
    <x v="4"/>
    <x v="1"/>
    <n v="36"/>
    <x v="0"/>
    <n v="1"/>
    <n v="4995.3"/>
    <n v="5165.09"/>
    <n v="3925.4684000000002"/>
    <n v="141316.86239999998"/>
    <n v="179830.80000000002"/>
    <n v="-38513.937600000034"/>
    <n v="-0.27253603671857379"/>
    <s v="Loss"/>
    <x v="0"/>
    <n v="0.24"/>
    <s v="Cash"/>
    <s v="Online"/>
    <s v="North-Charlie"/>
    <x v="1"/>
  </r>
  <r>
    <n v="1058"/>
    <x v="167"/>
    <x v="2"/>
    <x v="0"/>
    <n v="39"/>
    <x v="0"/>
    <n v="1"/>
    <n v="3542.8"/>
    <n v="3603.02"/>
    <n v="2666.2348000000002"/>
    <n v="103983.1572"/>
    <n v="138169.20000000001"/>
    <n v="-34186.04280000001"/>
    <n v="-0.32876519352309114"/>
    <s v="Loss"/>
    <x v="0"/>
    <n v="0.26"/>
    <s v="Cash"/>
    <s v="Online"/>
    <s v="West-Eve"/>
    <x v="1"/>
  </r>
  <r>
    <n v="1058"/>
    <x v="167"/>
    <x v="2"/>
    <x v="2"/>
    <n v="49"/>
    <x v="1"/>
    <n v="1"/>
    <n v="1307.22"/>
    <n v="1528.4"/>
    <n v="1161.5840000000001"/>
    <n v="56917.616000000002"/>
    <n v="64053.78"/>
    <n v="-7136.163999999997"/>
    <n v="-0.12537707130952211"/>
    <s v="Loss"/>
    <x v="0"/>
    <n v="0.24"/>
    <s v="Cash"/>
    <s v="Retail"/>
    <s v="East-Eve"/>
    <x v="0"/>
  </r>
  <r>
    <n v="1058"/>
    <x v="282"/>
    <x v="1"/>
    <x v="3"/>
    <n v="9"/>
    <x v="1"/>
    <n v="1"/>
    <n v="760.55"/>
    <n v="1086.8900000000001"/>
    <n v="923.8565000000001"/>
    <n v="8314.7085000000006"/>
    <n v="6844.95"/>
    <n v="1469.7585000000008"/>
    <n v="0.17676608867286217"/>
    <s v="Profit"/>
    <x v="0"/>
    <n v="0.15"/>
    <s v="Cash"/>
    <s v="Retail"/>
    <s v="South-David"/>
    <x v="0"/>
  </r>
  <r>
    <n v="1058"/>
    <x v="197"/>
    <x v="1"/>
    <x v="0"/>
    <n v="42"/>
    <x v="2"/>
    <n v="1"/>
    <n v="3600.95"/>
    <n v="3702.84"/>
    <n v="3665.8116"/>
    <n v="153964.08720000001"/>
    <n v="151239.9"/>
    <n v="2724.1872000000149"/>
    <n v="1.7693653432707877E-2"/>
    <s v="Profit"/>
    <x v="0"/>
    <n v="0.01"/>
    <s v="Cash"/>
    <s v="Retail"/>
    <s v="West-David"/>
    <x v="1"/>
  </r>
  <r>
    <n v="1058"/>
    <x v="258"/>
    <x v="2"/>
    <x v="1"/>
    <n v="48"/>
    <x v="1"/>
    <n v="1"/>
    <n v="2596.7199999999998"/>
    <n v="2715.05"/>
    <n v="2606.4479999999999"/>
    <n v="125109.504"/>
    <n v="124642.56"/>
    <n v="466.94400000000314"/>
    <n v="3.7322824011835516E-3"/>
    <s v="Profit"/>
    <x v="0"/>
    <n v="0.04"/>
    <s v="Cash"/>
    <s v="Online"/>
    <s v="North-Eve"/>
    <x v="0"/>
  </r>
  <r>
    <n v="1058"/>
    <x v="265"/>
    <x v="3"/>
    <x v="1"/>
    <n v="33"/>
    <x v="1"/>
    <n v="1"/>
    <n v="1011.65"/>
    <n v="1084.28"/>
    <n v="1008.3803999999999"/>
    <n v="33276.553199999995"/>
    <n v="33384.449999999997"/>
    <n v="-107.89680000000226"/>
    <n v="-3.2424271633999125E-3"/>
    <s v="Loss"/>
    <x v="0"/>
    <n v="7.0000000000000007E-2"/>
    <s v="Bank Transfer"/>
    <s v="Retail"/>
    <s v="North-Alice"/>
    <x v="0"/>
  </r>
  <r>
    <n v="1058"/>
    <x v="283"/>
    <x v="2"/>
    <x v="3"/>
    <n v="40"/>
    <x v="1"/>
    <n v="1"/>
    <n v="2249.7600000000002"/>
    <n v="2598.4"/>
    <n v="2130.6880000000001"/>
    <n v="85227.520000000004"/>
    <n v="89990.400000000009"/>
    <n v="-4762.8800000000047"/>
    <n v="-5.5884296527694395E-2"/>
    <s v="Loss"/>
    <x v="0"/>
    <n v="0.18"/>
    <s v="Credit Card"/>
    <s v="Retail"/>
    <s v="South-Eve"/>
    <x v="0"/>
  </r>
  <r>
    <n v="1058"/>
    <x v="170"/>
    <x v="2"/>
    <x v="2"/>
    <n v="14"/>
    <x v="3"/>
    <n v="1"/>
    <n v="2703.97"/>
    <n v="2796.88"/>
    <n v="2433.2856000000002"/>
    <n v="34065.998399999997"/>
    <n v="37855.579999999994"/>
    <n v="-3789.5815999999977"/>
    <n v="-0.11124234656219552"/>
    <s v="Loss"/>
    <x v="1"/>
    <n v="0.13"/>
    <s v="Bank Transfer"/>
    <s v="Online"/>
    <s v="East-Eve"/>
    <x v="0"/>
  </r>
  <r>
    <n v="1058"/>
    <x v="178"/>
    <x v="0"/>
    <x v="2"/>
    <n v="6"/>
    <x v="0"/>
    <n v="1"/>
    <n v="4987.71"/>
    <n v="4998.78"/>
    <n v="4148.9874"/>
    <n v="24893.9244"/>
    <n v="29926.260000000002"/>
    <n v="-5032.3356000000022"/>
    <n v="-0.20215115620741589"/>
    <s v="Loss"/>
    <x v="0"/>
    <n v="0.17"/>
    <s v="Cash"/>
    <s v="Retail"/>
    <s v="East-Bob"/>
    <x v="1"/>
  </r>
  <r>
    <n v="1058"/>
    <x v="98"/>
    <x v="2"/>
    <x v="0"/>
    <n v="48"/>
    <x v="2"/>
    <n v="1"/>
    <n v="2614.48"/>
    <n v="3049.04"/>
    <n v="2744.136"/>
    <n v="131718.52799999999"/>
    <n v="125495.04000000001"/>
    <n v="6223.487999999983"/>
    <n v="4.7248387106178284E-2"/>
    <s v="Profit"/>
    <x v="1"/>
    <n v="0.1"/>
    <s v="Credit Card"/>
    <s v="Retail"/>
    <s v="West-Eve"/>
    <x v="1"/>
  </r>
  <r>
    <n v="1058"/>
    <x v="76"/>
    <x v="1"/>
    <x v="1"/>
    <n v="2"/>
    <x v="2"/>
    <n v="1"/>
    <n v="2250.91"/>
    <n v="2558.6799999999998"/>
    <n v="2328.3987999999999"/>
    <n v="4656.7975999999999"/>
    <n v="4501.82"/>
    <n v="154.97760000000017"/>
    <n v="3.327986597484936E-2"/>
    <s v="Profit"/>
    <x v="1"/>
    <n v="0.09"/>
    <s v="Credit Card"/>
    <s v="Retail"/>
    <s v="North-David"/>
    <x v="0"/>
  </r>
  <r>
    <n v="1058"/>
    <x v="117"/>
    <x v="3"/>
    <x v="0"/>
    <n v="15"/>
    <x v="2"/>
    <n v="1"/>
    <n v="894.48"/>
    <n v="1336.37"/>
    <n v="988.91379999999992"/>
    <n v="14833.706999999999"/>
    <n v="13417.2"/>
    <n v="1416.5069999999978"/>
    <n v="9.5492448381244016E-2"/>
    <s v="Profit"/>
    <x v="0"/>
    <n v="0.26"/>
    <s v="Cash"/>
    <s v="Retail"/>
    <s v="West-Alice"/>
    <x v="0"/>
  </r>
  <r>
    <n v="1058"/>
    <x v="252"/>
    <x v="2"/>
    <x v="0"/>
    <n v="29"/>
    <x v="3"/>
    <n v="1"/>
    <n v="3578.77"/>
    <n v="3635.02"/>
    <n v="2908.0160000000001"/>
    <n v="84332.464000000007"/>
    <n v="103784.33"/>
    <n v="-19451.865999999995"/>
    <n v="-0.23065691523017748"/>
    <s v="Loss"/>
    <x v="1"/>
    <n v="0.2"/>
    <s v="Bank Transfer"/>
    <s v="Retail"/>
    <s v="West-Eve"/>
    <x v="1"/>
  </r>
  <r>
    <n v="1058"/>
    <x v="166"/>
    <x v="1"/>
    <x v="1"/>
    <n v="34"/>
    <x v="3"/>
    <n v="1"/>
    <n v="3160.61"/>
    <n v="3273.22"/>
    <n v="3011.3624"/>
    <n v="102386.3216"/>
    <n v="107460.74"/>
    <n v="-5074.4184000000096"/>
    <n v="-4.9561487518074973E-2"/>
    <s v="Loss"/>
    <x v="0"/>
    <n v="0.08"/>
    <s v="Credit Card"/>
    <s v="Retail"/>
    <s v="North-David"/>
    <x v="1"/>
  </r>
  <r>
    <n v="1058"/>
    <x v="35"/>
    <x v="3"/>
    <x v="0"/>
    <n v="44"/>
    <x v="2"/>
    <n v="1"/>
    <n v="1910.47"/>
    <n v="2217.8000000000002"/>
    <n v="1729.8840000000002"/>
    <n v="76114.896000000008"/>
    <n v="84060.680000000008"/>
    <n v="-7945.7839999999997"/>
    <n v="-0.10439197079110506"/>
    <s v="Loss"/>
    <x v="1"/>
    <n v="0.22"/>
    <s v="Bank Transfer"/>
    <s v="Online"/>
    <s v="West-Alice"/>
    <x v="0"/>
  </r>
  <r>
    <n v="1059"/>
    <x v="46"/>
    <x v="2"/>
    <x v="0"/>
    <n v="12"/>
    <x v="0"/>
    <n v="1"/>
    <n v="3496.15"/>
    <n v="3955.75"/>
    <n v="2848.14"/>
    <n v="34177.68"/>
    <n v="41953.8"/>
    <n v="-7776.1200000000026"/>
    <n v="-0.22752041683344226"/>
    <s v="Loss"/>
    <x v="0"/>
    <n v="0.28000000000000003"/>
    <s v="Cash"/>
    <s v="Retail"/>
    <s v="West-Eve"/>
    <x v="1"/>
  </r>
  <r>
    <n v="1059"/>
    <x v="174"/>
    <x v="0"/>
    <x v="0"/>
    <n v="47"/>
    <x v="1"/>
    <n v="1"/>
    <n v="287.17"/>
    <n v="657.44"/>
    <n v="565.39840000000004"/>
    <n v="26573.724800000004"/>
    <n v="13496.990000000002"/>
    <n v="13076.734800000002"/>
    <n v="0.49209265537362684"/>
    <s v="Profit"/>
    <x v="0"/>
    <n v="0.14000000000000001"/>
    <s v="Credit Card"/>
    <s v="Retail"/>
    <s v="West-Bob"/>
    <x v="0"/>
  </r>
  <r>
    <n v="1059"/>
    <x v="266"/>
    <x v="1"/>
    <x v="3"/>
    <n v="17"/>
    <x v="2"/>
    <n v="1"/>
    <n v="1780.14"/>
    <n v="2185.42"/>
    <n v="1857.607"/>
    <n v="31579.319"/>
    <n v="30262.38"/>
    <n v="1316.9389999999985"/>
    <n v="4.1702577563499661E-2"/>
    <s v="Profit"/>
    <x v="0"/>
    <n v="0.15"/>
    <s v="Credit Card"/>
    <s v="Retail"/>
    <s v="South-David"/>
    <x v="0"/>
  </r>
  <r>
    <n v="1059"/>
    <x v="229"/>
    <x v="4"/>
    <x v="3"/>
    <n v="1"/>
    <x v="3"/>
    <n v="1"/>
    <n v="332.62"/>
    <n v="612.46"/>
    <n v="465.46960000000001"/>
    <n v="465.46960000000001"/>
    <n v="332.62"/>
    <n v="132.84960000000001"/>
    <n v="0.28540983127576969"/>
    <s v="Profit"/>
    <x v="0"/>
    <n v="0.24"/>
    <s v="Cash"/>
    <s v="Retail"/>
    <s v="South-Charlie"/>
    <x v="0"/>
  </r>
  <r>
    <n v="1059"/>
    <x v="115"/>
    <x v="3"/>
    <x v="0"/>
    <n v="21"/>
    <x v="2"/>
    <n v="1"/>
    <n v="3110.54"/>
    <n v="3192.99"/>
    <n v="2650.1816999999996"/>
    <n v="55653.815699999992"/>
    <n v="65321.34"/>
    <n v="-9667.5243000000046"/>
    <n v="-0.17370820272436424"/>
    <s v="Loss"/>
    <x v="1"/>
    <n v="0.17"/>
    <s v="Credit Card"/>
    <s v="Online"/>
    <s v="West-Alice"/>
    <x v="1"/>
  </r>
  <r>
    <n v="1059"/>
    <x v="284"/>
    <x v="3"/>
    <x v="1"/>
    <n v="28"/>
    <x v="3"/>
    <n v="1"/>
    <n v="224.32"/>
    <n v="715.06"/>
    <n v="707.90939999999989"/>
    <n v="19821.463199999998"/>
    <n v="6280.96"/>
    <n v="13540.503199999999"/>
    <n v="0.68312329233091129"/>
    <s v="Profit"/>
    <x v="0"/>
    <n v="0.01"/>
    <s v="Credit Card"/>
    <s v="Online"/>
    <s v="North-Alice"/>
    <x v="0"/>
  </r>
  <r>
    <n v="1059"/>
    <x v="22"/>
    <x v="3"/>
    <x v="1"/>
    <n v="37"/>
    <x v="3"/>
    <n v="1"/>
    <n v="4146.99"/>
    <n v="4172.3500000000004"/>
    <n v="3922.009"/>
    <n v="145114.33300000001"/>
    <n v="153438.63"/>
    <n v="-8324.2969999999914"/>
    <n v="-5.7363713341810216E-2"/>
    <s v="Loss"/>
    <x v="0"/>
    <n v="0.06"/>
    <s v="Cash"/>
    <s v="Retail"/>
    <s v="North-Alice"/>
    <x v="1"/>
  </r>
  <r>
    <n v="1059"/>
    <x v="43"/>
    <x v="0"/>
    <x v="1"/>
    <n v="13"/>
    <x v="3"/>
    <n v="1"/>
    <n v="1969.78"/>
    <n v="2437.6999999999998"/>
    <n v="1974.537"/>
    <n v="25668.981"/>
    <n v="25607.14"/>
    <n v="61.841000000000349"/>
    <n v="2.4091723781322037E-3"/>
    <s v="Profit"/>
    <x v="1"/>
    <n v="0.19"/>
    <s v="Credit Card"/>
    <s v="Retail"/>
    <s v="North-Bob"/>
    <x v="0"/>
  </r>
  <r>
    <n v="1059"/>
    <x v="246"/>
    <x v="0"/>
    <x v="3"/>
    <n v="16"/>
    <x v="1"/>
    <n v="1"/>
    <n v="4287.21"/>
    <n v="4464.28"/>
    <n v="3571.424"/>
    <n v="57142.784"/>
    <n v="68595.360000000001"/>
    <n v="-11452.576000000001"/>
    <n v="-0.20042033653803079"/>
    <s v="Loss"/>
    <x v="0"/>
    <n v="0.2"/>
    <s v="Credit Card"/>
    <s v="Retail"/>
    <s v="South-Bob"/>
    <x v="1"/>
  </r>
  <r>
    <n v="1059"/>
    <x v="150"/>
    <x v="3"/>
    <x v="1"/>
    <n v="35"/>
    <x v="0"/>
    <n v="1"/>
    <n v="3333.64"/>
    <n v="3764.52"/>
    <n v="3689.2296000000001"/>
    <n v="129123.03600000001"/>
    <n v="116677.4"/>
    <n v="12445.636000000013"/>
    <n v="9.6385868746146991E-2"/>
    <s v="Profit"/>
    <x v="0"/>
    <n v="0.02"/>
    <s v="Credit Card"/>
    <s v="Online"/>
    <s v="North-Alice"/>
    <x v="1"/>
  </r>
  <r>
    <n v="1060"/>
    <x v="263"/>
    <x v="3"/>
    <x v="3"/>
    <n v="23"/>
    <x v="3"/>
    <n v="1"/>
    <n v="647.70000000000005"/>
    <n v="902.26"/>
    <n v="748.87579999999991"/>
    <n v="17224.143399999997"/>
    <n v="14897.1"/>
    <n v="2327.0433999999968"/>
    <n v="0.13510357792306799"/>
    <s v="Profit"/>
    <x v="1"/>
    <n v="0.17"/>
    <s v="Bank Transfer"/>
    <s v="Online"/>
    <s v="South-Alice"/>
    <x v="0"/>
  </r>
  <r>
    <n v="1060"/>
    <x v="241"/>
    <x v="4"/>
    <x v="0"/>
    <n v="34"/>
    <x v="3"/>
    <n v="1"/>
    <n v="4984.21"/>
    <n v="5184.6400000000003"/>
    <n v="4303.2511999999997"/>
    <n v="146310.54079999999"/>
    <n v="169463.14"/>
    <n v="-23152.599200000026"/>
    <n v="-0.15824286530147272"/>
    <s v="Loss"/>
    <x v="1"/>
    <n v="0.17"/>
    <s v="Cash"/>
    <s v="Online"/>
    <s v="West-Charlie"/>
    <x v="1"/>
  </r>
  <r>
    <n v="1060"/>
    <x v="145"/>
    <x v="1"/>
    <x v="1"/>
    <n v="5"/>
    <x v="1"/>
    <n v="1"/>
    <n v="3970.08"/>
    <n v="4096.4799999999996"/>
    <n v="3563.9375999999997"/>
    <n v="17819.687999999998"/>
    <n v="19850.400000000001"/>
    <n v="-2030.7120000000032"/>
    <n v="-0.11395889759686047"/>
    <s v="Loss"/>
    <x v="0"/>
    <n v="0.13"/>
    <s v="Cash"/>
    <s v="Retail"/>
    <s v="North-David"/>
    <x v="1"/>
  </r>
  <r>
    <n v="1060"/>
    <x v="230"/>
    <x v="4"/>
    <x v="0"/>
    <n v="31"/>
    <x v="3"/>
    <n v="1"/>
    <n v="3161.4"/>
    <n v="3339.66"/>
    <n v="3272.8667999999998"/>
    <n v="101458.87079999999"/>
    <n v="98003.400000000009"/>
    <n v="3455.470799999981"/>
    <n v="3.40578480004134E-2"/>
    <s v="Profit"/>
    <x v="0"/>
    <n v="0.02"/>
    <s v="Bank Transfer"/>
    <s v="Online"/>
    <s v="West-Charlie"/>
    <x v="1"/>
  </r>
  <r>
    <n v="1060"/>
    <x v="285"/>
    <x v="1"/>
    <x v="3"/>
    <n v="44"/>
    <x v="2"/>
    <n v="1"/>
    <n v="2211.9499999999998"/>
    <n v="2512.84"/>
    <n v="2412.3263999999999"/>
    <n v="106142.3616"/>
    <n v="97325.799999999988"/>
    <n v="8816.5616000000155"/>
    <n v="8.3063552262247903E-2"/>
    <s v="Profit"/>
    <x v="0"/>
    <n v="0.04"/>
    <s v="Cash"/>
    <s v="Online"/>
    <s v="South-David"/>
    <x v="0"/>
  </r>
  <r>
    <n v="1060"/>
    <x v="286"/>
    <x v="2"/>
    <x v="2"/>
    <n v="44"/>
    <x v="2"/>
    <n v="1"/>
    <n v="3784.96"/>
    <n v="4276.99"/>
    <n v="4020.3705999999997"/>
    <n v="176896.3064"/>
    <n v="166538.23999999999"/>
    <n v="10358.066400000011"/>
    <n v="5.8554452666627357E-2"/>
    <s v="Profit"/>
    <x v="1"/>
    <n v="0.06"/>
    <s v="Bank Transfer"/>
    <s v="Retail"/>
    <s v="East-Eve"/>
    <x v="1"/>
  </r>
  <r>
    <n v="1060"/>
    <x v="82"/>
    <x v="0"/>
    <x v="3"/>
    <n v="3"/>
    <x v="3"/>
    <n v="1"/>
    <n v="1190.4100000000001"/>
    <n v="1582.89"/>
    <n v="1551.2322000000001"/>
    <n v="4653.6966000000002"/>
    <n v="3571.2300000000005"/>
    <n v="1082.4665999999997"/>
    <n v="0.23260360376737918"/>
    <s v="Profit"/>
    <x v="1"/>
    <n v="0.02"/>
    <s v="Credit Card"/>
    <s v="Retail"/>
    <s v="South-Bob"/>
    <x v="0"/>
  </r>
  <r>
    <n v="1060"/>
    <x v="67"/>
    <x v="0"/>
    <x v="2"/>
    <n v="16"/>
    <x v="2"/>
    <n v="1"/>
    <n v="3975.99"/>
    <n v="4422.59"/>
    <n v="3361.1684"/>
    <n v="53778.6944"/>
    <n v="63615.839999999997"/>
    <n v="-9837.1455999999962"/>
    <n v="-0.18291901113910264"/>
    <s v="Loss"/>
    <x v="1"/>
    <n v="0.24"/>
    <s v="Cash"/>
    <s v="Online"/>
    <s v="East-Bob"/>
    <x v="1"/>
  </r>
  <r>
    <n v="1060"/>
    <x v="100"/>
    <x v="0"/>
    <x v="1"/>
    <n v="11"/>
    <x v="1"/>
    <n v="1"/>
    <n v="3648.04"/>
    <n v="4143.51"/>
    <n v="3439.1133"/>
    <n v="37830.246299999999"/>
    <n v="40128.44"/>
    <n v="-2298.1937000000034"/>
    <n v="-6.075016487534747E-2"/>
    <s v="Loss"/>
    <x v="0"/>
    <n v="0.17"/>
    <s v="Credit Card"/>
    <s v="Retail"/>
    <s v="North-Bob"/>
    <x v="1"/>
  </r>
  <r>
    <n v="1060"/>
    <x v="77"/>
    <x v="2"/>
    <x v="2"/>
    <n v="23"/>
    <x v="2"/>
    <n v="1"/>
    <n v="4110.6000000000004"/>
    <n v="4488.37"/>
    <n v="3949.7655999999997"/>
    <n v="90844.608800000002"/>
    <n v="94543.8"/>
    <n v="-3699.1912000000011"/>
    <n v="-4.0719986016385386E-2"/>
    <s v="Loss"/>
    <x v="1"/>
    <n v="0.12"/>
    <s v="Credit Card"/>
    <s v="Online"/>
    <s v="East-Eve"/>
    <x v="1"/>
  </r>
  <r>
    <n v="1060"/>
    <x v="172"/>
    <x v="0"/>
    <x v="0"/>
    <n v="46"/>
    <x v="2"/>
    <n v="1"/>
    <n v="1747.05"/>
    <n v="1830.27"/>
    <n v="1555.7294999999999"/>
    <n v="71563.557000000001"/>
    <n v="80364.3"/>
    <n v="-8800.7430000000022"/>
    <n v="-0.12297799842453334"/>
    <s v="Loss"/>
    <x v="1"/>
    <n v="0.15"/>
    <s v="Bank Transfer"/>
    <s v="Retail"/>
    <s v="West-Bob"/>
    <x v="0"/>
  </r>
  <r>
    <n v="1061"/>
    <x v="118"/>
    <x v="0"/>
    <x v="3"/>
    <n v="41"/>
    <x v="1"/>
    <n v="1"/>
    <n v="2894.18"/>
    <n v="3193.92"/>
    <n v="2299.6223999999997"/>
    <n v="94284.518400000001"/>
    <n v="118661.37999999999"/>
    <n v="-24376.861599999989"/>
    <n v="-0.25854575081543812"/>
    <s v="Loss"/>
    <x v="1"/>
    <n v="0.28000000000000003"/>
    <s v="Bank Transfer"/>
    <s v="Retail"/>
    <s v="South-Bob"/>
    <x v="1"/>
  </r>
  <r>
    <n v="1061"/>
    <x v="65"/>
    <x v="4"/>
    <x v="2"/>
    <n v="29"/>
    <x v="2"/>
    <n v="1"/>
    <n v="1221.74"/>
    <n v="1611.92"/>
    <n v="1370.1320000000001"/>
    <n v="39733.828000000001"/>
    <n v="35430.46"/>
    <n v="4303.3680000000022"/>
    <n v="0.10830489325116126"/>
    <s v="Profit"/>
    <x v="1"/>
    <n v="0.15"/>
    <s v="Cash"/>
    <s v="Retail"/>
    <s v="East-Charlie"/>
    <x v="0"/>
  </r>
  <r>
    <n v="1061"/>
    <x v="205"/>
    <x v="0"/>
    <x v="3"/>
    <n v="11"/>
    <x v="2"/>
    <n v="1"/>
    <n v="2594.71"/>
    <n v="2769.52"/>
    <n v="2741.8247999999999"/>
    <n v="30160.072800000002"/>
    <n v="28541.81"/>
    <n v="1618.2628000000004"/>
    <n v="5.3655798867965607E-2"/>
    <s v="Profit"/>
    <x v="0"/>
    <n v="0.01"/>
    <s v="Bank Transfer"/>
    <s v="Retail"/>
    <s v="South-Bob"/>
    <x v="0"/>
  </r>
  <r>
    <n v="1061"/>
    <x v="95"/>
    <x v="3"/>
    <x v="1"/>
    <n v="32"/>
    <x v="0"/>
    <n v="1"/>
    <n v="2759.26"/>
    <n v="3193.25"/>
    <n v="2554.6000000000004"/>
    <n v="81747.200000000012"/>
    <n v="88296.320000000007"/>
    <n v="-6549.1199999999953"/>
    <n v="-8.0114303609175541E-2"/>
    <s v="Loss"/>
    <x v="1"/>
    <n v="0.2"/>
    <s v="Bank Transfer"/>
    <s v="Online"/>
    <s v="North-Alice"/>
    <x v="1"/>
  </r>
  <r>
    <n v="1061"/>
    <x v="122"/>
    <x v="2"/>
    <x v="2"/>
    <n v="37"/>
    <x v="1"/>
    <n v="1"/>
    <n v="4651.7700000000004"/>
    <n v="4984.3900000000003"/>
    <n v="4386.2632000000003"/>
    <n v="162291.73840000003"/>
    <n v="172115.49000000002"/>
    <n v="-9823.7515999999887"/>
    <n v="-6.0531433681407822E-2"/>
    <s v="Loss"/>
    <x v="0"/>
    <n v="0.12"/>
    <s v="Cash"/>
    <s v="Retail"/>
    <s v="East-Eve"/>
    <x v="1"/>
  </r>
  <r>
    <n v="1061"/>
    <x v="96"/>
    <x v="2"/>
    <x v="1"/>
    <n v="47"/>
    <x v="3"/>
    <n v="1"/>
    <n v="146.27000000000001"/>
    <n v="498.46"/>
    <n v="468.55239999999998"/>
    <n v="22021.962799999998"/>
    <n v="6874.6900000000005"/>
    <n v="15147.272799999997"/>
    <n v="0.68782573731347862"/>
    <s v="Profit"/>
    <x v="1"/>
    <n v="0.06"/>
    <s v="Cash"/>
    <s v="Retail"/>
    <s v="North-Eve"/>
    <x v="0"/>
  </r>
  <r>
    <n v="1061"/>
    <x v="124"/>
    <x v="4"/>
    <x v="3"/>
    <n v="25"/>
    <x v="0"/>
    <n v="1"/>
    <n v="2747.66"/>
    <n v="3027.01"/>
    <n v="2330.7977000000001"/>
    <n v="58269.942500000005"/>
    <n v="68691.5"/>
    <n v="-10421.557499999995"/>
    <n v="-0.17884962731857842"/>
    <s v="Loss"/>
    <x v="1"/>
    <n v="0.23"/>
    <s v="Cash"/>
    <s v="Online"/>
    <s v="South-Charlie"/>
    <x v="1"/>
  </r>
  <r>
    <n v="1061"/>
    <x v="287"/>
    <x v="3"/>
    <x v="2"/>
    <n v="34"/>
    <x v="2"/>
    <n v="1"/>
    <n v="2680.82"/>
    <n v="2771.02"/>
    <n v="2216.8160000000003"/>
    <n v="75371.743999999992"/>
    <n v="91147.88"/>
    <n v="-15776.136000000013"/>
    <n v="-0.2093110118295792"/>
    <s v="Loss"/>
    <x v="1"/>
    <n v="0.2"/>
    <s v="Bank Transfer"/>
    <s v="Online"/>
    <s v="East-Alice"/>
    <x v="0"/>
  </r>
  <r>
    <n v="1061"/>
    <x v="23"/>
    <x v="2"/>
    <x v="3"/>
    <n v="39"/>
    <x v="3"/>
    <n v="1"/>
    <n v="3494.19"/>
    <n v="3746"/>
    <n v="2809.5"/>
    <n v="109570.5"/>
    <n v="136273.41"/>
    <n v="-26702.910000000003"/>
    <n v="-0.24370528563801391"/>
    <s v="Loss"/>
    <x v="0"/>
    <n v="0.25"/>
    <s v="Bank Transfer"/>
    <s v="Retail"/>
    <s v="South-Eve"/>
    <x v="1"/>
  </r>
  <r>
    <n v="1061"/>
    <x v="13"/>
    <x v="3"/>
    <x v="1"/>
    <n v="45"/>
    <x v="2"/>
    <n v="1"/>
    <n v="1364.51"/>
    <n v="1844.8"/>
    <n v="1512.7360000000001"/>
    <n v="68073.12000000001"/>
    <n v="61402.95"/>
    <n v="6670.1700000000128"/>
    <n v="9.7985372199775947E-2"/>
    <s v="Profit"/>
    <x v="0"/>
    <n v="0.18"/>
    <s v="Cash"/>
    <s v="Online"/>
    <s v="North-Alice"/>
    <x v="0"/>
  </r>
  <r>
    <n v="1061"/>
    <x v="288"/>
    <x v="4"/>
    <x v="2"/>
    <n v="13"/>
    <x v="3"/>
    <n v="1"/>
    <n v="637.37"/>
    <n v="692.71"/>
    <n v="637.29320000000007"/>
    <n v="8284.8115999999991"/>
    <n v="8285.81"/>
    <n v="-0.99840000000040163"/>
    <n v="-1.2050968063056518E-4"/>
    <s v="Loss"/>
    <x v="1"/>
    <n v="0.08"/>
    <s v="Credit Card"/>
    <s v="Online"/>
    <s v="East-Charlie"/>
    <x v="0"/>
  </r>
  <r>
    <n v="1061"/>
    <x v="91"/>
    <x v="0"/>
    <x v="2"/>
    <n v="38"/>
    <x v="1"/>
    <n v="1"/>
    <n v="4440.8599999999997"/>
    <n v="4506.8100000000004"/>
    <n v="3425.1756000000005"/>
    <n v="130156.67280000003"/>
    <n v="168752.68"/>
    <n v="-38596.007199999964"/>
    <n v="-0.29653498641062337"/>
    <s v="Loss"/>
    <x v="0"/>
    <n v="0.24"/>
    <s v="Bank Transfer"/>
    <s v="Online"/>
    <s v="East-Bob"/>
    <x v="1"/>
  </r>
  <r>
    <n v="1062"/>
    <x v="80"/>
    <x v="0"/>
    <x v="2"/>
    <n v="36"/>
    <x v="0"/>
    <n v="1"/>
    <n v="1050.6400000000001"/>
    <n v="1167.33"/>
    <n v="910.51739999999995"/>
    <n v="32778.626400000001"/>
    <n v="37823.040000000001"/>
    <n v="-5044.4135999999999"/>
    <n v="-0.15389337974211145"/>
    <s v="Loss"/>
    <x v="1"/>
    <n v="0.22"/>
    <s v="Cash"/>
    <s v="Online"/>
    <s v="East-Bob"/>
    <x v="0"/>
  </r>
  <r>
    <n v="1062"/>
    <x v="46"/>
    <x v="0"/>
    <x v="2"/>
    <n v="10"/>
    <x v="2"/>
    <n v="1"/>
    <n v="1524.88"/>
    <n v="1636.14"/>
    <n v="1308.9120000000003"/>
    <n v="13089.120000000003"/>
    <n v="15248.800000000001"/>
    <n v="-2159.6799999999985"/>
    <n v="-0.1649981052966126"/>
    <s v="Loss"/>
    <x v="1"/>
    <n v="0.2"/>
    <s v="Bank Transfer"/>
    <s v="Online"/>
    <s v="East-Bob"/>
    <x v="0"/>
  </r>
  <r>
    <n v="1062"/>
    <x v="265"/>
    <x v="0"/>
    <x v="1"/>
    <n v="48"/>
    <x v="0"/>
    <n v="1"/>
    <n v="2487.19"/>
    <n v="2521.4499999999998"/>
    <n v="1790.2294999999997"/>
    <n v="85931.015999999989"/>
    <n v="119385.12"/>
    <n v="-33454.104000000007"/>
    <n v="-0.38931349304656204"/>
    <s v="Loss"/>
    <x v="1"/>
    <n v="0.28999999999999998"/>
    <s v="Cash"/>
    <s v="Online"/>
    <s v="North-Bob"/>
    <x v="0"/>
  </r>
  <r>
    <n v="1062"/>
    <x v="289"/>
    <x v="2"/>
    <x v="3"/>
    <n v="26"/>
    <x v="2"/>
    <n v="1"/>
    <n v="992.17"/>
    <n v="1263.49"/>
    <n v="947.61750000000006"/>
    <n v="24638.055"/>
    <n v="25796.42"/>
    <n v="-1158.364999999998"/>
    <n v="-4.7015277788770175E-2"/>
    <s v="Loss"/>
    <x v="0"/>
    <n v="0.25"/>
    <s v="Bank Transfer"/>
    <s v="Retail"/>
    <s v="South-Eve"/>
    <x v="0"/>
  </r>
  <r>
    <n v="1062"/>
    <x v="290"/>
    <x v="2"/>
    <x v="2"/>
    <n v="15"/>
    <x v="2"/>
    <n v="1"/>
    <n v="4756.55"/>
    <n v="4888.46"/>
    <n v="3470.8065999999999"/>
    <n v="52062.098999999995"/>
    <n v="71348.25"/>
    <n v="-19286.151000000005"/>
    <n v="-0.37044512938289342"/>
    <s v="Loss"/>
    <x v="1"/>
    <n v="0.28999999999999998"/>
    <s v="Credit Card"/>
    <s v="Online"/>
    <s v="East-Eve"/>
    <x v="1"/>
  </r>
  <r>
    <n v="1062"/>
    <x v="57"/>
    <x v="1"/>
    <x v="2"/>
    <n v="25"/>
    <x v="0"/>
    <n v="1"/>
    <n v="2361.0500000000002"/>
    <n v="2616.19"/>
    <n v="1831.3329999999999"/>
    <n v="45783.324999999997"/>
    <n v="59026.250000000007"/>
    <n v="-13242.92500000001"/>
    <n v="-0.28925214584130821"/>
    <s v="Loss"/>
    <x v="1"/>
    <n v="0.3"/>
    <s v="Bank Transfer"/>
    <s v="Retail"/>
    <s v="East-David"/>
    <x v="0"/>
  </r>
  <r>
    <n v="1062"/>
    <x v="267"/>
    <x v="0"/>
    <x v="2"/>
    <n v="4"/>
    <x v="3"/>
    <n v="1"/>
    <n v="1581.59"/>
    <n v="2034.15"/>
    <n v="1606.9785000000002"/>
    <n v="6427.9140000000007"/>
    <n v="6326.36"/>
    <n v="101.554000000001"/>
    <n v="1.5798904590198466E-2"/>
    <s v="Profit"/>
    <x v="0"/>
    <n v="0.21"/>
    <s v="Cash"/>
    <s v="Online"/>
    <s v="East-Bob"/>
    <x v="0"/>
  </r>
  <r>
    <n v="1062"/>
    <x v="159"/>
    <x v="1"/>
    <x v="0"/>
    <n v="11"/>
    <x v="3"/>
    <n v="1"/>
    <n v="1190.08"/>
    <n v="1292.94"/>
    <n v="1124.8578"/>
    <n v="12373.435799999999"/>
    <n v="13090.88"/>
    <n v="-717.44419999999991"/>
    <n v="-5.7982617891790406E-2"/>
    <s v="Loss"/>
    <x v="0"/>
    <n v="0.13"/>
    <s v="Cash"/>
    <s v="Retail"/>
    <s v="West-David"/>
    <x v="0"/>
  </r>
  <r>
    <n v="1062"/>
    <x v="7"/>
    <x v="2"/>
    <x v="3"/>
    <n v="9"/>
    <x v="3"/>
    <n v="1"/>
    <n v="1468.05"/>
    <n v="1838.21"/>
    <n v="1562.4784999999999"/>
    <n v="14062.306499999999"/>
    <n v="13212.449999999999"/>
    <n v="849.85649999999987"/>
    <n v="6.043507158658503E-2"/>
    <s v="Profit"/>
    <x v="1"/>
    <n v="0.15"/>
    <s v="Bank Transfer"/>
    <s v="Retail"/>
    <s v="South-Eve"/>
    <x v="0"/>
  </r>
  <r>
    <n v="1062"/>
    <x v="163"/>
    <x v="3"/>
    <x v="2"/>
    <n v="24"/>
    <x v="0"/>
    <n v="1"/>
    <n v="3018.01"/>
    <n v="3418.19"/>
    <n v="2632.0063"/>
    <n v="63168.1512"/>
    <n v="72432.240000000005"/>
    <n v="-9264.088800000005"/>
    <n v="-0.14665758968738038"/>
    <s v="Loss"/>
    <x v="0"/>
    <n v="0.23"/>
    <s v="Bank Transfer"/>
    <s v="Retail"/>
    <s v="East-Alice"/>
    <x v="1"/>
  </r>
  <r>
    <n v="1062"/>
    <x v="231"/>
    <x v="1"/>
    <x v="0"/>
    <n v="45"/>
    <x v="1"/>
    <n v="1"/>
    <n v="4849.6000000000004"/>
    <n v="5166.72"/>
    <n v="3875.04"/>
    <n v="174376.80000000002"/>
    <n v="218232.00000000003"/>
    <n v="-43855.200000000012"/>
    <n v="-0.2514967587431356"/>
    <s v="Loss"/>
    <x v="0"/>
    <n v="0.25"/>
    <s v="Credit Card"/>
    <s v="Online"/>
    <s v="West-David"/>
    <x v="1"/>
  </r>
  <r>
    <n v="1062"/>
    <x v="291"/>
    <x v="4"/>
    <x v="1"/>
    <n v="46"/>
    <x v="1"/>
    <n v="1"/>
    <n v="159.32"/>
    <n v="303.36"/>
    <n v="294.25920000000002"/>
    <n v="13535.923200000001"/>
    <n v="7328.7199999999993"/>
    <n v="6207.2032000000017"/>
    <n v="0.45857257818956904"/>
    <s v="Profit"/>
    <x v="1"/>
    <n v="0.03"/>
    <s v="Cash"/>
    <s v="Retail"/>
    <s v="North-Charlie"/>
    <x v="0"/>
  </r>
  <r>
    <n v="1062"/>
    <x v="292"/>
    <x v="4"/>
    <x v="1"/>
    <n v="28"/>
    <x v="2"/>
    <n v="1"/>
    <n v="2094.88"/>
    <n v="2168.91"/>
    <n v="1995.3971999999999"/>
    <n v="55871.121599999999"/>
    <n v="58656.639999999999"/>
    <n v="-2785.5184000000008"/>
    <n v="-4.9856138918106148E-2"/>
    <s v="Loss"/>
    <x v="0"/>
    <n v="0.08"/>
    <s v="Cash"/>
    <s v="Retail"/>
    <s v="North-Charlie"/>
    <x v="0"/>
  </r>
  <r>
    <n v="1062"/>
    <x v="40"/>
    <x v="3"/>
    <x v="2"/>
    <n v="12"/>
    <x v="1"/>
    <n v="1"/>
    <n v="1088.99"/>
    <n v="1545"/>
    <n v="1483.2"/>
    <n v="17798.399999999998"/>
    <n v="13067.880000000001"/>
    <n v="4730.5199999999968"/>
    <n v="0.26578344120819836"/>
    <s v="Profit"/>
    <x v="0"/>
    <n v="0.04"/>
    <s v="Bank Transfer"/>
    <s v="Retail"/>
    <s v="East-Alice"/>
    <x v="0"/>
  </r>
  <r>
    <n v="1062"/>
    <x v="293"/>
    <x v="4"/>
    <x v="1"/>
    <n v="10"/>
    <x v="3"/>
    <n v="1"/>
    <n v="2940.4"/>
    <n v="3054.79"/>
    <n v="2810.4068000000002"/>
    <n v="28104.068000000003"/>
    <n v="29404"/>
    <n v="-1299.9319999999971"/>
    <n v="-4.62542291030607E-2"/>
    <s v="Loss"/>
    <x v="0"/>
    <n v="0.08"/>
    <s v="Credit Card"/>
    <s v="Online"/>
    <s v="North-Charlie"/>
    <x v="1"/>
  </r>
  <r>
    <n v="1062"/>
    <x v="276"/>
    <x v="2"/>
    <x v="1"/>
    <n v="48"/>
    <x v="3"/>
    <n v="1"/>
    <n v="1679.69"/>
    <n v="1939.04"/>
    <n v="1764.5264"/>
    <n v="84697.267200000002"/>
    <n v="80625.119999999995"/>
    <n v="4072.1472000000067"/>
    <n v="4.80788499395646E-2"/>
    <s v="Profit"/>
    <x v="1"/>
    <n v="0.09"/>
    <s v="Credit Card"/>
    <s v="Online"/>
    <s v="North-Eve"/>
    <x v="0"/>
  </r>
  <r>
    <n v="1062"/>
    <x v="124"/>
    <x v="1"/>
    <x v="1"/>
    <n v="37"/>
    <x v="3"/>
    <n v="1"/>
    <n v="4658.4399999999996"/>
    <n v="4823.5"/>
    <n v="4148.21"/>
    <n v="153483.76999999999"/>
    <n v="172362.28"/>
    <n v="-18878.510000000009"/>
    <n v="-0.12300004098153186"/>
    <s v="Loss"/>
    <x v="0"/>
    <n v="0.14000000000000001"/>
    <s v="Credit Card"/>
    <s v="Online"/>
    <s v="North-David"/>
    <x v="1"/>
  </r>
  <r>
    <n v="1062"/>
    <x v="294"/>
    <x v="1"/>
    <x v="3"/>
    <n v="44"/>
    <x v="3"/>
    <n v="1"/>
    <n v="987.74"/>
    <n v="1462.19"/>
    <n v="1111.2644"/>
    <n v="48895.633600000001"/>
    <n v="43460.56"/>
    <n v="5435.0736000000034"/>
    <n v="0.11115662483203824"/>
    <s v="Profit"/>
    <x v="1"/>
    <n v="0.24"/>
    <s v="Bank Transfer"/>
    <s v="Online"/>
    <s v="South-David"/>
    <x v="0"/>
  </r>
  <r>
    <n v="1062"/>
    <x v="62"/>
    <x v="0"/>
    <x v="3"/>
    <n v="28"/>
    <x v="3"/>
    <n v="1"/>
    <n v="933.16"/>
    <n v="1004.7"/>
    <n v="823.85400000000016"/>
    <n v="23067.912000000004"/>
    <n v="26128.48"/>
    <n v="-3060.5679999999957"/>
    <n v="-0.13267642082213574"/>
    <s v="Loss"/>
    <x v="0"/>
    <n v="0.18"/>
    <s v="Bank Transfer"/>
    <s v="Online"/>
    <s v="South-Bob"/>
    <x v="0"/>
  </r>
  <r>
    <n v="1063"/>
    <x v="227"/>
    <x v="0"/>
    <x v="3"/>
    <n v="4"/>
    <x v="3"/>
    <n v="1"/>
    <n v="1046.26"/>
    <n v="1475.29"/>
    <n v="1342.5138999999999"/>
    <n v="5370.0555999999997"/>
    <n v="4185.04"/>
    <n v="1185.0155999999997"/>
    <n v="0.22067101130200584"/>
    <s v="Profit"/>
    <x v="0"/>
    <n v="0.09"/>
    <s v="Bank Transfer"/>
    <s v="Retail"/>
    <s v="South-Bob"/>
    <x v="0"/>
  </r>
  <r>
    <n v="1063"/>
    <x v="110"/>
    <x v="1"/>
    <x v="3"/>
    <n v="14"/>
    <x v="2"/>
    <n v="1"/>
    <n v="2188.35"/>
    <n v="2605.36"/>
    <n v="2084.288"/>
    <n v="29180.032000000003"/>
    <n v="30636.899999999998"/>
    <n v="-1456.8679999999949"/>
    <n v="-4.9926881505818595E-2"/>
    <s v="Loss"/>
    <x v="0"/>
    <n v="0.2"/>
    <s v="Credit Card"/>
    <s v="Retail"/>
    <s v="South-David"/>
    <x v="0"/>
  </r>
  <r>
    <n v="1063"/>
    <x v="295"/>
    <x v="3"/>
    <x v="3"/>
    <n v="27"/>
    <x v="0"/>
    <n v="1"/>
    <n v="2069.08"/>
    <n v="2246.2399999999998"/>
    <n v="2111.4655999999995"/>
    <n v="57009.571199999991"/>
    <n v="55865.159999999996"/>
    <n v="1144.411199999995"/>
    <n v="2.007401872898134E-2"/>
    <s v="Profit"/>
    <x v="1"/>
    <n v="0.06"/>
    <s v="Bank Transfer"/>
    <s v="Retail"/>
    <s v="South-Alice"/>
    <x v="0"/>
  </r>
  <r>
    <n v="1063"/>
    <x v="4"/>
    <x v="1"/>
    <x v="2"/>
    <n v="47"/>
    <x v="3"/>
    <n v="1"/>
    <n v="4291.33"/>
    <n v="4658.6400000000003"/>
    <n v="3540.5664000000002"/>
    <n v="166406.6208"/>
    <n v="201692.51"/>
    <n v="-35285.889200000005"/>
    <n v="-0.21204618560465358"/>
    <s v="Loss"/>
    <x v="1"/>
    <n v="0.24"/>
    <s v="Credit Card"/>
    <s v="Retail"/>
    <s v="East-David"/>
    <x v="1"/>
  </r>
  <r>
    <n v="1063"/>
    <x v="296"/>
    <x v="4"/>
    <x v="1"/>
    <n v="40"/>
    <x v="3"/>
    <n v="1"/>
    <n v="2101.3200000000002"/>
    <n v="2440.63"/>
    <n v="1806.0662"/>
    <n v="72242.648000000001"/>
    <n v="84052.800000000003"/>
    <n v="-11810.152000000002"/>
    <n v="-0.16347894667426921"/>
    <s v="Loss"/>
    <x v="1"/>
    <n v="0.26"/>
    <s v="Bank Transfer"/>
    <s v="Retail"/>
    <s v="North-Charlie"/>
    <x v="0"/>
  </r>
  <r>
    <n v="1063"/>
    <x v="105"/>
    <x v="0"/>
    <x v="1"/>
    <n v="27"/>
    <x v="2"/>
    <n v="1"/>
    <n v="3760.25"/>
    <n v="4147.1099999999997"/>
    <n v="3234.7457999999997"/>
    <n v="87338.136599999998"/>
    <n v="101526.75"/>
    <n v="-14188.613400000002"/>
    <n v="-0.1624561039695917"/>
    <s v="Loss"/>
    <x v="1"/>
    <n v="0.22"/>
    <s v="Cash"/>
    <s v="Online"/>
    <s v="North-Bob"/>
    <x v="1"/>
  </r>
  <r>
    <n v="1063"/>
    <x v="213"/>
    <x v="3"/>
    <x v="2"/>
    <n v="26"/>
    <x v="0"/>
    <n v="1"/>
    <n v="1046.96"/>
    <n v="1528.15"/>
    <n v="1421.1795"/>
    <n v="36950.667000000001"/>
    <n v="27220.959999999999"/>
    <n v="9729.7070000000022"/>
    <n v="0.26331613986832775"/>
    <s v="Profit"/>
    <x v="1"/>
    <n v="7.0000000000000007E-2"/>
    <s v="Credit Card"/>
    <s v="Retail"/>
    <s v="East-Alice"/>
    <x v="0"/>
  </r>
  <r>
    <n v="1063"/>
    <x v="122"/>
    <x v="4"/>
    <x v="1"/>
    <n v="4"/>
    <x v="2"/>
    <n v="1"/>
    <n v="1134.67"/>
    <n v="1201.3900000000001"/>
    <n v="840.97300000000007"/>
    <n v="3363.8920000000003"/>
    <n v="4538.68"/>
    <n v="-1174.788"/>
    <n v="-0.34923475545588262"/>
    <s v="Loss"/>
    <x v="1"/>
    <n v="0.3"/>
    <s v="Bank Transfer"/>
    <s v="Retail"/>
    <s v="North-Charlie"/>
    <x v="0"/>
  </r>
  <r>
    <n v="1063"/>
    <x v="297"/>
    <x v="0"/>
    <x v="0"/>
    <n v="39"/>
    <x v="0"/>
    <n v="1"/>
    <n v="3577.69"/>
    <n v="3931.25"/>
    <n v="3105.6875"/>
    <n v="121121.8125"/>
    <n v="139529.91"/>
    <n v="-18408.097500000003"/>
    <n v="-0.15198003662635087"/>
    <s v="Loss"/>
    <x v="0"/>
    <n v="0.21"/>
    <s v="Cash"/>
    <s v="Retail"/>
    <s v="West-Bob"/>
    <x v="1"/>
  </r>
  <r>
    <n v="1063"/>
    <x v="202"/>
    <x v="4"/>
    <x v="0"/>
    <n v="46"/>
    <x v="1"/>
    <n v="1"/>
    <n v="2302.62"/>
    <n v="2740.93"/>
    <n v="2055.6974999999998"/>
    <n v="94562.084999999992"/>
    <n v="105920.51999999999"/>
    <n v="-11358.434999999998"/>
    <n v="-0.12011616495131214"/>
    <s v="Loss"/>
    <x v="0"/>
    <n v="0.25"/>
    <s v="Bank Transfer"/>
    <s v="Online"/>
    <s v="West-Charlie"/>
    <x v="0"/>
  </r>
  <r>
    <n v="1063"/>
    <x v="141"/>
    <x v="0"/>
    <x v="2"/>
    <n v="32"/>
    <x v="3"/>
    <n v="1"/>
    <n v="975.31"/>
    <n v="1176.17"/>
    <n v="917.41260000000011"/>
    <n v="29357.203200000004"/>
    <n v="31209.919999999998"/>
    <n v="-1852.7167999999947"/>
    <n v="-6.3109444976011689E-2"/>
    <s v="Loss"/>
    <x v="1"/>
    <n v="0.22"/>
    <s v="Bank Transfer"/>
    <s v="Retail"/>
    <s v="East-Bob"/>
    <x v="0"/>
  </r>
  <r>
    <n v="1063"/>
    <x v="41"/>
    <x v="0"/>
    <x v="3"/>
    <n v="25"/>
    <x v="3"/>
    <n v="1"/>
    <n v="3997.1"/>
    <n v="4212.6499999999996"/>
    <n v="3285.8669999999997"/>
    <n v="82146.674999999988"/>
    <n v="99927.5"/>
    <n v="-17780.825000000012"/>
    <n v="-0.21645215707148238"/>
    <s v="Loss"/>
    <x v="1"/>
    <n v="0.22"/>
    <s v="Cash"/>
    <s v="Online"/>
    <s v="South-Bob"/>
    <x v="1"/>
  </r>
  <r>
    <n v="1063"/>
    <x v="248"/>
    <x v="4"/>
    <x v="3"/>
    <n v="42"/>
    <x v="0"/>
    <n v="1"/>
    <n v="1170.07"/>
    <n v="1669.95"/>
    <n v="1469.556"/>
    <n v="61721.352000000006"/>
    <n v="49142.939999999995"/>
    <n v="12578.412000000011"/>
    <n v="0.20379352675229814"/>
    <s v="Profit"/>
    <x v="0"/>
    <n v="0.12"/>
    <s v="Bank Transfer"/>
    <s v="Retail"/>
    <s v="South-Charlie"/>
    <x v="0"/>
  </r>
  <r>
    <n v="1064"/>
    <x v="298"/>
    <x v="1"/>
    <x v="3"/>
    <n v="10"/>
    <x v="3"/>
    <n v="1"/>
    <n v="2242.0100000000002"/>
    <n v="2282.23"/>
    <n v="1825.7840000000001"/>
    <n v="18257.84"/>
    <n v="22420.100000000002"/>
    <n v="-4162.260000000002"/>
    <n v="-0.22797110720654809"/>
    <s v="Loss"/>
    <x v="0"/>
    <n v="0.2"/>
    <s v="Credit Card"/>
    <s v="Online"/>
    <s v="South-David"/>
    <x v="0"/>
  </r>
  <r>
    <n v="1064"/>
    <x v="16"/>
    <x v="2"/>
    <x v="2"/>
    <n v="10"/>
    <x v="3"/>
    <n v="1"/>
    <n v="4764.96"/>
    <n v="5074.42"/>
    <n v="4465.4895999999999"/>
    <n v="44654.896000000001"/>
    <n v="47649.599999999999"/>
    <n v="-2994.7039999999979"/>
    <n v="-6.7063284617211921E-2"/>
    <s v="Loss"/>
    <x v="1"/>
    <n v="0.12"/>
    <s v="Cash"/>
    <s v="Online"/>
    <s v="East-Eve"/>
    <x v="1"/>
  </r>
  <r>
    <n v="1064"/>
    <x v="135"/>
    <x v="0"/>
    <x v="3"/>
    <n v="5"/>
    <x v="0"/>
    <n v="1"/>
    <n v="421.05"/>
    <n v="488.23"/>
    <n v="454.0539"/>
    <n v="2270.2694999999999"/>
    <n v="2105.25"/>
    <n v="165.01949999999988"/>
    <n v="7.2687185376009281E-2"/>
    <s v="Profit"/>
    <x v="0"/>
    <n v="7.0000000000000007E-2"/>
    <s v="Credit Card"/>
    <s v="Retail"/>
    <s v="South-Bob"/>
    <x v="0"/>
  </r>
  <r>
    <n v="1064"/>
    <x v="9"/>
    <x v="0"/>
    <x v="3"/>
    <n v="8"/>
    <x v="3"/>
    <n v="1"/>
    <n v="4271.99"/>
    <n v="4417.79"/>
    <n v="4241.0783999999994"/>
    <n v="33928.627199999995"/>
    <n v="34175.919999999998"/>
    <n v="-247.2928000000029"/>
    <n v="-7.2886179137835244E-3"/>
    <s v="Loss"/>
    <x v="0"/>
    <n v="0.04"/>
    <s v="Cash"/>
    <s v="Online"/>
    <s v="South-Bob"/>
    <x v="1"/>
  </r>
  <r>
    <n v="1064"/>
    <x v="202"/>
    <x v="3"/>
    <x v="0"/>
    <n v="35"/>
    <x v="2"/>
    <n v="1"/>
    <n v="4900.03"/>
    <n v="5118.83"/>
    <n v="4760.5118999999995"/>
    <n v="166617.91649999999"/>
    <n v="171501.05"/>
    <n v="-4883.1334999999963"/>
    <n v="-2.9307373436037395E-2"/>
    <s v="Loss"/>
    <x v="0"/>
    <n v="7.0000000000000007E-2"/>
    <s v="Credit Card"/>
    <s v="Retail"/>
    <s v="West-Alice"/>
    <x v="1"/>
  </r>
  <r>
    <n v="1064"/>
    <x v="147"/>
    <x v="0"/>
    <x v="0"/>
    <n v="46"/>
    <x v="3"/>
    <n v="1"/>
    <n v="984.53"/>
    <n v="1138.49"/>
    <n v="1092.9503999999999"/>
    <n v="50275.718399999998"/>
    <n v="45288.38"/>
    <n v="4987.3384000000005"/>
    <n v="9.9199744105496479E-2"/>
    <s v="Profit"/>
    <x v="1"/>
    <n v="0.04"/>
    <s v="Bank Transfer"/>
    <s v="Online"/>
    <s v="West-Bob"/>
    <x v="0"/>
  </r>
  <r>
    <n v="1064"/>
    <x v="131"/>
    <x v="3"/>
    <x v="1"/>
    <n v="21"/>
    <x v="2"/>
    <n v="1"/>
    <n v="2278.04"/>
    <n v="2598.58"/>
    <n v="2546.6084000000001"/>
    <n v="53478.776400000002"/>
    <n v="47838.84"/>
    <n v="5639.936400000006"/>
    <n v="0.10546120871980171"/>
    <s v="Profit"/>
    <x v="0"/>
    <n v="0.02"/>
    <s v="Credit Card"/>
    <s v="Retail"/>
    <s v="North-Alice"/>
    <x v="0"/>
  </r>
  <r>
    <n v="1064"/>
    <x v="14"/>
    <x v="0"/>
    <x v="1"/>
    <n v="13"/>
    <x v="2"/>
    <n v="1"/>
    <n v="1645.51"/>
    <n v="2045.53"/>
    <n v="1472.7816"/>
    <n v="19146.160799999998"/>
    <n v="21391.63"/>
    <n v="-2245.4692000000032"/>
    <n v="-0.11728038970611818"/>
    <s v="Loss"/>
    <x v="0"/>
    <n v="0.28000000000000003"/>
    <s v="Cash"/>
    <s v="Retail"/>
    <s v="North-Bob"/>
    <x v="0"/>
  </r>
  <r>
    <n v="1064"/>
    <x v="299"/>
    <x v="1"/>
    <x v="3"/>
    <n v="8"/>
    <x v="2"/>
    <n v="1"/>
    <n v="816.54"/>
    <n v="1191.9000000000001"/>
    <n v="1156.143"/>
    <n v="9249.1440000000002"/>
    <n v="6532.32"/>
    <n v="2716.8240000000005"/>
    <n v="0.29373788536539169"/>
    <s v="Profit"/>
    <x v="1"/>
    <n v="0.03"/>
    <s v="Cash"/>
    <s v="Retail"/>
    <s v="South-David"/>
    <x v="0"/>
  </r>
  <r>
    <n v="1065"/>
    <x v="300"/>
    <x v="3"/>
    <x v="2"/>
    <n v="3"/>
    <x v="1"/>
    <n v="1"/>
    <n v="4173.04"/>
    <n v="4362.4399999999996"/>
    <n v="3359.0787999999998"/>
    <n v="10077.2364"/>
    <n v="12519.119999999999"/>
    <n v="-2441.8835999999992"/>
    <n v="-0.24231679233008757"/>
    <s v="Loss"/>
    <x v="1"/>
    <n v="0.23"/>
    <s v="Bank Transfer"/>
    <s v="Retail"/>
    <s v="East-Alice"/>
    <x v="1"/>
  </r>
  <r>
    <n v="1065"/>
    <x v="162"/>
    <x v="2"/>
    <x v="1"/>
    <n v="6"/>
    <x v="2"/>
    <n v="1"/>
    <n v="2019.9"/>
    <n v="2116.7399999999998"/>
    <n v="1883.8985999999998"/>
    <n v="11303.391599999999"/>
    <n v="12119.400000000001"/>
    <n v="-816.00840000000244"/>
    <n v="-7.2191465082038081E-2"/>
    <s v="Loss"/>
    <x v="1"/>
    <n v="0.11"/>
    <s v="Credit Card"/>
    <s v="Online"/>
    <s v="North-Eve"/>
    <x v="0"/>
  </r>
  <r>
    <n v="1065"/>
    <x v="105"/>
    <x v="0"/>
    <x v="0"/>
    <n v="26"/>
    <x v="2"/>
    <n v="1"/>
    <n v="4337.8500000000004"/>
    <n v="4612.49"/>
    <n v="4566.3651"/>
    <n v="118725.49259999998"/>
    <n v="112784.1"/>
    <n v="5941.3925999999774"/>
    <n v="5.0043107591199655E-2"/>
    <s v="Profit"/>
    <x v="0"/>
    <n v="0.01"/>
    <s v="Cash"/>
    <s v="Retail"/>
    <s v="West-Bob"/>
    <x v="1"/>
  </r>
  <r>
    <n v="1065"/>
    <x v="31"/>
    <x v="0"/>
    <x v="2"/>
    <n v="18"/>
    <x v="0"/>
    <n v="1"/>
    <n v="1239.0899999999999"/>
    <n v="1273.98"/>
    <n v="1248.5003999999999"/>
    <n v="22473.0072"/>
    <n v="22303.62"/>
    <n v="169.38720000000103"/>
    <n v="7.5373624229516127E-3"/>
    <s v="Profit"/>
    <x v="1"/>
    <n v="0.02"/>
    <s v="Bank Transfer"/>
    <s v="Retail"/>
    <s v="East-Bob"/>
    <x v="0"/>
  </r>
  <r>
    <n v="1065"/>
    <x v="132"/>
    <x v="0"/>
    <x v="3"/>
    <n v="12"/>
    <x v="3"/>
    <n v="1"/>
    <n v="2035.68"/>
    <n v="2079.64"/>
    <n v="1996.4543999999999"/>
    <n v="23957.452799999999"/>
    <n v="24428.16"/>
    <n v="-470.70720000000074"/>
    <n v="-1.9647631320805554E-2"/>
    <s v="Loss"/>
    <x v="0"/>
    <n v="0.04"/>
    <s v="Cash"/>
    <s v="Online"/>
    <s v="South-Bob"/>
    <x v="0"/>
  </r>
  <r>
    <n v="1065"/>
    <x v="301"/>
    <x v="1"/>
    <x v="0"/>
    <n v="18"/>
    <x v="0"/>
    <n v="1"/>
    <n v="4334.58"/>
    <n v="4431.04"/>
    <n v="4342.4192000000003"/>
    <n v="78163.545599999998"/>
    <n v="78022.44"/>
    <n v="141.10559999999532"/>
    <n v="1.8052609936875142E-3"/>
    <s v="Profit"/>
    <x v="1"/>
    <n v="0.02"/>
    <s v="Bank Transfer"/>
    <s v="Retail"/>
    <s v="West-David"/>
    <x v="1"/>
  </r>
  <r>
    <n v="1065"/>
    <x v="210"/>
    <x v="2"/>
    <x v="3"/>
    <n v="13"/>
    <x v="1"/>
    <n v="1"/>
    <n v="1339"/>
    <n v="1441.88"/>
    <n v="1110.2476000000001"/>
    <n v="14433.218800000002"/>
    <n v="17407"/>
    <n v="-2973.7811999999976"/>
    <n v="-0.20603728393558318"/>
    <s v="Loss"/>
    <x v="0"/>
    <n v="0.23"/>
    <s v="Credit Card"/>
    <s v="Retail"/>
    <s v="South-Eve"/>
    <x v="0"/>
  </r>
  <r>
    <n v="1065"/>
    <x v="34"/>
    <x v="1"/>
    <x v="3"/>
    <n v="9"/>
    <x v="2"/>
    <n v="1"/>
    <n v="335.82"/>
    <n v="498.31"/>
    <n v="368.74939999999998"/>
    <n v="3318.7446"/>
    <n v="3022.38"/>
    <n v="296.36459999999988"/>
    <n v="8.9300213098651784E-2"/>
    <s v="Profit"/>
    <x v="1"/>
    <n v="0.26"/>
    <s v="Cash"/>
    <s v="Retail"/>
    <s v="South-David"/>
    <x v="0"/>
  </r>
  <r>
    <n v="1066"/>
    <x v="302"/>
    <x v="4"/>
    <x v="1"/>
    <n v="15"/>
    <x v="1"/>
    <n v="1"/>
    <n v="2579.31"/>
    <n v="2867.36"/>
    <n v="2752.6655999999998"/>
    <n v="41289.983999999997"/>
    <n v="38689.65"/>
    <n v="2600.3339999999953"/>
    <n v="6.2977355476814795E-2"/>
    <s v="Profit"/>
    <x v="0"/>
    <n v="0.04"/>
    <s v="Bank Transfer"/>
    <s v="Retail"/>
    <s v="North-Charlie"/>
    <x v="1"/>
  </r>
  <r>
    <n v="1066"/>
    <x v="295"/>
    <x v="3"/>
    <x v="3"/>
    <n v="4"/>
    <x v="1"/>
    <n v="1"/>
    <n v="4596.68"/>
    <n v="5044.74"/>
    <n v="4994.2925999999998"/>
    <n v="19977.170399999999"/>
    <n v="18386.72"/>
    <n v="1590.4503999999979"/>
    <n v="7.9613397100522204E-2"/>
    <s v="Profit"/>
    <x v="1"/>
    <n v="0.01"/>
    <s v="Bank Transfer"/>
    <s v="Online"/>
    <s v="South-Alice"/>
    <x v="1"/>
  </r>
  <r>
    <n v="1066"/>
    <x v="223"/>
    <x v="3"/>
    <x v="1"/>
    <n v="48"/>
    <x v="2"/>
    <n v="1"/>
    <n v="2588.54"/>
    <n v="2872.8"/>
    <n v="2384.424"/>
    <n v="114452.35200000001"/>
    <n v="124249.92"/>
    <n v="-9797.5679999999847"/>
    <n v="-8.5603902661607015E-2"/>
    <s v="Loss"/>
    <x v="1"/>
    <n v="0.17"/>
    <s v="Cash"/>
    <s v="Online"/>
    <s v="North-Alice"/>
    <x v="1"/>
  </r>
  <r>
    <n v="1066"/>
    <x v="105"/>
    <x v="3"/>
    <x v="3"/>
    <n v="20"/>
    <x v="3"/>
    <n v="1"/>
    <n v="955.18"/>
    <n v="1072.82"/>
    <n v="1040.6353999999999"/>
    <n v="20812.707999999999"/>
    <n v="19103.599999999999"/>
    <n v="1709.1080000000002"/>
    <n v="8.2118482611681295E-2"/>
    <s v="Profit"/>
    <x v="1"/>
    <n v="0.03"/>
    <s v="Bank Transfer"/>
    <s v="Retail"/>
    <s v="South-Alice"/>
    <x v="0"/>
  </r>
  <r>
    <n v="1066"/>
    <x v="141"/>
    <x v="4"/>
    <x v="2"/>
    <n v="4"/>
    <x v="1"/>
    <n v="1"/>
    <n v="868.83"/>
    <n v="1177.75"/>
    <n v="930.42250000000001"/>
    <n v="3721.69"/>
    <n v="3475.32"/>
    <n v="246.36999999999989"/>
    <n v="6.6198420609991662E-2"/>
    <s v="Profit"/>
    <x v="0"/>
    <n v="0.21"/>
    <s v="Credit Card"/>
    <s v="Retail"/>
    <s v="East-Charlie"/>
    <x v="0"/>
  </r>
  <r>
    <n v="1066"/>
    <x v="164"/>
    <x v="0"/>
    <x v="0"/>
    <n v="13"/>
    <x v="1"/>
    <n v="1"/>
    <n v="4133.92"/>
    <n v="4358.37"/>
    <n v="3791.7819"/>
    <n v="49293.164700000001"/>
    <n v="53740.959999999999"/>
    <n v="-4447.795299999998"/>
    <n v="-9.0231481932017202E-2"/>
    <s v="Loss"/>
    <x v="1"/>
    <n v="0.13"/>
    <s v="Cash"/>
    <s v="Retail"/>
    <s v="West-Bob"/>
    <x v="1"/>
  </r>
  <r>
    <n v="1066"/>
    <x v="234"/>
    <x v="2"/>
    <x v="2"/>
    <n v="47"/>
    <x v="0"/>
    <n v="1"/>
    <n v="1319.24"/>
    <n v="1805.56"/>
    <n v="1336.1143999999999"/>
    <n v="62797.376799999991"/>
    <n v="62004.28"/>
    <n v="793.09679999999207"/>
    <n v="1.2629457477593111E-2"/>
    <s v="Profit"/>
    <x v="1"/>
    <n v="0.26"/>
    <s v="Credit Card"/>
    <s v="Retail"/>
    <s v="East-Eve"/>
    <x v="0"/>
  </r>
  <r>
    <n v="1066"/>
    <x v="248"/>
    <x v="4"/>
    <x v="1"/>
    <n v="7"/>
    <x v="2"/>
    <n v="1"/>
    <n v="523.41999999999996"/>
    <n v="632.44000000000005"/>
    <n v="505.95200000000006"/>
    <n v="3541.6640000000002"/>
    <n v="3663.9399999999996"/>
    <n v="-122.27599999999939"/>
    <n v="-3.4525014230598776E-2"/>
    <s v="Loss"/>
    <x v="1"/>
    <n v="0.2"/>
    <s v="Bank Transfer"/>
    <s v="Online"/>
    <s v="North-Charlie"/>
    <x v="0"/>
  </r>
  <r>
    <n v="1067"/>
    <x v="109"/>
    <x v="3"/>
    <x v="1"/>
    <n v="36"/>
    <x v="3"/>
    <n v="1"/>
    <n v="689.66"/>
    <n v="1150.28"/>
    <n v="920.22400000000005"/>
    <n v="33128.064000000006"/>
    <n v="24827.759999999998"/>
    <n v="8300.3040000000074"/>
    <n v="0.25055203950342542"/>
    <s v="Profit"/>
    <x v="1"/>
    <n v="0.2"/>
    <s v="Bank Transfer"/>
    <s v="Online"/>
    <s v="North-Alice"/>
    <x v="0"/>
  </r>
  <r>
    <n v="1067"/>
    <x v="303"/>
    <x v="3"/>
    <x v="0"/>
    <n v="27"/>
    <x v="1"/>
    <n v="1"/>
    <n v="3624.97"/>
    <n v="3836.52"/>
    <n v="3529.5984000000003"/>
    <n v="95299.156799999997"/>
    <n v="97874.189999999988"/>
    <n v="-2575.0331999999908"/>
    <n v="-2.7020524487998313E-2"/>
    <s v="Loss"/>
    <x v="1"/>
    <n v="0.08"/>
    <s v="Cash"/>
    <s v="Online"/>
    <s v="West-Alice"/>
    <x v="1"/>
  </r>
  <r>
    <n v="1067"/>
    <x v="103"/>
    <x v="0"/>
    <x v="1"/>
    <n v="37"/>
    <x v="2"/>
    <n v="1"/>
    <n v="1754.32"/>
    <n v="1856.4"/>
    <n v="1466.556"/>
    <n v="54262.572000000007"/>
    <n v="64909.84"/>
    <n v="-10647.267999999989"/>
    <n v="-0.19621753277747297"/>
    <s v="Loss"/>
    <x v="1"/>
    <n v="0.21"/>
    <s v="Bank Transfer"/>
    <s v="Retail"/>
    <s v="North-Bob"/>
    <x v="0"/>
  </r>
  <r>
    <n v="1067"/>
    <x v="47"/>
    <x v="0"/>
    <x v="2"/>
    <n v="28"/>
    <x v="3"/>
    <n v="1"/>
    <n v="3489.85"/>
    <n v="3842.55"/>
    <n v="3727.2735000000002"/>
    <n v="104363.65800000001"/>
    <n v="97715.8"/>
    <n v="6647.8580000000075"/>
    <n v="6.3698974598993138E-2"/>
    <s v="Profit"/>
    <x v="1"/>
    <n v="0.03"/>
    <s v="Bank Transfer"/>
    <s v="Online"/>
    <s v="East-Bob"/>
    <x v="1"/>
  </r>
  <r>
    <n v="1067"/>
    <x v="189"/>
    <x v="4"/>
    <x v="1"/>
    <n v="32"/>
    <x v="0"/>
    <n v="1"/>
    <n v="2171.79"/>
    <n v="2307.64"/>
    <n v="1799.9592"/>
    <n v="57598.6944"/>
    <n v="69497.279999999999"/>
    <n v="-11898.585599999999"/>
    <n v="-0.20657734908657926"/>
    <s v="Loss"/>
    <x v="0"/>
    <n v="0.22"/>
    <s v="Bank Transfer"/>
    <s v="Online"/>
    <s v="North-Charlie"/>
    <x v="0"/>
  </r>
  <r>
    <n v="1067"/>
    <x v="223"/>
    <x v="4"/>
    <x v="1"/>
    <n v="48"/>
    <x v="3"/>
    <n v="1"/>
    <n v="210.63"/>
    <n v="533.58000000000004"/>
    <n v="512.23680000000002"/>
    <n v="24587.366400000003"/>
    <n v="10110.24"/>
    <n v="14477.126400000003"/>
    <n v="0.58880345964991199"/>
    <s v="Profit"/>
    <x v="1"/>
    <n v="0.04"/>
    <s v="Bank Transfer"/>
    <s v="Online"/>
    <s v="North-Charlie"/>
    <x v="0"/>
  </r>
  <r>
    <n v="1067"/>
    <x v="17"/>
    <x v="0"/>
    <x v="2"/>
    <n v="17"/>
    <x v="0"/>
    <n v="1"/>
    <n v="2831.58"/>
    <n v="3186.15"/>
    <n v="2421.4740000000002"/>
    <n v="41165.058000000005"/>
    <n v="48136.86"/>
    <n v="-6971.801999999996"/>
    <n v="-0.16936213232105723"/>
    <s v="Loss"/>
    <x v="1"/>
    <n v="0.24"/>
    <s v="Bank Transfer"/>
    <s v="Retail"/>
    <s v="East-Bob"/>
    <x v="1"/>
  </r>
  <r>
    <n v="1067"/>
    <x v="245"/>
    <x v="0"/>
    <x v="1"/>
    <n v="49"/>
    <x v="1"/>
    <n v="1"/>
    <n v="2628.38"/>
    <n v="2644.54"/>
    <n v="2353.6406000000002"/>
    <n v="115328.3894"/>
    <n v="128790.62000000001"/>
    <n v="-13462.23060000001"/>
    <n v="-0.11672954655863779"/>
    <s v="Loss"/>
    <x v="0"/>
    <n v="0.11"/>
    <s v="Cash"/>
    <s v="Online"/>
    <s v="North-Bob"/>
    <x v="0"/>
  </r>
  <r>
    <n v="1067"/>
    <x v="274"/>
    <x v="0"/>
    <x v="1"/>
    <n v="11"/>
    <x v="1"/>
    <n v="1"/>
    <n v="3435.68"/>
    <n v="3552.63"/>
    <n v="2593.4198999999999"/>
    <n v="28527.618900000001"/>
    <n v="37792.479999999996"/>
    <n v="-9264.8610999999946"/>
    <n v="-0.32476811795883864"/>
    <s v="Loss"/>
    <x v="1"/>
    <n v="0.27"/>
    <s v="Cash"/>
    <s v="Retail"/>
    <s v="North-Bob"/>
    <x v="1"/>
  </r>
  <r>
    <n v="1067"/>
    <x v="304"/>
    <x v="2"/>
    <x v="3"/>
    <n v="48"/>
    <x v="0"/>
    <n v="1"/>
    <n v="4319.32"/>
    <n v="4625.5600000000004"/>
    <n v="4163.0040000000008"/>
    <n v="199824.19200000001"/>
    <n v="207327.35999999999"/>
    <n v="-7503.167999999976"/>
    <n v="-3.7548846938412622E-2"/>
    <s v="Loss"/>
    <x v="0"/>
    <n v="0.1"/>
    <s v="Bank Transfer"/>
    <s v="Online"/>
    <s v="South-Eve"/>
    <x v="1"/>
  </r>
  <r>
    <n v="1068"/>
    <x v="305"/>
    <x v="2"/>
    <x v="2"/>
    <n v="14"/>
    <x v="0"/>
    <n v="1"/>
    <n v="1140.58"/>
    <n v="1438.76"/>
    <n v="1395.5971999999999"/>
    <n v="19538.360799999999"/>
    <n v="15968.119999999999"/>
    <n v="3570.2407999999996"/>
    <n v="0.18272980198011288"/>
    <s v="Profit"/>
    <x v="0"/>
    <n v="0.03"/>
    <s v="Bank Transfer"/>
    <s v="Online"/>
    <s v="East-Eve"/>
    <x v="0"/>
  </r>
  <r>
    <n v="1068"/>
    <x v="188"/>
    <x v="3"/>
    <x v="3"/>
    <n v="31"/>
    <x v="2"/>
    <n v="1"/>
    <n v="3169.37"/>
    <n v="3304.15"/>
    <n v="2478.1125000000002"/>
    <n v="76821.487500000003"/>
    <n v="98250.47"/>
    <n v="-21428.982499999998"/>
    <n v="-0.27894516491886462"/>
    <s v="Loss"/>
    <x v="0"/>
    <n v="0.25"/>
    <s v="Credit Card"/>
    <s v="Retail"/>
    <s v="South-Alice"/>
    <x v="1"/>
  </r>
  <r>
    <n v="1068"/>
    <x v="11"/>
    <x v="4"/>
    <x v="0"/>
    <n v="42"/>
    <x v="2"/>
    <n v="1"/>
    <n v="1218.18"/>
    <n v="1566.36"/>
    <n v="1519.3691999999999"/>
    <n v="63813.506399999991"/>
    <n v="51163.560000000005"/>
    <n v="12649.946399999986"/>
    <n v="0.19823305619200371"/>
    <s v="Profit"/>
    <x v="0"/>
    <n v="0.03"/>
    <s v="Credit Card"/>
    <s v="Retail"/>
    <s v="West-Charlie"/>
    <x v="0"/>
  </r>
  <r>
    <n v="1068"/>
    <x v="213"/>
    <x v="3"/>
    <x v="3"/>
    <n v="21"/>
    <x v="0"/>
    <n v="1"/>
    <n v="1142.53"/>
    <n v="1384.3"/>
    <n v="1356.614"/>
    <n v="28488.894"/>
    <n v="23993.13"/>
    <n v="4495.7639999999992"/>
    <n v="0.15780760039333219"/>
    <s v="Profit"/>
    <x v="0"/>
    <n v="0.02"/>
    <s v="Credit Card"/>
    <s v="Retail"/>
    <s v="South-Alice"/>
    <x v="0"/>
  </r>
  <r>
    <n v="1068"/>
    <x v="78"/>
    <x v="0"/>
    <x v="1"/>
    <n v="22"/>
    <x v="2"/>
    <n v="1"/>
    <n v="3619.61"/>
    <n v="3651.42"/>
    <n v="2702.0508"/>
    <n v="59445.117600000005"/>
    <n v="79631.42"/>
    <n v="-20186.302399999993"/>
    <n v="-0.33957881176771348"/>
    <s v="Loss"/>
    <x v="0"/>
    <n v="0.26"/>
    <s v="Bank Transfer"/>
    <s v="Online"/>
    <s v="North-Bob"/>
    <x v="1"/>
  </r>
  <r>
    <n v="1069"/>
    <x v="306"/>
    <x v="2"/>
    <x v="1"/>
    <n v="18"/>
    <x v="1"/>
    <n v="1"/>
    <n v="2760.21"/>
    <n v="3219.58"/>
    <n v="2350.2934"/>
    <n v="42305.281199999998"/>
    <n v="49683.78"/>
    <n v="-7378.4988000000012"/>
    <n v="-0.17441082036821448"/>
    <s v="Loss"/>
    <x v="1"/>
    <n v="0.27"/>
    <s v="Bank Transfer"/>
    <s v="Retail"/>
    <s v="North-Eve"/>
    <x v="1"/>
  </r>
  <r>
    <n v="1069"/>
    <x v="307"/>
    <x v="4"/>
    <x v="1"/>
    <n v="23"/>
    <x v="1"/>
    <n v="1"/>
    <n v="530.24"/>
    <n v="987.41"/>
    <n v="760.3057"/>
    <n v="17487.0311"/>
    <n v="12195.52"/>
    <n v="5291.5110999999997"/>
    <n v="0.30259631093124778"/>
    <s v="Profit"/>
    <x v="0"/>
    <n v="0.23"/>
    <s v="Credit Card"/>
    <s v="Online"/>
    <s v="North-Charlie"/>
    <x v="0"/>
  </r>
  <r>
    <n v="1069"/>
    <x v="127"/>
    <x v="1"/>
    <x v="0"/>
    <n v="42"/>
    <x v="2"/>
    <n v="1"/>
    <n v="1434.2"/>
    <n v="1482.88"/>
    <n v="1067.6736000000001"/>
    <n v="44842.2912"/>
    <n v="60236.4"/>
    <n v="-15394.108800000002"/>
    <n v="-0.34329443005802529"/>
    <s v="Loss"/>
    <x v="1"/>
    <n v="0.28000000000000003"/>
    <s v="Credit Card"/>
    <s v="Retail"/>
    <s v="West-David"/>
    <x v="0"/>
  </r>
  <r>
    <n v="1069"/>
    <x v="89"/>
    <x v="1"/>
    <x v="1"/>
    <n v="35"/>
    <x v="3"/>
    <n v="1"/>
    <n v="2885.16"/>
    <n v="3224.84"/>
    <n v="2773.3624"/>
    <n v="97067.684000000008"/>
    <n v="100980.59999999999"/>
    <n v="-3912.9159999999829"/>
    <n v="-4.0311212122872767E-2"/>
    <s v="Loss"/>
    <x v="1"/>
    <n v="0.14000000000000001"/>
    <s v="Cash"/>
    <s v="Online"/>
    <s v="North-David"/>
    <x v="1"/>
  </r>
  <r>
    <n v="1069"/>
    <x v="308"/>
    <x v="0"/>
    <x v="1"/>
    <n v="4"/>
    <x v="3"/>
    <n v="1"/>
    <n v="2485.86"/>
    <n v="2532.87"/>
    <n v="2507.5412999999999"/>
    <n v="10030.165199999999"/>
    <n v="9943.44"/>
    <n v="86.725199999998949"/>
    <n v="8.6464378473047436E-3"/>
    <s v="Profit"/>
    <x v="1"/>
    <n v="0.01"/>
    <s v="Credit Card"/>
    <s v="Online"/>
    <s v="North-Bob"/>
    <x v="0"/>
  </r>
  <r>
    <n v="1069"/>
    <x v="162"/>
    <x v="3"/>
    <x v="2"/>
    <n v="6"/>
    <x v="0"/>
    <n v="1"/>
    <n v="1768.6"/>
    <n v="2152.1999999999998"/>
    <n v="1614.1499999999999"/>
    <n v="9684.9"/>
    <n v="10611.599999999999"/>
    <n v="-926.69999999999891"/>
    <n v="-9.5685035467583446E-2"/>
    <s v="Loss"/>
    <x v="1"/>
    <n v="0.25"/>
    <s v="Bank Transfer"/>
    <s v="Retail"/>
    <s v="East-Alice"/>
    <x v="0"/>
  </r>
  <r>
    <n v="1069"/>
    <x v="184"/>
    <x v="0"/>
    <x v="0"/>
    <n v="46"/>
    <x v="0"/>
    <n v="1"/>
    <n v="3663.51"/>
    <n v="4007.98"/>
    <n v="3486.9425999999999"/>
    <n v="160399.3596"/>
    <n v="168521.46000000002"/>
    <n v="-8122.1004000000248"/>
    <n v="-5.0636738327726E-2"/>
    <s v="Loss"/>
    <x v="1"/>
    <n v="0.13"/>
    <s v="Cash"/>
    <s v="Online"/>
    <s v="West-Bob"/>
    <x v="1"/>
  </r>
  <r>
    <n v="1069"/>
    <x v="76"/>
    <x v="2"/>
    <x v="1"/>
    <n v="12"/>
    <x v="1"/>
    <n v="1"/>
    <n v="4682.34"/>
    <n v="5036.3999999999996"/>
    <n v="4029.12"/>
    <n v="48349.440000000002"/>
    <n v="56188.08"/>
    <n v="-7838.6399999999994"/>
    <n v="-0.16212473195139385"/>
    <s v="Loss"/>
    <x v="1"/>
    <n v="0.2"/>
    <s v="Bank Transfer"/>
    <s v="Retail"/>
    <s v="North-Eve"/>
    <x v="1"/>
  </r>
  <r>
    <n v="1069"/>
    <x v="309"/>
    <x v="0"/>
    <x v="2"/>
    <n v="29"/>
    <x v="1"/>
    <n v="1"/>
    <n v="2462.66"/>
    <n v="2908.09"/>
    <n v="2559.1192000000001"/>
    <n v="74214.4568"/>
    <n v="71417.14"/>
    <n v="2797.3168000000005"/>
    <n v="3.7692343521943027E-2"/>
    <s v="Profit"/>
    <x v="1"/>
    <n v="0.12"/>
    <s v="Credit Card"/>
    <s v="Online"/>
    <s v="East-Bob"/>
    <x v="1"/>
  </r>
  <r>
    <n v="1069"/>
    <x v="87"/>
    <x v="1"/>
    <x v="2"/>
    <n v="47"/>
    <x v="3"/>
    <n v="1"/>
    <n v="4171.83"/>
    <n v="4320.93"/>
    <n v="4018.4648999999999"/>
    <n v="188867.85030000002"/>
    <n v="196076.01"/>
    <n v="-7208.1596999999892"/>
    <n v="-3.816509632820228E-2"/>
    <s v="Loss"/>
    <x v="1"/>
    <n v="7.0000000000000007E-2"/>
    <s v="Cash"/>
    <s v="Online"/>
    <s v="East-David"/>
    <x v="1"/>
  </r>
  <r>
    <n v="1069"/>
    <x v="15"/>
    <x v="4"/>
    <x v="0"/>
    <n v="44"/>
    <x v="3"/>
    <n v="1"/>
    <n v="1084.73"/>
    <n v="1420.9"/>
    <n v="1349.855"/>
    <n v="59393.62"/>
    <n v="47728.12"/>
    <n v="11665.5"/>
    <n v="0.1964099847761426"/>
    <s v="Profit"/>
    <x v="0"/>
    <n v="0.05"/>
    <s v="Credit Card"/>
    <s v="Online"/>
    <s v="West-Charlie"/>
    <x v="0"/>
  </r>
  <r>
    <n v="1069"/>
    <x v="277"/>
    <x v="3"/>
    <x v="1"/>
    <n v="30"/>
    <x v="3"/>
    <n v="1"/>
    <n v="300.01"/>
    <n v="477.68"/>
    <n v="425.1352"/>
    <n v="12754.056"/>
    <n v="9000.2999999999993"/>
    <n v="3753.7560000000012"/>
    <n v="0.29431860735126153"/>
    <s v="Profit"/>
    <x v="1"/>
    <n v="0.11"/>
    <s v="Bank Transfer"/>
    <s v="Retail"/>
    <s v="North-Alice"/>
    <x v="0"/>
  </r>
  <r>
    <n v="1070"/>
    <x v="70"/>
    <x v="2"/>
    <x v="3"/>
    <n v="12"/>
    <x v="1"/>
    <n v="1"/>
    <n v="664.33"/>
    <n v="863.03"/>
    <n v="647.27250000000004"/>
    <n v="7767.27"/>
    <n v="7971.9600000000009"/>
    <n v="-204.69000000000051"/>
    <n v="-2.6352888466604159E-2"/>
    <s v="Loss"/>
    <x v="0"/>
    <n v="0.25"/>
    <s v="Bank Transfer"/>
    <s v="Retail"/>
    <s v="South-Eve"/>
    <x v="0"/>
  </r>
  <r>
    <n v="1070"/>
    <x v="81"/>
    <x v="0"/>
    <x v="3"/>
    <n v="15"/>
    <x v="3"/>
    <n v="1"/>
    <n v="3653.66"/>
    <n v="3896.19"/>
    <n v="3779.3042999999998"/>
    <n v="56689.5645"/>
    <n v="54804.899999999994"/>
    <n v="1884.6645000000062"/>
    <n v="3.3245351532026783E-2"/>
    <s v="Profit"/>
    <x v="1"/>
    <n v="0.03"/>
    <s v="Credit Card"/>
    <s v="Retail"/>
    <s v="South-Bob"/>
    <x v="1"/>
  </r>
  <r>
    <n v="1070"/>
    <x v="7"/>
    <x v="0"/>
    <x v="3"/>
    <n v="9"/>
    <x v="3"/>
    <n v="1"/>
    <n v="310.24"/>
    <n v="451.81"/>
    <n v="406.62900000000002"/>
    <n v="3659.6610000000001"/>
    <n v="2792.16"/>
    <n v="867.5010000000002"/>
    <n v="0.23704408687034131"/>
    <s v="Profit"/>
    <x v="0"/>
    <n v="0.1"/>
    <s v="Cash"/>
    <s v="Retail"/>
    <s v="South-Bob"/>
    <x v="0"/>
  </r>
  <r>
    <n v="1070"/>
    <x v="310"/>
    <x v="3"/>
    <x v="0"/>
    <n v="8"/>
    <x v="2"/>
    <n v="1"/>
    <n v="3762.27"/>
    <n v="4166.95"/>
    <n v="3500.2379999999998"/>
    <n v="28001.903999999999"/>
    <n v="30098.16"/>
    <n v="-2096.2560000000012"/>
    <n v="-7.4861195153015356E-2"/>
    <s v="Loss"/>
    <x v="0"/>
    <n v="0.16"/>
    <s v="Bank Transfer"/>
    <s v="Online"/>
    <s v="West-Alice"/>
    <x v="1"/>
  </r>
  <r>
    <n v="1070"/>
    <x v="311"/>
    <x v="4"/>
    <x v="3"/>
    <n v="33"/>
    <x v="0"/>
    <n v="1"/>
    <n v="866.42"/>
    <n v="878.43"/>
    <n v="799.37130000000002"/>
    <n v="26379.252899999999"/>
    <n v="28591.859999999997"/>
    <n v="-2212.6070999999974"/>
    <n v="-8.3876791673656442E-2"/>
    <s v="Loss"/>
    <x v="1"/>
    <n v="0.09"/>
    <s v="Cash"/>
    <s v="Retail"/>
    <s v="South-Charlie"/>
    <x v="0"/>
  </r>
  <r>
    <n v="1070"/>
    <x v="208"/>
    <x v="1"/>
    <x v="1"/>
    <n v="40"/>
    <x v="1"/>
    <n v="1"/>
    <n v="3089.96"/>
    <n v="3258.45"/>
    <n v="2313.4994999999999"/>
    <n v="92539.98"/>
    <n v="123598.39999999999"/>
    <n v="-31058.42"/>
    <n v="-0.33562164158669583"/>
    <s v="Loss"/>
    <x v="1"/>
    <n v="0.28999999999999998"/>
    <s v="Cash"/>
    <s v="Online"/>
    <s v="North-David"/>
    <x v="1"/>
  </r>
  <r>
    <n v="1070"/>
    <x v="277"/>
    <x v="4"/>
    <x v="3"/>
    <n v="14"/>
    <x v="1"/>
    <n v="1"/>
    <n v="3796.79"/>
    <n v="3947.5"/>
    <n v="3000.1"/>
    <n v="42001.4"/>
    <n v="53155.06"/>
    <n v="-11153.659999999996"/>
    <n v="-0.26555448151728267"/>
    <s v="Loss"/>
    <x v="0"/>
    <n v="0.24"/>
    <s v="Bank Transfer"/>
    <s v="Online"/>
    <s v="South-Charlie"/>
    <x v="1"/>
  </r>
  <r>
    <n v="1071"/>
    <x v="57"/>
    <x v="1"/>
    <x v="1"/>
    <n v="47"/>
    <x v="0"/>
    <n v="1"/>
    <n v="3942.34"/>
    <n v="4142.09"/>
    <n v="4017.8272999999999"/>
    <n v="188837.88310000001"/>
    <n v="185289.98"/>
    <n v="3547.9030999999959"/>
    <n v="1.8788089771802761E-2"/>
    <s v="Profit"/>
    <x v="0"/>
    <n v="0.03"/>
    <s v="Credit Card"/>
    <s v="Retail"/>
    <s v="North-David"/>
    <x v="1"/>
  </r>
  <r>
    <n v="1071"/>
    <x v="97"/>
    <x v="2"/>
    <x v="0"/>
    <n v="6"/>
    <x v="1"/>
    <n v="1"/>
    <n v="2831.23"/>
    <n v="3206.98"/>
    <n v="3014.5611999999996"/>
    <n v="18087.367200000001"/>
    <n v="16987.38"/>
    <n v="1099.9871999999996"/>
    <n v="6.0815219143668379E-2"/>
    <s v="Profit"/>
    <x v="0"/>
    <n v="0.06"/>
    <s v="Bank Transfer"/>
    <s v="Retail"/>
    <s v="West-Eve"/>
    <x v="1"/>
  </r>
  <r>
    <n v="1071"/>
    <x v="31"/>
    <x v="3"/>
    <x v="0"/>
    <n v="12"/>
    <x v="0"/>
    <n v="1"/>
    <n v="4317.95"/>
    <n v="4636.59"/>
    <n v="3802.0038000000004"/>
    <n v="45624.045600000005"/>
    <n v="51815.399999999994"/>
    <n v="-6191.3543999999893"/>
    <n v="-0.13570375705568707"/>
    <s v="Loss"/>
    <x v="1"/>
    <n v="0.18"/>
    <s v="Credit Card"/>
    <s v="Retail"/>
    <s v="West-Alice"/>
    <x v="1"/>
  </r>
  <r>
    <n v="1071"/>
    <x v="131"/>
    <x v="1"/>
    <x v="1"/>
    <n v="35"/>
    <x v="2"/>
    <n v="1"/>
    <n v="295.82"/>
    <n v="684.67"/>
    <n v="664.12989999999991"/>
    <n v="23244.546499999997"/>
    <n v="10353.699999999999"/>
    <n v="12890.846499999998"/>
    <n v="0.55457509140907524"/>
    <s v="Profit"/>
    <x v="1"/>
    <n v="0.03"/>
    <s v="Credit Card"/>
    <s v="Online"/>
    <s v="North-David"/>
    <x v="0"/>
  </r>
  <r>
    <n v="1071"/>
    <x v="279"/>
    <x v="1"/>
    <x v="2"/>
    <n v="40"/>
    <x v="0"/>
    <n v="1"/>
    <n v="1447.72"/>
    <n v="1875.75"/>
    <n v="1631.9024999999999"/>
    <n v="65276.1"/>
    <n v="57908.800000000003"/>
    <n v="7367.2999999999956"/>
    <n v="0.1128636667938188"/>
    <s v="Profit"/>
    <x v="1"/>
    <n v="0.13"/>
    <s v="Cash"/>
    <s v="Retail"/>
    <s v="East-David"/>
    <x v="0"/>
  </r>
  <r>
    <n v="1071"/>
    <x v="203"/>
    <x v="3"/>
    <x v="0"/>
    <n v="22"/>
    <x v="3"/>
    <n v="1"/>
    <n v="2701.39"/>
    <n v="3185.81"/>
    <n v="3153.9519"/>
    <n v="69386.941799999986"/>
    <n v="59430.579999999994"/>
    <n v="9956.3617999999915"/>
    <n v="0.14349042545639321"/>
    <s v="Profit"/>
    <x v="1"/>
    <n v="0.01"/>
    <s v="Bank Transfer"/>
    <s v="Online"/>
    <s v="West-Alice"/>
    <x v="1"/>
  </r>
  <r>
    <n v="1072"/>
    <x v="300"/>
    <x v="1"/>
    <x v="0"/>
    <n v="39"/>
    <x v="2"/>
    <n v="1"/>
    <n v="591.98"/>
    <n v="934.04"/>
    <n v="691.18959999999993"/>
    <n v="26956.394399999997"/>
    <n v="23087.22"/>
    <n v="3869.1743999999962"/>
    <n v="0.14353456707103218"/>
    <s v="Profit"/>
    <x v="1"/>
    <n v="0.26"/>
    <s v="Bank Transfer"/>
    <s v="Retail"/>
    <s v="West-David"/>
    <x v="0"/>
  </r>
  <r>
    <n v="1072"/>
    <x v="133"/>
    <x v="0"/>
    <x v="2"/>
    <n v="26"/>
    <x v="0"/>
    <n v="1"/>
    <n v="3640.17"/>
    <n v="4002.63"/>
    <n v="3802.4985000000001"/>
    <n v="98864.960999999996"/>
    <n v="94644.42"/>
    <n v="4220.5409999999974"/>
    <n v="4.2689957668622332E-2"/>
    <s v="Profit"/>
    <x v="1"/>
    <n v="0.05"/>
    <s v="Credit Card"/>
    <s v="Retail"/>
    <s v="East-Bob"/>
    <x v="1"/>
  </r>
  <r>
    <n v="1072"/>
    <x v="38"/>
    <x v="1"/>
    <x v="1"/>
    <n v="35"/>
    <x v="3"/>
    <n v="1"/>
    <n v="4349.3599999999997"/>
    <n v="4645.17"/>
    <n v="3809.0394000000006"/>
    <n v="133316.37900000002"/>
    <n v="152227.59999999998"/>
    <n v="-18911.220999999961"/>
    <n v="-0.14185219507049437"/>
    <s v="Loss"/>
    <x v="0"/>
    <n v="0.18"/>
    <s v="Credit Card"/>
    <s v="Retail"/>
    <s v="North-David"/>
    <x v="1"/>
  </r>
  <r>
    <n v="1072"/>
    <x v="261"/>
    <x v="3"/>
    <x v="0"/>
    <n v="12"/>
    <x v="2"/>
    <n v="1"/>
    <n v="710.99"/>
    <n v="876.46"/>
    <n v="850.1662"/>
    <n v="10201.9944"/>
    <n v="8531.880000000001"/>
    <n v="1670.1143999999986"/>
    <n v="0.16370469679928451"/>
    <s v="Profit"/>
    <x v="0"/>
    <n v="0.03"/>
    <s v="Credit Card"/>
    <s v="Online"/>
    <s v="West-Alice"/>
    <x v="0"/>
  </r>
  <r>
    <n v="1072"/>
    <x v="312"/>
    <x v="0"/>
    <x v="3"/>
    <n v="39"/>
    <x v="2"/>
    <n v="1"/>
    <n v="4330.03"/>
    <n v="4467.75"/>
    <n v="4378.3949999999995"/>
    <n v="170757.405"/>
    <n v="168871.16999999998"/>
    <n v="1886.2350000000151"/>
    <n v="1.1046285225522227E-2"/>
    <s v="Profit"/>
    <x v="1"/>
    <n v="0.02"/>
    <s v="Credit Card"/>
    <s v="Retail"/>
    <s v="South-Bob"/>
    <x v="1"/>
  </r>
  <r>
    <n v="1072"/>
    <x v="31"/>
    <x v="3"/>
    <x v="2"/>
    <n v="25"/>
    <x v="2"/>
    <n v="1"/>
    <n v="481.19"/>
    <n v="693.4"/>
    <n v="506.18199999999996"/>
    <n v="12654.55"/>
    <n v="12029.75"/>
    <n v="624.79999999999927"/>
    <n v="4.9373545483640216E-2"/>
    <s v="Profit"/>
    <x v="1"/>
    <n v="0.27"/>
    <s v="Credit Card"/>
    <s v="Retail"/>
    <s v="East-Alice"/>
    <x v="0"/>
  </r>
  <r>
    <n v="1072"/>
    <x v="180"/>
    <x v="4"/>
    <x v="3"/>
    <n v="12"/>
    <x v="0"/>
    <n v="1"/>
    <n v="1517.4"/>
    <n v="1545.02"/>
    <n v="1498.6694"/>
    <n v="17984.032799999997"/>
    <n v="18208.800000000003"/>
    <n v="-224.76720000000569"/>
    <n v="-1.2498153361909223E-2"/>
    <s v="Loss"/>
    <x v="1"/>
    <n v="0.03"/>
    <s v="Bank Transfer"/>
    <s v="Retail"/>
    <s v="South-Charlie"/>
    <x v="0"/>
  </r>
  <r>
    <n v="1072"/>
    <x v="181"/>
    <x v="4"/>
    <x v="1"/>
    <n v="23"/>
    <x v="1"/>
    <n v="1"/>
    <n v="1662.83"/>
    <n v="2074.25"/>
    <n v="1825.34"/>
    <n v="41982.82"/>
    <n v="38245.089999999997"/>
    <n v="3737.7300000000032"/>
    <n v="8.9029988933568616E-2"/>
    <s v="Profit"/>
    <x v="1"/>
    <n v="0.12"/>
    <s v="Bank Transfer"/>
    <s v="Online"/>
    <s v="North-Charlie"/>
    <x v="0"/>
  </r>
  <r>
    <n v="1073"/>
    <x v="275"/>
    <x v="1"/>
    <x v="0"/>
    <n v="40"/>
    <x v="1"/>
    <n v="1"/>
    <n v="2565.3000000000002"/>
    <n v="3007.47"/>
    <n v="2496.2000999999996"/>
    <n v="99848.003999999986"/>
    <n v="102612"/>
    <n v="-2763.9960000000137"/>
    <n v="-2.768203558681067E-2"/>
    <s v="Loss"/>
    <x v="0"/>
    <n v="0.17"/>
    <s v="Credit Card"/>
    <s v="Retail"/>
    <s v="West-David"/>
    <x v="1"/>
  </r>
  <r>
    <n v="1073"/>
    <x v="313"/>
    <x v="3"/>
    <x v="1"/>
    <n v="31"/>
    <x v="0"/>
    <n v="1"/>
    <n v="4368.97"/>
    <n v="4696.8500000000004"/>
    <n v="3522.6375000000003"/>
    <n v="109201.76250000001"/>
    <n v="135438.07"/>
    <n v="-26236.307499999995"/>
    <n v="-0.24025534844275057"/>
    <s v="Loss"/>
    <x v="0"/>
    <n v="0.25"/>
    <s v="Bank Transfer"/>
    <s v="Retail"/>
    <s v="North-Alice"/>
    <x v="1"/>
  </r>
  <r>
    <n v="1073"/>
    <x v="278"/>
    <x v="1"/>
    <x v="1"/>
    <n v="29"/>
    <x v="2"/>
    <n v="1"/>
    <n v="2152.6799999999998"/>
    <n v="2475.9299999999998"/>
    <n v="1931.2254"/>
    <n v="56005.536599999999"/>
    <n v="62427.719999999994"/>
    <n v="-6422.1833999999944"/>
    <n v="-0.11467050920104914"/>
    <s v="Loss"/>
    <x v="0"/>
    <n v="0.22"/>
    <s v="Bank Transfer"/>
    <s v="Online"/>
    <s v="North-David"/>
    <x v="0"/>
  </r>
  <r>
    <n v="1073"/>
    <x v="123"/>
    <x v="1"/>
    <x v="3"/>
    <n v="48"/>
    <x v="2"/>
    <n v="1"/>
    <n v="2658.9"/>
    <n v="2838.27"/>
    <n v="2128.7024999999999"/>
    <n v="102177.72"/>
    <n v="127627.20000000001"/>
    <n v="-25449.48000000001"/>
    <n v="-0.24907073675161287"/>
    <s v="Loss"/>
    <x v="1"/>
    <n v="0.25"/>
    <s v="Credit Card"/>
    <s v="Online"/>
    <s v="South-David"/>
    <x v="1"/>
  </r>
  <r>
    <n v="1073"/>
    <x v="116"/>
    <x v="2"/>
    <x v="0"/>
    <n v="40"/>
    <x v="0"/>
    <n v="1"/>
    <n v="157.15"/>
    <n v="436.53"/>
    <n v="419.06879999999995"/>
    <n v="16762.751999999997"/>
    <n v="6286"/>
    <n v="10476.751999999997"/>
    <n v="0.62500190899441799"/>
    <s v="Profit"/>
    <x v="1"/>
    <n v="0.04"/>
    <s v="Cash"/>
    <s v="Retail"/>
    <s v="West-Eve"/>
    <x v="0"/>
  </r>
  <r>
    <n v="1073"/>
    <x v="107"/>
    <x v="3"/>
    <x v="0"/>
    <n v="45"/>
    <x v="1"/>
    <n v="1"/>
    <n v="2558.09"/>
    <n v="2958.55"/>
    <n v="2721.8660000000004"/>
    <n v="122483.97"/>
    <n v="115114.05"/>
    <n v="7369.9199999999983"/>
    <n v="6.017048598277798E-2"/>
    <s v="Profit"/>
    <x v="1"/>
    <n v="0.08"/>
    <s v="Cash"/>
    <s v="Online"/>
    <s v="West-Alice"/>
    <x v="1"/>
  </r>
  <r>
    <n v="1073"/>
    <x v="172"/>
    <x v="4"/>
    <x v="3"/>
    <n v="45"/>
    <x v="2"/>
    <n v="1"/>
    <n v="4369.5"/>
    <n v="4381.8900000000003"/>
    <n v="4294.2521999999999"/>
    <n v="193241.34900000002"/>
    <n v="196627.5"/>
    <n v="-3386.1509999999835"/>
    <n v="-1.7522911206752045E-2"/>
    <s v="Loss"/>
    <x v="0"/>
    <n v="0.02"/>
    <s v="Credit Card"/>
    <s v="Retail"/>
    <s v="South-Charlie"/>
    <x v="1"/>
  </r>
  <r>
    <n v="1074"/>
    <x v="16"/>
    <x v="2"/>
    <x v="3"/>
    <n v="38"/>
    <x v="1"/>
    <n v="1"/>
    <n v="1394.74"/>
    <n v="1848.69"/>
    <n v="1848.69"/>
    <n v="70250.22"/>
    <n v="53000.12"/>
    <n v="17250.099999999999"/>
    <n v="0.24555225592176078"/>
    <s v="Profit"/>
    <x v="0"/>
    <n v="0"/>
    <s v="Bank Transfer"/>
    <s v="Retail"/>
    <s v="South-Eve"/>
    <x v="0"/>
  </r>
  <r>
    <n v="1074"/>
    <x v="145"/>
    <x v="0"/>
    <x v="2"/>
    <n v="2"/>
    <x v="0"/>
    <n v="1"/>
    <n v="2868.02"/>
    <n v="2994.74"/>
    <n v="2455.6867999999999"/>
    <n v="4911.3735999999999"/>
    <n v="5736.04"/>
    <n v="-824.66640000000007"/>
    <n v="-0.16790952331543257"/>
    <s v="Loss"/>
    <x v="0"/>
    <n v="0.18"/>
    <s v="Bank Transfer"/>
    <s v="Online"/>
    <s v="East-Bob"/>
    <x v="1"/>
  </r>
  <r>
    <n v="1074"/>
    <x v="10"/>
    <x v="1"/>
    <x v="3"/>
    <n v="29"/>
    <x v="1"/>
    <n v="1"/>
    <n v="173.67"/>
    <n v="565.62"/>
    <n v="395.93399999999997"/>
    <n v="11482.085999999999"/>
    <n v="5036.4299999999994"/>
    <n v="6445.6559999999999"/>
    <n v="0.56136628832078073"/>
    <s v="Profit"/>
    <x v="0"/>
    <n v="0.3"/>
    <s v="Cash"/>
    <s v="Online"/>
    <s v="South-David"/>
    <x v="0"/>
  </r>
  <r>
    <n v="1074"/>
    <x v="183"/>
    <x v="3"/>
    <x v="3"/>
    <n v="31"/>
    <x v="1"/>
    <n v="1"/>
    <n v="1138.32"/>
    <n v="1266.25"/>
    <n v="1088.9749999999999"/>
    <n v="33758.224999999999"/>
    <n v="35287.919999999998"/>
    <n v="-1529.6949999999997"/>
    <n v="-4.5313253288642982E-2"/>
    <s v="Loss"/>
    <x v="0"/>
    <n v="0.14000000000000001"/>
    <s v="Cash"/>
    <s v="Retail"/>
    <s v="South-Alice"/>
    <x v="0"/>
  </r>
  <r>
    <n v="1074"/>
    <x v="183"/>
    <x v="0"/>
    <x v="0"/>
    <n v="1"/>
    <x v="1"/>
    <n v="1"/>
    <n v="1304.23"/>
    <n v="1705.71"/>
    <n v="1688.6529"/>
    <n v="1688.6529"/>
    <n v="1304.23"/>
    <n v="384.42290000000003"/>
    <n v="0.22765063205114563"/>
    <s v="Profit"/>
    <x v="0"/>
    <n v="0.01"/>
    <s v="Cash"/>
    <s v="Retail"/>
    <s v="West-Bob"/>
    <x v="0"/>
  </r>
  <r>
    <n v="1074"/>
    <x v="213"/>
    <x v="1"/>
    <x v="0"/>
    <n v="29"/>
    <x v="1"/>
    <n v="1"/>
    <n v="1723.01"/>
    <n v="2197.42"/>
    <n v="2043.6006"/>
    <n v="59264.417399999998"/>
    <n v="49967.29"/>
    <n v="9297.1273999999976"/>
    <n v="0.15687536987413289"/>
    <s v="Profit"/>
    <x v="1"/>
    <n v="7.0000000000000007E-2"/>
    <s v="Bank Transfer"/>
    <s v="Retail"/>
    <s v="West-David"/>
    <x v="0"/>
  </r>
  <r>
    <n v="1074"/>
    <x v="286"/>
    <x v="0"/>
    <x v="1"/>
    <n v="19"/>
    <x v="1"/>
    <n v="1"/>
    <n v="278.67"/>
    <n v="423.13"/>
    <n v="321.5788"/>
    <n v="6109.9972000000007"/>
    <n v="5294.7300000000005"/>
    <n v="815.26720000000023"/>
    <n v="0.1334316814416871"/>
    <s v="Profit"/>
    <x v="1"/>
    <n v="0.24"/>
    <s v="Credit Card"/>
    <s v="Online"/>
    <s v="North-Bob"/>
    <x v="0"/>
  </r>
  <r>
    <n v="1074"/>
    <x v="51"/>
    <x v="2"/>
    <x v="0"/>
    <n v="38"/>
    <x v="0"/>
    <n v="1"/>
    <n v="2610.6"/>
    <n v="2836.94"/>
    <n v="2297.9214000000002"/>
    <n v="87321.013200000001"/>
    <n v="99202.8"/>
    <n v="-11881.786800000002"/>
    <n v="-0.13607018934590193"/>
    <s v="Loss"/>
    <x v="0"/>
    <n v="0.19"/>
    <s v="Credit Card"/>
    <s v="Online"/>
    <s v="West-Eve"/>
    <x v="1"/>
  </r>
  <r>
    <n v="1074"/>
    <x v="314"/>
    <x v="2"/>
    <x v="1"/>
    <n v="42"/>
    <x v="1"/>
    <n v="1"/>
    <n v="2120.81"/>
    <n v="2611.94"/>
    <n v="2011.1938"/>
    <n v="84470.139599999995"/>
    <n v="89074.02"/>
    <n v="-4603.8804000000091"/>
    <n v="-5.4503051868994533E-2"/>
    <s v="Loss"/>
    <x v="0"/>
    <n v="0.23"/>
    <s v="Cash"/>
    <s v="Online"/>
    <s v="North-Eve"/>
    <x v="0"/>
  </r>
  <r>
    <n v="1074"/>
    <x v="15"/>
    <x v="2"/>
    <x v="0"/>
    <n v="2"/>
    <x v="0"/>
    <n v="1"/>
    <n v="3173.69"/>
    <n v="3503.11"/>
    <n v="2802.4880000000003"/>
    <n v="5604.9760000000006"/>
    <n v="6347.38"/>
    <n v="-742.40399999999954"/>
    <n v="-0.13245444761940095"/>
    <s v="Loss"/>
    <x v="1"/>
    <n v="0.2"/>
    <s v="Bank Transfer"/>
    <s v="Retail"/>
    <s v="West-Eve"/>
    <x v="1"/>
  </r>
  <r>
    <n v="1075"/>
    <x v="298"/>
    <x v="1"/>
    <x v="0"/>
    <n v="26"/>
    <x v="3"/>
    <n v="1"/>
    <n v="4535.38"/>
    <n v="4557.5600000000004"/>
    <n v="4557.5600000000004"/>
    <n v="118496.56000000001"/>
    <n v="117919.88"/>
    <n v="576.68000000000757"/>
    <n v="4.8666391665716496E-3"/>
    <s v="Profit"/>
    <x v="1"/>
    <n v="0"/>
    <s v="Credit Card"/>
    <s v="Online"/>
    <s v="West-David"/>
    <x v="1"/>
  </r>
  <r>
    <n v="1075"/>
    <x v="300"/>
    <x v="0"/>
    <x v="2"/>
    <n v="37"/>
    <x v="0"/>
    <n v="1"/>
    <n v="1675.51"/>
    <n v="1906.64"/>
    <n v="1658.7768000000001"/>
    <n v="61374.741600000008"/>
    <n v="61993.87"/>
    <n v="-619.12839999999414"/>
    <n v="-1.0087674242851624E-2"/>
    <s v="Loss"/>
    <x v="1"/>
    <n v="0.13"/>
    <s v="Bank Transfer"/>
    <s v="Online"/>
    <s v="East-Bob"/>
    <x v="0"/>
  </r>
  <r>
    <n v="1075"/>
    <x v="267"/>
    <x v="4"/>
    <x v="0"/>
    <n v="18"/>
    <x v="2"/>
    <n v="1"/>
    <n v="2228.35"/>
    <n v="2682.34"/>
    <n v="2333.6358"/>
    <n v="42005.4444"/>
    <n v="40110.299999999996"/>
    <n v="1895.1444000000047"/>
    <n v="4.5116637309043792E-2"/>
    <s v="Profit"/>
    <x v="1"/>
    <n v="0.13"/>
    <s v="Bank Transfer"/>
    <s v="Online"/>
    <s v="West-Charlie"/>
    <x v="0"/>
  </r>
  <r>
    <n v="1075"/>
    <x v="135"/>
    <x v="4"/>
    <x v="1"/>
    <n v="17"/>
    <x v="3"/>
    <n v="1"/>
    <n v="4966.66"/>
    <n v="5037.2700000000004"/>
    <n v="3828.3252000000002"/>
    <n v="65081.52840000001"/>
    <n v="84433.22"/>
    <n v="-19351.691599999991"/>
    <n v="-0.29734537703327796"/>
    <s v="Loss"/>
    <x v="0"/>
    <n v="0.24"/>
    <s v="Bank Transfer"/>
    <s v="Retail"/>
    <s v="North-Charlie"/>
    <x v="1"/>
  </r>
  <r>
    <n v="1075"/>
    <x v="145"/>
    <x v="1"/>
    <x v="2"/>
    <n v="14"/>
    <x v="1"/>
    <n v="1"/>
    <n v="1612.93"/>
    <n v="1964.15"/>
    <n v="1492.7540000000001"/>
    <n v="20898.556"/>
    <n v="22581.02"/>
    <n v="-1682.4639999999999"/>
    <n v="-8.0506232105222952E-2"/>
    <s v="Loss"/>
    <x v="0"/>
    <n v="0.24"/>
    <s v="Bank Transfer"/>
    <s v="Retail"/>
    <s v="East-David"/>
    <x v="0"/>
  </r>
  <r>
    <n v="1075"/>
    <x v="230"/>
    <x v="0"/>
    <x v="2"/>
    <n v="36"/>
    <x v="2"/>
    <n v="1"/>
    <n v="4337.6099999999997"/>
    <n v="4386.82"/>
    <n v="3377.8514"/>
    <n v="121602.6504"/>
    <n v="156153.96"/>
    <n v="-34551.309599999993"/>
    <n v="-0.28413286623561945"/>
    <s v="Loss"/>
    <x v="0"/>
    <n v="0.23"/>
    <s v="Credit Card"/>
    <s v="Online"/>
    <s v="East-Bob"/>
    <x v="1"/>
  </r>
  <r>
    <n v="1075"/>
    <x v="38"/>
    <x v="2"/>
    <x v="1"/>
    <n v="26"/>
    <x v="1"/>
    <n v="1"/>
    <n v="1749.34"/>
    <n v="1935.25"/>
    <n v="1664.3150000000001"/>
    <n v="43272.19"/>
    <n v="45482.84"/>
    <n v="-2210.6499999999942"/>
    <n v="-5.108708387534798E-2"/>
    <s v="Loss"/>
    <x v="1"/>
    <n v="0.14000000000000001"/>
    <s v="Credit Card"/>
    <s v="Online"/>
    <s v="North-Eve"/>
    <x v="0"/>
  </r>
  <r>
    <n v="1075"/>
    <x v="213"/>
    <x v="4"/>
    <x v="1"/>
    <n v="28"/>
    <x v="2"/>
    <n v="1"/>
    <n v="2570.2199999999998"/>
    <n v="2610.84"/>
    <n v="1905.9132"/>
    <n v="53365.569600000003"/>
    <n v="71966.159999999989"/>
    <n v="-18600.590399999986"/>
    <n v="-0.34855039568433627"/>
    <s v="Loss"/>
    <x v="0"/>
    <n v="0.27"/>
    <s v="Bank Transfer"/>
    <s v="Retail"/>
    <s v="North-Charlie"/>
    <x v="0"/>
  </r>
  <r>
    <n v="1075"/>
    <x v="312"/>
    <x v="4"/>
    <x v="0"/>
    <n v="42"/>
    <x v="2"/>
    <n v="1"/>
    <n v="967.77"/>
    <n v="1414.88"/>
    <n v="1174.3504"/>
    <n v="49322.716800000002"/>
    <n v="40646.339999999997"/>
    <n v="8676.3768000000055"/>
    <n v="0.17591035861187609"/>
    <s v="Profit"/>
    <x v="1"/>
    <n v="0.17"/>
    <s v="Bank Transfer"/>
    <s v="Online"/>
    <s v="West-Charlie"/>
    <x v="0"/>
  </r>
  <r>
    <n v="1075"/>
    <x v="233"/>
    <x v="1"/>
    <x v="0"/>
    <n v="44"/>
    <x v="1"/>
    <n v="1"/>
    <n v="3519.29"/>
    <n v="3822.98"/>
    <n v="2790.7754"/>
    <n v="122794.1176"/>
    <n v="154848.76"/>
    <n v="-32054.642400000012"/>
    <n v="-0.26104379449525039"/>
    <s v="Loss"/>
    <x v="0"/>
    <n v="0.27"/>
    <s v="Bank Transfer"/>
    <s v="Online"/>
    <s v="West-David"/>
    <x v="1"/>
  </r>
  <r>
    <n v="1075"/>
    <x v="315"/>
    <x v="1"/>
    <x v="3"/>
    <n v="37"/>
    <x v="3"/>
    <n v="1"/>
    <n v="4399.8"/>
    <n v="4801.0600000000004"/>
    <n v="4176.9222"/>
    <n v="154546.1214"/>
    <n v="162792.6"/>
    <n v="-8246.4786000000022"/>
    <n v="-5.335933716936362E-2"/>
    <s v="Loss"/>
    <x v="1"/>
    <n v="0.13"/>
    <s v="Bank Transfer"/>
    <s v="Retail"/>
    <s v="South-David"/>
    <x v="1"/>
  </r>
  <r>
    <n v="1075"/>
    <x v="304"/>
    <x v="1"/>
    <x v="3"/>
    <n v="30"/>
    <x v="1"/>
    <n v="1"/>
    <n v="738.06"/>
    <n v="1095.45"/>
    <n v="1040.6775"/>
    <n v="31220.324999999997"/>
    <n v="22141.8"/>
    <n v="9078.5249999999978"/>
    <n v="0.29078893317093907"/>
    <s v="Profit"/>
    <x v="1"/>
    <n v="0.05"/>
    <s v="Bank Transfer"/>
    <s v="Online"/>
    <s v="South-David"/>
    <x v="0"/>
  </r>
  <r>
    <n v="1076"/>
    <x v="316"/>
    <x v="2"/>
    <x v="1"/>
    <n v="17"/>
    <x v="2"/>
    <n v="1"/>
    <n v="604.08000000000004"/>
    <n v="624.71"/>
    <n v="537.25060000000008"/>
    <n v="9133.2601999999988"/>
    <n v="10269.36"/>
    <n v="-1136.0998000000018"/>
    <n v="-0.12439148509094287"/>
    <s v="Loss"/>
    <x v="1"/>
    <n v="0.14000000000000001"/>
    <s v="Bank Transfer"/>
    <s v="Retail"/>
    <s v="North-Eve"/>
    <x v="0"/>
  </r>
  <r>
    <n v="1076"/>
    <x v="18"/>
    <x v="4"/>
    <x v="3"/>
    <n v="23"/>
    <x v="0"/>
    <n v="1"/>
    <n v="1727.78"/>
    <n v="1984.34"/>
    <n v="1508.0983999999999"/>
    <n v="34686.263200000001"/>
    <n v="39738.94"/>
    <n v="-5052.6768000000011"/>
    <n v="-0.14566794845747469"/>
    <s v="Loss"/>
    <x v="0"/>
    <n v="0.24"/>
    <s v="Bank Transfer"/>
    <s v="Online"/>
    <s v="South-Charlie"/>
    <x v="0"/>
  </r>
  <r>
    <n v="1076"/>
    <x v="95"/>
    <x v="0"/>
    <x v="0"/>
    <n v="32"/>
    <x v="0"/>
    <n v="1"/>
    <n v="2636.36"/>
    <n v="2696.78"/>
    <n v="2454.0698000000002"/>
    <n v="78530.233600000007"/>
    <n v="84363.520000000004"/>
    <n v="-5833.2863999999972"/>
    <n v="-7.4280772290991851E-2"/>
    <s v="Loss"/>
    <x v="1"/>
    <n v="0.09"/>
    <s v="Cash"/>
    <s v="Retail"/>
    <s v="West-Bob"/>
    <x v="0"/>
  </r>
  <r>
    <n v="1076"/>
    <x v="286"/>
    <x v="2"/>
    <x v="2"/>
    <n v="30"/>
    <x v="2"/>
    <n v="1"/>
    <n v="3519.63"/>
    <n v="3774.65"/>
    <n v="3019.7200000000003"/>
    <n v="90591.6"/>
    <n v="105588.90000000001"/>
    <n v="-14997.300000000003"/>
    <n v="-0.16554846144675667"/>
    <s v="Loss"/>
    <x v="1"/>
    <n v="0.2"/>
    <s v="Credit Card"/>
    <s v="Retail"/>
    <s v="East-Eve"/>
    <x v="1"/>
  </r>
  <r>
    <n v="1076"/>
    <x v="82"/>
    <x v="4"/>
    <x v="3"/>
    <n v="16"/>
    <x v="2"/>
    <n v="1"/>
    <n v="1964.15"/>
    <n v="2211.17"/>
    <n v="1746.8243000000002"/>
    <n v="27949.188800000004"/>
    <n v="31426.400000000001"/>
    <n v="-3477.2111999999979"/>
    <n v="-0.1244118827520317"/>
    <s v="Loss"/>
    <x v="0"/>
    <n v="0.21"/>
    <s v="Bank Transfer"/>
    <s v="Online"/>
    <s v="South-Charlie"/>
    <x v="0"/>
  </r>
  <r>
    <n v="1076"/>
    <x v="124"/>
    <x v="0"/>
    <x v="1"/>
    <n v="26"/>
    <x v="3"/>
    <n v="1"/>
    <n v="1762"/>
    <n v="2002.95"/>
    <n v="1422.0944999999999"/>
    <n v="36974.457000000002"/>
    <n v="45812"/>
    <n v="-8837.5429999999978"/>
    <n v="-0.23901751958115294"/>
    <s v="Loss"/>
    <x v="0"/>
    <n v="0.28999999999999998"/>
    <s v="Credit Card"/>
    <s v="Retail"/>
    <s v="North-Bob"/>
    <x v="0"/>
  </r>
  <r>
    <n v="1076"/>
    <x v="287"/>
    <x v="4"/>
    <x v="3"/>
    <n v="23"/>
    <x v="0"/>
    <n v="1"/>
    <n v="2759.16"/>
    <n v="2864.45"/>
    <n v="2348.8490000000002"/>
    <n v="54023.526999999995"/>
    <n v="63460.679999999993"/>
    <n v="-9437.1529999999984"/>
    <n v="-0.17468598449708772"/>
    <s v="Loss"/>
    <x v="0"/>
    <n v="0.18"/>
    <s v="Credit Card"/>
    <s v="Retail"/>
    <s v="South-Charlie"/>
    <x v="1"/>
  </r>
  <r>
    <n v="1076"/>
    <x v="63"/>
    <x v="2"/>
    <x v="0"/>
    <n v="32"/>
    <x v="2"/>
    <n v="1"/>
    <n v="4337.82"/>
    <n v="4460.71"/>
    <n v="3122.4969999999998"/>
    <n v="99919.903999999995"/>
    <n v="138810.23999999999"/>
    <n v="-38890.335999999996"/>
    <n v="-0.38921510573108636"/>
    <s v="Loss"/>
    <x v="0"/>
    <n v="0.3"/>
    <s v="Cash"/>
    <s v="Retail"/>
    <s v="West-Eve"/>
    <x v="1"/>
  </r>
  <r>
    <n v="1077"/>
    <x v="317"/>
    <x v="3"/>
    <x v="0"/>
    <n v="5"/>
    <x v="3"/>
    <n v="1"/>
    <n v="3650.89"/>
    <n v="3930.06"/>
    <n v="3261.9497999999999"/>
    <n v="16309.748999999998"/>
    <n v="18254.45"/>
    <n v="-1944.7010000000028"/>
    <n v="-0.11923549528567258"/>
    <s v="Loss"/>
    <x v="1"/>
    <n v="0.17"/>
    <s v="Bank Transfer"/>
    <s v="Online"/>
    <s v="West-Alice"/>
    <x v="1"/>
  </r>
  <r>
    <n v="1077"/>
    <x v="318"/>
    <x v="1"/>
    <x v="2"/>
    <n v="24"/>
    <x v="3"/>
    <n v="1"/>
    <n v="2258.54"/>
    <n v="2439.4899999999998"/>
    <n v="1951.5919999999999"/>
    <n v="46838.207999999999"/>
    <n v="54204.959999999999"/>
    <n v="-7366.7520000000004"/>
    <n v="-0.15728082509049024"/>
    <s v="Loss"/>
    <x v="0"/>
    <n v="0.2"/>
    <s v="Credit Card"/>
    <s v="Retail"/>
    <s v="East-David"/>
    <x v="0"/>
  </r>
  <r>
    <n v="1077"/>
    <x v="133"/>
    <x v="2"/>
    <x v="0"/>
    <n v="12"/>
    <x v="2"/>
    <n v="1"/>
    <n v="2427.46"/>
    <n v="2743.09"/>
    <n v="1947.5939000000001"/>
    <n v="23371.126800000002"/>
    <n v="29129.52"/>
    <n v="-5758.3931999999986"/>
    <n v="-0.24638919848742588"/>
    <s v="Loss"/>
    <x v="1"/>
    <n v="0.28999999999999998"/>
    <s v="Credit Card"/>
    <s v="Retail"/>
    <s v="West-Eve"/>
    <x v="0"/>
  </r>
  <r>
    <n v="1077"/>
    <x v="119"/>
    <x v="4"/>
    <x v="2"/>
    <n v="43"/>
    <x v="0"/>
    <n v="1"/>
    <n v="4402.66"/>
    <n v="4724.7"/>
    <n v="4252.2299999999996"/>
    <n v="182845.89"/>
    <n v="189314.38"/>
    <n v="-6468.4899999999907"/>
    <n v="-3.5376731738405442E-2"/>
    <s v="Loss"/>
    <x v="1"/>
    <n v="0.1"/>
    <s v="Bank Transfer"/>
    <s v="Retail"/>
    <s v="East-Charlie"/>
    <x v="1"/>
  </r>
  <r>
    <n v="1077"/>
    <x v="241"/>
    <x v="2"/>
    <x v="1"/>
    <n v="35"/>
    <x v="3"/>
    <n v="1"/>
    <n v="585.37"/>
    <n v="970.49"/>
    <n v="824.91650000000004"/>
    <n v="28872.077499999999"/>
    <n v="20487.95"/>
    <n v="8384.1274999999987"/>
    <n v="0.29038878480428015"/>
    <s v="Profit"/>
    <x v="0"/>
    <n v="0.15"/>
    <s v="Bank Transfer"/>
    <s v="Retail"/>
    <s v="North-Eve"/>
    <x v="0"/>
  </r>
  <r>
    <n v="1077"/>
    <x v="84"/>
    <x v="1"/>
    <x v="3"/>
    <n v="23"/>
    <x v="3"/>
    <n v="1"/>
    <n v="557.52"/>
    <n v="822.39"/>
    <n v="583.89689999999996"/>
    <n v="13429.628699999999"/>
    <n v="12822.96"/>
    <n v="606.66870000000017"/>
    <n v="4.5173899707294234E-2"/>
    <s v="Profit"/>
    <x v="0"/>
    <n v="0.28999999999999998"/>
    <s v="Credit Card"/>
    <s v="Online"/>
    <s v="South-David"/>
    <x v="0"/>
  </r>
  <r>
    <n v="1077"/>
    <x v="217"/>
    <x v="3"/>
    <x v="0"/>
    <n v="25"/>
    <x v="3"/>
    <n v="1"/>
    <n v="61.5"/>
    <n v="258.92"/>
    <n v="214.90360000000001"/>
    <n v="5372.59"/>
    <n v="1537.5"/>
    <n v="3835.09"/>
    <n v="0.71382517556709146"/>
    <s v="Profit"/>
    <x v="1"/>
    <n v="0.17"/>
    <s v="Credit Card"/>
    <s v="Online"/>
    <s v="West-Alice"/>
    <x v="0"/>
  </r>
  <r>
    <n v="1078"/>
    <x v="262"/>
    <x v="1"/>
    <x v="2"/>
    <n v="49"/>
    <x v="1"/>
    <n v="1"/>
    <n v="1833.95"/>
    <n v="2147.14"/>
    <n v="1760.6548"/>
    <n v="86272.085200000001"/>
    <n v="89863.55"/>
    <n v="-3591.4648000000016"/>
    <n v="-4.1629511929311774E-2"/>
    <s v="Loss"/>
    <x v="0"/>
    <n v="0.18"/>
    <s v="Credit Card"/>
    <s v="Retail"/>
    <s v="East-David"/>
    <x v="0"/>
  </r>
  <r>
    <n v="1078"/>
    <x v="120"/>
    <x v="3"/>
    <x v="3"/>
    <n v="49"/>
    <x v="1"/>
    <n v="1"/>
    <n v="3026.85"/>
    <n v="3183.58"/>
    <n v="2387.6849999999999"/>
    <n v="116996.56499999999"/>
    <n v="148315.65"/>
    <n v="-31319.085000000006"/>
    <n v="-0.26769234635221989"/>
    <s v="Loss"/>
    <x v="0"/>
    <n v="0.25"/>
    <s v="Cash"/>
    <s v="Retail"/>
    <s v="South-Alice"/>
    <x v="1"/>
  </r>
  <r>
    <n v="1078"/>
    <x v="104"/>
    <x v="2"/>
    <x v="2"/>
    <n v="36"/>
    <x v="0"/>
    <n v="1"/>
    <n v="4548.88"/>
    <n v="4853.41"/>
    <n v="3640.0574999999999"/>
    <n v="131042.07"/>
    <n v="163759.67999999999"/>
    <n v="-32717.609999999986"/>
    <n v="-0.24967256698554888"/>
    <s v="Loss"/>
    <x v="0"/>
    <n v="0.25"/>
    <s v="Credit Card"/>
    <s v="Retail"/>
    <s v="East-Eve"/>
    <x v="1"/>
  </r>
  <r>
    <n v="1078"/>
    <x v="73"/>
    <x v="4"/>
    <x v="3"/>
    <n v="29"/>
    <x v="3"/>
    <n v="1"/>
    <n v="3177.81"/>
    <n v="3222.65"/>
    <n v="2964.8380000000002"/>
    <n v="85980.302000000011"/>
    <n v="92156.49"/>
    <n v="-6176.1879999999946"/>
    <n v="-7.1832592539626039E-2"/>
    <s v="Loss"/>
    <x v="0"/>
    <n v="0.08"/>
    <s v="Credit Card"/>
    <s v="Retail"/>
    <s v="South-Charlie"/>
    <x v="1"/>
  </r>
  <r>
    <n v="1078"/>
    <x v="146"/>
    <x v="1"/>
    <x v="2"/>
    <n v="42"/>
    <x v="0"/>
    <n v="1"/>
    <n v="63.41"/>
    <n v="314.93"/>
    <n v="305.4821"/>
    <n v="12830.2482"/>
    <n v="2663.22"/>
    <n v="10167.028200000001"/>
    <n v="0.79242646295805885"/>
    <s v="Profit"/>
    <x v="0"/>
    <n v="0.03"/>
    <s v="Cash"/>
    <s v="Retail"/>
    <s v="East-David"/>
    <x v="0"/>
  </r>
  <r>
    <n v="1078"/>
    <x v="123"/>
    <x v="1"/>
    <x v="2"/>
    <n v="8"/>
    <x v="1"/>
    <n v="1"/>
    <n v="3459.61"/>
    <n v="3657.23"/>
    <n v="3547.5131000000001"/>
    <n v="28380.104800000001"/>
    <n v="27676.880000000001"/>
    <n v="703.22479999999996"/>
    <n v="2.4778795038135303E-2"/>
    <s v="Profit"/>
    <x v="0"/>
    <n v="0.03"/>
    <s v="Bank Transfer"/>
    <s v="Online"/>
    <s v="East-David"/>
    <x v="1"/>
  </r>
  <r>
    <n v="1078"/>
    <x v="209"/>
    <x v="2"/>
    <x v="0"/>
    <n v="33"/>
    <x v="2"/>
    <n v="1"/>
    <n v="2396.6799999999998"/>
    <n v="2661.54"/>
    <n v="2182.4628000000002"/>
    <n v="72021.272400000002"/>
    <n v="79090.439999999988"/>
    <n v="-7069.1675999999861"/>
    <n v="-9.8153883768373779E-2"/>
    <s v="Loss"/>
    <x v="1"/>
    <n v="0.18"/>
    <s v="Bank Transfer"/>
    <s v="Online"/>
    <s v="West-Eve"/>
    <x v="0"/>
  </r>
  <r>
    <n v="1078"/>
    <x v="294"/>
    <x v="2"/>
    <x v="1"/>
    <n v="3"/>
    <x v="2"/>
    <n v="1"/>
    <n v="902.38"/>
    <n v="1128.9100000000001"/>
    <n v="1117.6209000000001"/>
    <n v="3352.8627000000006"/>
    <n v="2707.14"/>
    <n v="645.72270000000071"/>
    <n v="0.1925884707417338"/>
    <s v="Profit"/>
    <x v="1"/>
    <n v="0.01"/>
    <s v="Bank Transfer"/>
    <s v="Retail"/>
    <s v="North-Eve"/>
    <x v="0"/>
  </r>
  <r>
    <n v="1079"/>
    <x v="319"/>
    <x v="2"/>
    <x v="2"/>
    <n v="12"/>
    <x v="0"/>
    <n v="1"/>
    <n v="4754.0200000000004"/>
    <n v="5080.74"/>
    <n v="4064.5920000000001"/>
    <n v="48775.103999999999"/>
    <n v="57048.240000000005"/>
    <n v="-8273.1360000000059"/>
    <n v="-0.16961800840035124"/>
    <s v="Loss"/>
    <x v="1"/>
    <n v="0.2"/>
    <s v="Cash"/>
    <s v="Online"/>
    <s v="East-Eve"/>
    <x v="1"/>
  </r>
  <r>
    <n v="1079"/>
    <x v="56"/>
    <x v="1"/>
    <x v="3"/>
    <n v="34"/>
    <x v="1"/>
    <n v="1"/>
    <n v="1967.96"/>
    <n v="1993.4"/>
    <n v="1694.39"/>
    <n v="57609.26"/>
    <n v="66910.64"/>
    <n v="-9301.3799999999974"/>
    <n v="-0.1614563353183151"/>
    <s v="Loss"/>
    <x v="0"/>
    <n v="0.15"/>
    <s v="Credit Card"/>
    <s v="Online"/>
    <s v="South-David"/>
    <x v="0"/>
  </r>
  <r>
    <n v="1079"/>
    <x v="308"/>
    <x v="1"/>
    <x v="1"/>
    <n v="45"/>
    <x v="2"/>
    <n v="1"/>
    <n v="1406.9"/>
    <n v="1547.35"/>
    <n v="1284.3004999999998"/>
    <n v="57793.522499999999"/>
    <n v="63310.500000000007"/>
    <n v="-5516.9775000000081"/>
    <n v="-9.5460135692542497E-2"/>
    <s v="Loss"/>
    <x v="1"/>
    <n v="0.17"/>
    <s v="Cash"/>
    <s v="Retail"/>
    <s v="North-David"/>
    <x v="0"/>
  </r>
  <r>
    <n v="1079"/>
    <x v="41"/>
    <x v="2"/>
    <x v="2"/>
    <n v="49"/>
    <x v="2"/>
    <n v="1"/>
    <n v="437.59"/>
    <n v="675.54"/>
    <n v="607.98599999999999"/>
    <n v="29791.313999999998"/>
    <n v="21441.91"/>
    <n v="8349.4039999999986"/>
    <n v="0.28026303237245592"/>
    <s v="Profit"/>
    <x v="0"/>
    <n v="0.1"/>
    <s v="Cash"/>
    <s v="Online"/>
    <s v="East-Eve"/>
    <x v="0"/>
  </r>
  <r>
    <n v="1079"/>
    <x v="312"/>
    <x v="3"/>
    <x v="1"/>
    <n v="8"/>
    <x v="2"/>
    <n v="1"/>
    <n v="3808.23"/>
    <n v="3891.62"/>
    <n v="2879.7988"/>
    <n v="23038.3904"/>
    <n v="30465.84"/>
    <n v="-7427.4495999999999"/>
    <n v="-0.3223944672801447"/>
    <s v="Loss"/>
    <x v="0"/>
    <n v="0.26"/>
    <s v="Bank Transfer"/>
    <s v="Online"/>
    <s v="North-Alice"/>
    <x v="1"/>
  </r>
  <r>
    <n v="1079"/>
    <x v="216"/>
    <x v="0"/>
    <x v="0"/>
    <n v="38"/>
    <x v="1"/>
    <n v="1"/>
    <n v="1127.76"/>
    <n v="1265.6600000000001"/>
    <n v="936.58840000000009"/>
    <n v="35590.359199999999"/>
    <n v="42854.879999999997"/>
    <n v="-7264.5207999999984"/>
    <n v="-0.20411484916960318"/>
    <s v="Loss"/>
    <x v="0"/>
    <n v="0.26"/>
    <s v="Bank Transfer"/>
    <s v="Retail"/>
    <s v="West-Bob"/>
    <x v="0"/>
  </r>
  <r>
    <n v="1080"/>
    <x v="204"/>
    <x v="4"/>
    <x v="3"/>
    <n v="9"/>
    <x v="3"/>
    <n v="1"/>
    <n v="1141.52"/>
    <n v="1550.19"/>
    <n v="1116.1368"/>
    <n v="10045.2312"/>
    <n v="10273.68"/>
    <n v="-228.44880000000012"/>
    <n v="-2.2742015136495826E-2"/>
    <s v="Loss"/>
    <x v="1"/>
    <n v="0.28000000000000003"/>
    <s v="Credit Card"/>
    <s v="Retail"/>
    <s v="South-Charlie"/>
    <x v="0"/>
  </r>
  <r>
    <n v="1080"/>
    <x v="36"/>
    <x v="4"/>
    <x v="0"/>
    <n v="14"/>
    <x v="0"/>
    <n v="1"/>
    <n v="4127.54"/>
    <n v="4495.13"/>
    <n v="4225.4222"/>
    <n v="59155.910799999998"/>
    <n v="57785.56"/>
    <n v="1370.3508000000002"/>
    <n v="2.3165069753266317E-2"/>
    <s v="Profit"/>
    <x v="1"/>
    <n v="0.06"/>
    <s v="Bank Transfer"/>
    <s v="Retail"/>
    <s v="West-Charlie"/>
    <x v="1"/>
  </r>
  <r>
    <n v="1080"/>
    <x v="177"/>
    <x v="3"/>
    <x v="2"/>
    <n v="32"/>
    <x v="3"/>
    <n v="1"/>
    <n v="3414.54"/>
    <n v="3753.83"/>
    <n v="2927.9874"/>
    <n v="93695.596799999999"/>
    <n v="109265.28"/>
    <n v="-15569.683199999999"/>
    <n v="-0.16617305115452341"/>
    <s v="Loss"/>
    <x v="1"/>
    <n v="0.22"/>
    <s v="Cash"/>
    <s v="Retail"/>
    <s v="East-Alice"/>
    <x v="1"/>
  </r>
  <r>
    <n v="1080"/>
    <x v="82"/>
    <x v="0"/>
    <x v="3"/>
    <n v="47"/>
    <x v="1"/>
    <n v="1"/>
    <n v="4035.33"/>
    <n v="4211.25"/>
    <n v="3916.4624999999996"/>
    <n v="184073.73749999999"/>
    <n v="189660.51"/>
    <n v="-5586.772500000021"/>
    <n v="-3.0350731048746273E-2"/>
    <s v="Loss"/>
    <x v="0"/>
    <n v="7.0000000000000007E-2"/>
    <s v="Bank Transfer"/>
    <s v="Online"/>
    <s v="South-Bob"/>
    <x v="1"/>
  </r>
  <r>
    <n v="1080"/>
    <x v="320"/>
    <x v="4"/>
    <x v="2"/>
    <n v="44"/>
    <x v="3"/>
    <n v="1"/>
    <n v="1763.67"/>
    <n v="1983.82"/>
    <n v="1507.7031999999999"/>
    <n v="66338.940799999997"/>
    <n v="77601.48000000001"/>
    <n v="-11262.539200000014"/>
    <n v="-0.16977267143825145"/>
    <s v="Loss"/>
    <x v="1"/>
    <n v="0.24"/>
    <s v="Credit Card"/>
    <s v="Online"/>
    <s v="East-Charlie"/>
    <x v="0"/>
  </r>
  <r>
    <n v="1080"/>
    <x v="261"/>
    <x v="1"/>
    <x v="3"/>
    <n v="12"/>
    <x v="3"/>
    <n v="1"/>
    <n v="2316.13"/>
    <n v="2525.27"/>
    <n v="2222.2375999999999"/>
    <n v="26666.851199999997"/>
    <n v="27793.56"/>
    <n v="-1126.708800000004"/>
    <n v="-4.2251287621089817E-2"/>
    <s v="Loss"/>
    <x v="0"/>
    <n v="0.12"/>
    <s v="Credit Card"/>
    <s v="Retail"/>
    <s v="South-David"/>
    <x v="0"/>
  </r>
  <r>
    <n v="1080"/>
    <x v="312"/>
    <x v="0"/>
    <x v="0"/>
    <n v="17"/>
    <x v="1"/>
    <n v="1"/>
    <n v="2742.67"/>
    <n v="2979.64"/>
    <n v="2949.8435999999997"/>
    <n v="50147.341199999995"/>
    <n v="46625.39"/>
    <n v="3521.9511999999959"/>
    <n v="7.0232062472735765E-2"/>
    <s v="Profit"/>
    <x v="0"/>
    <n v="0.01"/>
    <s v="Cash"/>
    <s v="Retail"/>
    <s v="West-Bob"/>
    <x v="1"/>
  </r>
  <r>
    <n v="1080"/>
    <x v="42"/>
    <x v="2"/>
    <x v="0"/>
    <n v="35"/>
    <x v="1"/>
    <n v="1"/>
    <n v="900.97"/>
    <n v="1321.18"/>
    <n v="1189.0620000000001"/>
    <n v="41617.170000000006"/>
    <n v="31533.95"/>
    <n v="10083.220000000005"/>
    <n v="0.24228509531042125"/>
    <s v="Profit"/>
    <x v="0"/>
    <n v="0.1"/>
    <s v="Cash"/>
    <s v="Online"/>
    <s v="West-Eve"/>
    <x v="0"/>
  </r>
  <r>
    <n v="1081"/>
    <x v="305"/>
    <x v="3"/>
    <x v="1"/>
    <n v="23"/>
    <x v="3"/>
    <n v="1"/>
    <n v="1236.25"/>
    <n v="1543.38"/>
    <n v="1389.0420000000001"/>
    <n v="31947.966000000004"/>
    <n v="28433.75"/>
    <n v="3514.216000000004"/>
    <n v="0.10999811380793392"/>
    <s v="Profit"/>
    <x v="1"/>
    <n v="0.1"/>
    <s v="Bank Transfer"/>
    <s v="Online"/>
    <s v="North-Alice"/>
    <x v="0"/>
  </r>
  <r>
    <n v="1081"/>
    <x v="169"/>
    <x v="0"/>
    <x v="3"/>
    <n v="44"/>
    <x v="0"/>
    <n v="1"/>
    <n v="618.79"/>
    <n v="938.04"/>
    <n v="909.89879999999994"/>
    <n v="40035.547199999994"/>
    <n v="27226.76"/>
    <n v="12808.787199999995"/>
    <n v="0.3199353598444134"/>
    <s v="Profit"/>
    <x v="0"/>
    <n v="0.03"/>
    <s v="Cash"/>
    <s v="Online"/>
    <s v="South-Bob"/>
    <x v="0"/>
  </r>
  <r>
    <n v="1081"/>
    <x v="133"/>
    <x v="1"/>
    <x v="2"/>
    <n v="41"/>
    <x v="1"/>
    <n v="1"/>
    <n v="2782.08"/>
    <n v="2879.24"/>
    <n v="2274.5996"/>
    <n v="93258.583599999998"/>
    <n v="114065.28"/>
    <n v="-20806.696400000001"/>
    <n v="-0.22310757462544178"/>
    <s v="Loss"/>
    <x v="1"/>
    <n v="0.21"/>
    <s v="Bank Transfer"/>
    <s v="Online"/>
    <s v="East-David"/>
    <x v="1"/>
  </r>
  <r>
    <n v="1081"/>
    <x v="296"/>
    <x v="0"/>
    <x v="3"/>
    <n v="19"/>
    <x v="0"/>
    <n v="1"/>
    <n v="2443.69"/>
    <n v="2462.34"/>
    <n v="2289.9762000000001"/>
    <n v="43509.5478"/>
    <n v="46430.11"/>
    <n v="-2920.5622000000003"/>
    <n v="-6.7124627758140029E-2"/>
    <s v="Loss"/>
    <x v="1"/>
    <n v="7.0000000000000007E-2"/>
    <s v="Bank Transfer"/>
    <s v="Retail"/>
    <s v="South-Bob"/>
    <x v="0"/>
  </r>
  <r>
    <n v="1081"/>
    <x v="194"/>
    <x v="2"/>
    <x v="1"/>
    <n v="16"/>
    <x v="2"/>
    <n v="1"/>
    <n v="2530.15"/>
    <n v="2568.13"/>
    <n v="2542.4486999999999"/>
    <n v="40679.179199999999"/>
    <n v="40482.400000000001"/>
    <n v="196.77919999999722"/>
    <n v="4.8373444073816817E-3"/>
    <s v="Profit"/>
    <x v="1"/>
    <n v="0.01"/>
    <s v="Credit Card"/>
    <s v="Online"/>
    <s v="North-Eve"/>
    <x v="0"/>
  </r>
  <r>
    <n v="1081"/>
    <x v="195"/>
    <x v="4"/>
    <x v="0"/>
    <n v="44"/>
    <x v="3"/>
    <n v="1"/>
    <n v="1362.15"/>
    <n v="1844.07"/>
    <n v="1309.2896999999998"/>
    <n v="57608.746800000001"/>
    <n v="59934.600000000006"/>
    <n v="-2325.853200000005"/>
    <n v="-4.0373264984823534E-2"/>
    <s v="Loss"/>
    <x v="1"/>
    <n v="0.28999999999999998"/>
    <s v="Credit Card"/>
    <s v="Online"/>
    <s v="West-Charlie"/>
    <x v="0"/>
  </r>
  <r>
    <n v="1081"/>
    <x v="216"/>
    <x v="4"/>
    <x v="1"/>
    <n v="23"/>
    <x v="0"/>
    <n v="1"/>
    <n v="1411.37"/>
    <n v="1675.35"/>
    <n v="1323.5264999999999"/>
    <n v="30441.109499999999"/>
    <n v="32461.51"/>
    <n v="-2020.4004999999997"/>
    <n v="-6.6370790460183446E-2"/>
    <s v="Loss"/>
    <x v="1"/>
    <n v="0.21"/>
    <s v="Cash"/>
    <s v="Retail"/>
    <s v="North-Charlie"/>
    <x v="0"/>
  </r>
  <r>
    <n v="1082"/>
    <x v="321"/>
    <x v="4"/>
    <x v="2"/>
    <n v="15"/>
    <x v="2"/>
    <n v="1"/>
    <n v="1719.47"/>
    <n v="1832.6"/>
    <n v="1612.6879999999999"/>
    <n v="24190.32"/>
    <n v="25792.05"/>
    <n v="-1601.7299999999996"/>
    <n v="-6.6213675552865753E-2"/>
    <s v="Loss"/>
    <x v="0"/>
    <n v="0.12"/>
    <s v="Credit Card"/>
    <s v="Online"/>
    <s v="East-Charlie"/>
    <x v="0"/>
  </r>
  <r>
    <n v="1082"/>
    <x v="322"/>
    <x v="3"/>
    <x v="1"/>
    <n v="17"/>
    <x v="1"/>
    <n v="1"/>
    <n v="890.31"/>
    <n v="1159.06"/>
    <n v="1089.5164"/>
    <n v="18521.7788"/>
    <n v="15135.269999999999"/>
    <n v="3386.5088000000014"/>
    <n v="0.18283928539304234"/>
    <s v="Profit"/>
    <x v="0"/>
    <n v="0.06"/>
    <s v="Cash"/>
    <s v="Retail"/>
    <s v="North-Alice"/>
    <x v="0"/>
  </r>
  <r>
    <n v="1082"/>
    <x v="121"/>
    <x v="4"/>
    <x v="1"/>
    <n v="43"/>
    <x v="1"/>
    <n v="1"/>
    <n v="2289.2199999999998"/>
    <n v="2581"/>
    <n v="2451.9499999999998"/>
    <n v="105433.84999999999"/>
    <n v="98436.459999999992"/>
    <n v="6997.3899999999994"/>
    <n v="6.6367584983380579E-2"/>
    <s v="Profit"/>
    <x v="1"/>
    <n v="0.05"/>
    <s v="Bank Transfer"/>
    <s v="Online"/>
    <s v="North-Charlie"/>
    <x v="0"/>
  </r>
  <r>
    <n v="1082"/>
    <x v="237"/>
    <x v="1"/>
    <x v="3"/>
    <n v="2"/>
    <x v="1"/>
    <n v="1"/>
    <n v="1349.3"/>
    <n v="1576.69"/>
    <n v="1387.4872"/>
    <n v="2774.9744000000001"/>
    <n v="2698.6"/>
    <n v="76.374400000000151"/>
    <n v="2.7522560208123055E-2"/>
    <s v="Profit"/>
    <x v="0"/>
    <n v="0.12"/>
    <s v="Credit Card"/>
    <s v="Online"/>
    <s v="South-David"/>
    <x v="0"/>
  </r>
  <r>
    <n v="1082"/>
    <x v="185"/>
    <x v="3"/>
    <x v="2"/>
    <n v="48"/>
    <x v="0"/>
    <n v="1"/>
    <n v="3380.52"/>
    <n v="3778.94"/>
    <n v="2645.2579999999998"/>
    <n v="126972.38399999999"/>
    <n v="162264.95999999999"/>
    <n v="-35292.576000000001"/>
    <n v="-0.27795474014254945"/>
    <s v="Loss"/>
    <x v="0"/>
    <n v="0.3"/>
    <s v="Bank Transfer"/>
    <s v="Online"/>
    <s v="East-Alice"/>
    <x v="1"/>
  </r>
  <r>
    <n v="1082"/>
    <x v="246"/>
    <x v="2"/>
    <x v="2"/>
    <n v="46"/>
    <x v="0"/>
    <n v="1"/>
    <n v="1102.69"/>
    <n v="1437.12"/>
    <n v="1279.0367999999999"/>
    <n v="58835.69279999999"/>
    <n v="50723.740000000005"/>
    <n v="8111.9527999999846"/>
    <n v="0.13787468820287244"/>
    <s v="Profit"/>
    <x v="1"/>
    <n v="0.11"/>
    <s v="Credit Card"/>
    <s v="Online"/>
    <s v="East-Eve"/>
    <x v="0"/>
  </r>
  <r>
    <n v="1082"/>
    <x v="323"/>
    <x v="3"/>
    <x v="3"/>
    <n v="41"/>
    <x v="3"/>
    <n v="1"/>
    <n v="1196.42"/>
    <n v="1444.97"/>
    <n v="1141.5263"/>
    <n v="46802.578300000008"/>
    <n v="49053.22"/>
    <n v="-2250.6416999999929"/>
    <n v="-4.8087985357849236E-2"/>
    <s v="Loss"/>
    <x v="0"/>
    <n v="0.21"/>
    <s v="Bank Transfer"/>
    <s v="Online"/>
    <s v="South-Alice"/>
    <x v="0"/>
  </r>
  <r>
    <n v="1083"/>
    <x v="17"/>
    <x v="0"/>
    <x v="0"/>
    <n v="29"/>
    <x v="1"/>
    <n v="1"/>
    <n v="2408.81"/>
    <n v="2624.09"/>
    <n v="2256.7174"/>
    <n v="65444.804600000003"/>
    <n v="69855.490000000005"/>
    <n v="-4410.6854000000021"/>
    <n v="-6.7395501093756832E-2"/>
    <s v="Loss"/>
    <x v="0"/>
    <n v="0.14000000000000001"/>
    <s v="Cash"/>
    <s v="Online"/>
    <s v="West-Bob"/>
    <x v="0"/>
  </r>
  <r>
    <n v="1083"/>
    <x v="105"/>
    <x v="2"/>
    <x v="0"/>
    <n v="42"/>
    <x v="2"/>
    <n v="1"/>
    <n v="2505.41"/>
    <n v="2638.96"/>
    <n v="2375.0640000000003"/>
    <n v="99752.688000000009"/>
    <n v="105227.22"/>
    <n v="-5474.531999999992"/>
    <n v="-5.4881047415985339E-2"/>
    <s v="Loss"/>
    <x v="1"/>
    <n v="0.1"/>
    <s v="Bank Transfer"/>
    <s v="Online"/>
    <s v="West-Eve"/>
    <x v="0"/>
  </r>
  <r>
    <n v="1083"/>
    <x v="91"/>
    <x v="1"/>
    <x v="2"/>
    <n v="34"/>
    <x v="2"/>
    <n v="1"/>
    <n v="1167.9100000000001"/>
    <n v="1547.26"/>
    <n v="1377.0614"/>
    <n v="46820.087599999999"/>
    <n v="39708.94"/>
    <n v="7111.1475999999966"/>
    <n v="0.15188240698635508"/>
    <s v="Profit"/>
    <x v="1"/>
    <n v="0.11"/>
    <s v="Bank Transfer"/>
    <s v="Online"/>
    <s v="East-David"/>
    <x v="0"/>
  </r>
  <r>
    <n v="1083"/>
    <x v="324"/>
    <x v="3"/>
    <x v="0"/>
    <n v="20"/>
    <x v="2"/>
    <n v="1"/>
    <n v="3617.59"/>
    <n v="4003.5"/>
    <n v="3963.4650000000001"/>
    <n v="79269.3"/>
    <n v="72351.8"/>
    <n v="6917.5"/>
    <n v="8.7265814129808134E-2"/>
    <s v="Profit"/>
    <x v="1"/>
    <n v="0.01"/>
    <s v="Credit Card"/>
    <s v="Retail"/>
    <s v="West-Alice"/>
    <x v="1"/>
  </r>
  <r>
    <n v="1084"/>
    <x v="241"/>
    <x v="0"/>
    <x v="2"/>
    <n v="21"/>
    <x v="2"/>
    <n v="1"/>
    <n v="576.74"/>
    <n v="648.29"/>
    <n v="518.63199999999995"/>
    <n v="10891.272000000001"/>
    <n v="12111.54"/>
    <n v="-1220.268"/>
    <n v="-0.11204090761850406"/>
    <s v="Loss"/>
    <x v="0"/>
    <n v="0.2"/>
    <s v="Bank Transfer"/>
    <s v="Online"/>
    <s v="East-Bob"/>
    <x v="0"/>
  </r>
  <r>
    <n v="1084"/>
    <x v="171"/>
    <x v="3"/>
    <x v="0"/>
    <n v="21"/>
    <x v="1"/>
    <n v="1"/>
    <n v="3497.98"/>
    <n v="3765.31"/>
    <n v="3464.0852"/>
    <n v="72745.789199999999"/>
    <n v="73457.58"/>
    <n v="-711.79080000000249"/>
    <n v="-9.7846323179349402E-3"/>
    <s v="Loss"/>
    <x v="1"/>
    <n v="0.08"/>
    <s v="Cash"/>
    <s v="Online"/>
    <s v="West-Alice"/>
    <x v="1"/>
  </r>
  <r>
    <n v="1084"/>
    <x v="29"/>
    <x v="1"/>
    <x v="0"/>
    <n v="35"/>
    <x v="0"/>
    <n v="1"/>
    <n v="465.61"/>
    <n v="812.91"/>
    <n v="682.84439999999995"/>
    <n v="23899.553999999996"/>
    <n v="16296.35"/>
    <n v="7603.2039999999961"/>
    <n v="0.31813162705881448"/>
    <s v="Profit"/>
    <x v="1"/>
    <n v="0.16"/>
    <s v="Bank Transfer"/>
    <s v="Online"/>
    <s v="West-David"/>
    <x v="0"/>
  </r>
  <r>
    <n v="1084"/>
    <x v="99"/>
    <x v="0"/>
    <x v="3"/>
    <n v="15"/>
    <x v="1"/>
    <n v="1"/>
    <n v="3420.72"/>
    <n v="3513.74"/>
    <n v="3443.4651999999996"/>
    <n v="51651.977999999996"/>
    <n v="51310.799999999996"/>
    <n v="341.17799999999988"/>
    <n v="6.6053230333212006E-3"/>
    <s v="Profit"/>
    <x v="1"/>
    <n v="0.02"/>
    <s v="Cash"/>
    <s v="Online"/>
    <s v="South-Bob"/>
    <x v="1"/>
  </r>
  <r>
    <n v="1084"/>
    <x v="309"/>
    <x v="2"/>
    <x v="3"/>
    <n v="40"/>
    <x v="0"/>
    <n v="1"/>
    <n v="2890.95"/>
    <n v="3104.43"/>
    <n v="2452.4996999999998"/>
    <n v="98099.987999999998"/>
    <n v="115638"/>
    <n v="-17538.012000000002"/>
    <n v="-0.17877690260267926"/>
    <s v="Loss"/>
    <x v="1"/>
    <n v="0.21"/>
    <s v="Bank Transfer"/>
    <s v="Online"/>
    <s v="South-Eve"/>
    <x v="1"/>
  </r>
  <r>
    <n v="1084"/>
    <x v="124"/>
    <x v="2"/>
    <x v="3"/>
    <n v="36"/>
    <x v="1"/>
    <n v="1"/>
    <n v="1458.77"/>
    <n v="1485.75"/>
    <n v="1114.3125"/>
    <n v="40115.25"/>
    <n v="52515.72"/>
    <n v="-12400.470000000001"/>
    <n v="-0.30912109484547651"/>
    <s v="Loss"/>
    <x v="1"/>
    <n v="0.25"/>
    <s v="Credit Card"/>
    <s v="Online"/>
    <s v="South-Eve"/>
    <x v="0"/>
  </r>
  <r>
    <n v="1084"/>
    <x v="41"/>
    <x v="2"/>
    <x v="1"/>
    <n v="49"/>
    <x v="1"/>
    <n v="1"/>
    <n v="4291.97"/>
    <n v="4645.6400000000003"/>
    <n v="3437.7736"/>
    <n v="168450.90640000001"/>
    <n v="210306.53"/>
    <n v="-41855.623599999992"/>
    <n v="-0.24847372148066987"/>
    <s v="Loss"/>
    <x v="0"/>
    <n v="0.26"/>
    <s v="Credit Card"/>
    <s v="Online"/>
    <s v="North-Eve"/>
    <x v="1"/>
  </r>
  <r>
    <n v="1084"/>
    <x v="173"/>
    <x v="3"/>
    <x v="2"/>
    <n v="30"/>
    <x v="0"/>
    <n v="1"/>
    <n v="169"/>
    <n v="381.92"/>
    <n v="282.62080000000003"/>
    <n v="8478.6239999999998"/>
    <n v="5070"/>
    <n v="3408.6239999999998"/>
    <n v="0.40202561170303103"/>
    <s v="Profit"/>
    <x v="0"/>
    <n v="0.26"/>
    <s v="Cash"/>
    <s v="Retail"/>
    <s v="East-Alice"/>
    <x v="0"/>
  </r>
  <r>
    <n v="1085"/>
    <x v="313"/>
    <x v="2"/>
    <x v="1"/>
    <n v="42"/>
    <x v="3"/>
    <n v="1"/>
    <n v="3117.75"/>
    <n v="3159.88"/>
    <n v="3033.4848000000002"/>
    <n v="127406.36159999999"/>
    <n v="130945.5"/>
    <n v="-3539.1384000000107"/>
    <n v="-2.7778349177816967E-2"/>
    <s v="Loss"/>
    <x v="1"/>
    <n v="0.04"/>
    <s v="Cash"/>
    <s v="Retail"/>
    <s v="North-Eve"/>
    <x v="1"/>
  </r>
  <r>
    <n v="1085"/>
    <x v="162"/>
    <x v="2"/>
    <x v="0"/>
    <n v="16"/>
    <x v="0"/>
    <n v="1"/>
    <n v="472.08"/>
    <n v="842.46"/>
    <n v="842.46"/>
    <n v="13479.36"/>
    <n v="7553.28"/>
    <n v="5926.0800000000008"/>
    <n v="0.439641051207179"/>
    <s v="Profit"/>
    <x v="1"/>
    <n v="0"/>
    <s v="Cash"/>
    <s v="Retail"/>
    <s v="West-Eve"/>
    <x v="0"/>
  </r>
  <r>
    <n v="1085"/>
    <x v="111"/>
    <x v="4"/>
    <x v="2"/>
    <n v="42"/>
    <x v="2"/>
    <n v="1"/>
    <n v="2254.11"/>
    <n v="2382.23"/>
    <n v="2024.8954999999999"/>
    <n v="85045.611000000004"/>
    <n v="94672.62000000001"/>
    <n v="-9627.0090000000055"/>
    <n v="-0.11319818726447864"/>
    <s v="Loss"/>
    <x v="0"/>
    <n v="0.15"/>
    <s v="Credit Card"/>
    <s v="Retail"/>
    <s v="East-Charlie"/>
    <x v="0"/>
  </r>
  <r>
    <n v="1085"/>
    <x v="322"/>
    <x v="1"/>
    <x v="2"/>
    <n v="8"/>
    <x v="0"/>
    <n v="1"/>
    <n v="3048.48"/>
    <n v="3198.54"/>
    <n v="3102.5837999999999"/>
    <n v="24820.670399999999"/>
    <n v="24387.84"/>
    <n v="432.83039999999892"/>
    <n v="1.7438304164419303E-2"/>
    <s v="Profit"/>
    <x v="0"/>
    <n v="0.03"/>
    <s v="Bank Transfer"/>
    <s v="Online"/>
    <s v="East-David"/>
    <x v="1"/>
  </r>
  <r>
    <n v="1085"/>
    <x v="11"/>
    <x v="4"/>
    <x v="3"/>
    <n v="32"/>
    <x v="1"/>
    <n v="1"/>
    <n v="1074.93"/>
    <n v="1492.48"/>
    <n v="1432.7808"/>
    <n v="45848.9856"/>
    <n v="34397.760000000002"/>
    <n v="11451.225599999998"/>
    <n v="0.2497596282697255"/>
    <s v="Profit"/>
    <x v="0"/>
    <n v="0.04"/>
    <s v="Credit Card"/>
    <s v="Retail"/>
    <s v="South-Charlie"/>
    <x v="0"/>
  </r>
  <r>
    <n v="1085"/>
    <x v="59"/>
    <x v="2"/>
    <x v="2"/>
    <n v="40"/>
    <x v="2"/>
    <n v="1"/>
    <n v="4083.23"/>
    <n v="4521.57"/>
    <n v="3300.7460999999998"/>
    <n v="132029.84399999998"/>
    <n v="163329.20000000001"/>
    <n v="-31299.356000000029"/>
    <n v="-0.23706273560392932"/>
    <s v="Loss"/>
    <x v="1"/>
    <n v="0.27"/>
    <s v="Bank Transfer"/>
    <s v="Retail"/>
    <s v="East-Eve"/>
    <x v="1"/>
  </r>
  <r>
    <n v="1085"/>
    <x v="324"/>
    <x v="2"/>
    <x v="0"/>
    <n v="45"/>
    <x v="1"/>
    <n v="1"/>
    <n v="3325.96"/>
    <n v="3781.4"/>
    <n v="2760.422"/>
    <n v="124218.98999999999"/>
    <n v="149668.20000000001"/>
    <n v="-25449.210000000021"/>
    <n v="-0.20487374756468413"/>
    <s v="Loss"/>
    <x v="0"/>
    <n v="0.27"/>
    <s v="Credit Card"/>
    <s v="Online"/>
    <s v="West-Eve"/>
    <x v="1"/>
  </r>
  <r>
    <n v="1085"/>
    <x v="55"/>
    <x v="1"/>
    <x v="0"/>
    <n v="45"/>
    <x v="2"/>
    <n v="1"/>
    <n v="4763.1099999999997"/>
    <n v="5119.91"/>
    <n v="3635.1360999999997"/>
    <n v="163581.12449999998"/>
    <n v="214339.94999999998"/>
    <n v="-50758.825500000006"/>
    <n v="-0.31029757042659289"/>
    <s v="Loss"/>
    <x v="0"/>
    <n v="0.28999999999999998"/>
    <s v="Cash"/>
    <s v="Retail"/>
    <s v="West-David"/>
    <x v="1"/>
  </r>
  <r>
    <n v="1086"/>
    <x v="151"/>
    <x v="4"/>
    <x v="0"/>
    <n v="17"/>
    <x v="3"/>
    <n v="1"/>
    <n v="4075.08"/>
    <n v="4262.21"/>
    <n v="3537.6342999999997"/>
    <n v="60139.783100000001"/>
    <n v="69276.36"/>
    <n v="-9136.5769"/>
    <n v="-0.15192234539336075"/>
    <s v="Loss"/>
    <x v="1"/>
    <n v="0.17"/>
    <s v="Cash"/>
    <s v="Online"/>
    <s v="West-Charlie"/>
    <x v="1"/>
  </r>
  <r>
    <n v="1086"/>
    <x v="174"/>
    <x v="0"/>
    <x v="2"/>
    <n v="3"/>
    <x v="3"/>
    <n v="1"/>
    <n v="1595.35"/>
    <n v="1625.71"/>
    <n v="1186.7683"/>
    <n v="3560.3049000000001"/>
    <n v="4786.0499999999993"/>
    <n v="-1225.7450999999992"/>
    <n v="-0.34428093504014196"/>
    <s v="Loss"/>
    <x v="1"/>
    <n v="0.27"/>
    <s v="Cash"/>
    <s v="Online"/>
    <s v="East-Bob"/>
    <x v="0"/>
  </r>
  <r>
    <n v="1086"/>
    <x v="16"/>
    <x v="0"/>
    <x v="3"/>
    <n v="8"/>
    <x v="1"/>
    <n v="1"/>
    <n v="1569.31"/>
    <n v="1798.02"/>
    <n v="1672.1586"/>
    <n v="13377.2688"/>
    <n v="12554.48"/>
    <n v="822.78880000000026"/>
    <n v="6.1506486286647712E-2"/>
    <s v="Profit"/>
    <x v="1"/>
    <n v="7.0000000000000007E-2"/>
    <s v="Credit Card"/>
    <s v="Online"/>
    <s v="South-Bob"/>
    <x v="0"/>
  </r>
  <r>
    <n v="1086"/>
    <x v="325"/>
    <x v="0"/>
    <x v="0"/>
    <n v="25"/>
    <x v="0"/>
    <n v="1"/>
    <n v="2248.71"/>
    <n v="2626.02"/>
    <n v="2415.9384"/>
    <n v="60398.46"/>
    <n v="56217.75"/>
    <n v="4180.7099999999991"/>
    <n v="6.9218817830785734E-2"/>
    <s v="Profit"/>
    <x v="1"/>
    <n v="0.08"/>
    <s v="Bank Transfer"/>
    <s v="Online"/>
    <s v="West-Bob"/>
    <x v="0"/>
  </r>
  <r>
    <n v="1086"/>
    <x v="300"/>
    <x v="3"/>
    <x v="3"/>
    <n v="10"/>
    <x v="1"/>
    <n v="1"/>
    <n v="2273.91"/>
    <n v="2578.8000000000002"/>
    <n v="2217.768"/>
    <n v="22177.68"/>
    <n v="22739.1"/>
    <n v="-561.41999999999825"/>
    <n v="-2.531464066575035E-2"/>
    <s v="Loss"/>
    <x v="1"/>
    <n v="0.14000000000000001"/>
    <s v="Cash"/>
    <s v="Online"/>
    <s v="South-Alice"/>
    <x v="0"/>
  </r>
  <r>
    <n v="1086"/>
    <x v="188"/>
    <x v="4"/>
    <x v="0"/>
    <n v="32"/>
    <x v="3"/>
    <n v="1"/>
    <n v="3743.59"/>
    <n v="4116.38"/>
    <n v="3663.5782000000004"/>
    <n v="117234.50240000001"/>
    <n v="119794.88"/>
    <n v="-2560.3775999999925"/>
    <n v="-2.1839795858595228E-2"/>
    <s v="Loss"/>
    <x v="0"/>
    <n v="0.11"/>
    <s v="Cash"/>
    <s v="Online"/>
    <s v="West-Charlie"/>
    <x v="1"/>
  </r>
  <r>
    <n v="1086"/>
    <x v="326"/>
    <x v="1"/>
    <x v="1"/>
    <n v="28"/>
    <x v="0"/>
    <n v="1"/>
    <n v="2564.35"/>
    <n v="2765.79"/>
    <n v="2295.6057000000001"/>
    <n v="64276.959599999995"/>
    <n v="71801.8"/>
    <n v="-7524.8404000000082"/>
    <n v="-0.11706901581573888"/>
    <s v="Loss"/>
    <x v="0"/>
    <n v="0.17"/>
    <s v="Credit Card"/>
    <s v="Online"/>
    <s v="North-David"/>
    <x v="0"/>
  </r>
  <r>
    <n v="1086"/>
    <x v="115"/>
    <x v="3"/>
    <x v="2"/>
    <n v="48"/>
    <x v="0"/>
    <n v="1"/>
    <n v="2632.58"/>
    <n v="2926.68"/>
    <n v="2516.9447999999998"/>
    <n v="120813.35039999998"/>
    <n v="126363.84"/>
    <n v="-5550.4896000000153"/>
    <n v="-4.5942684162163724E-2"/>
    <s v="Loss"/>
    <x v="0"/>
    <n v="0.14000000000000001"/>
    <s v="Cash"/>
    <s v="Online"/>
    <s v="East-Alice"/>
    <x v="1"/>
  </r>
  <r>
    <n v="1086"/>
    <x v="276"/>
    <x v="0"/>
    <x v="1"/>
    <n v="17"/>
    <x v="0"/>
    <n v="1"/>
    <n v="1057.27"/>
    <n v="1366.62"/>
    <n v="1079.6297999999999"/>
    <n v="18353.706599999998"/>
    <n v="17973.59"/>
    <n v="380.11659999999756"/>
    <n v="2.0710617658015608E-2"/>
    <s v="Profit"/>
    <x v="1"/>
    <n v="0.21"/>
    <s v="Credit Card"/>
    <s v="Retail"/>
    <s v="North-Bob"/>
    <x v="0"/>
  </r>
  <r>
    <n v="1086"/>
    <x v="21"/>
    <x v="1"/>
    <x v="3"/>
    <n v="32"/>
    <x v="1"/>
    <n v="1"/>
    <n v="84.86"/>
    <n v="517.17999999999995"/>
    <n v="413.74399999999997"/>
    <n v="13239.807999999999"/>
    <n v="2715.52"/>
    <n v="10524.287999999999"/>
    <n v="0.79489732781623412"/>
    <s v="Profit"/>
    <x v="0"/>
    <n v="0.2"/>
    <s v="Credit Card"/>
    <s v="Retail"/>
    <s v="South-David"/>
    <x v="0"/>
  </r>
  <r>
    <n v="1086"/>
    <x v="327"/>
    <x v="0"/>
    <x v="0"/>
    <n v="5"/>
    <x v="3"/>
    <n v="1"/>
    <n v="4934.1000000000004"/>
    <n v="5191.0200000000004"/>
    <n v="3633.7139999999999"/>
    <n v="18168.57"/>
    <n v="24670.5"/>
    <n v="-6501.93"/>
    <n v="-0.35786690972377022"/>
    <s v="Loss"/>
    <x v="1"/>
    <n v="0.3"/>
    <s v="Bank Transfer"/>
    <s v="Online"/>
    <s v="West-Bob"/>
    <x v="1"/>
  </r>
  <r>
    <n v="1086"/>
    <x v="301"/>
    <x v="0"/>
    <x v="0"/>
    <n v="46"/>
    <x v="1"/>
    <n v="1"/>
    <n v="83.86"/>
    <n v="526.14"/>
    <n v="468.26459999999997"/>
    <n v="21540.171599999998"/>
    <n v="3857.56"/>
    <n v="17682.611599999997"/>
    <n v="0.82091321872291856"/>
    <s v="Profit"/>
    <x v="0"/>
    <n v="0.11"/>
    <s v="Credit Card"/>
    <s v="Online"/>
    <s v="West-Bob"/>
    <x v="0"/>
  </r>
  <r>
    <n v="1086"/>
    <x v="24"/>
    <x v="0"/>
    <x v="0"/>
    <n v="7"/>
    <x v="0"/>
    <n v="1"/>
    <n v="737.9"/>
    <n v="1182"/>
    <n v="910.14"/>
    <n v="6370.9800000000005"/>
    <n v="5165.3"/>
    <n v="1205.6800000000003"/>
    <n v="0.18924561056540756"/>
    <s v="Profit"/>
    <x v="1"/>
    <n v="0.23"/>
    <s v="Credit Card"/>
    <s v="Retail"/>
    <s v="West-Bob"/>
    <x v="0"/>
  </r>
  <r>
    <n v="1086"/>
    <x v="210"/>
    <x v="0"/>
    <x v="1"/>
    <n v="46"/>
    <x v="2"/>
    <n v="1"/>
    <n v="2245.64"/>
    <n v="2260.81"/>
    <n v="2260.81"/>
    <n v="103997.26"/>
    <n v="103299.43999999999"/>
    <n v="697.82000000000698"/>
    <n v="6.7099844745910327E-3"/>
    <s v="Profit"/>
    <x v="1"/>
    <n v="0"/>
    <s v="Cash"/>
    <s v="Retail"/>
    <s v="North-Bob"/>
    <x v="0"/>
  </r>
  <r>
    <n v="1086"/>
    <x v="35"/>
    <x v="3"/>
    <x v="3"/>
    <n v="33"/>
    <x v="2"/>
    <n v="1"/>
    <n v="3419.33"/>
    <n v="3890.36"/>
    <n v="3073.3844000000004"/>
    <n v="101421.68520000001"/>
    <n v="112837.89"/>
    <n v="-11416.204799999992"/>
    <n v="-0.11256177391933132"/>
    <s v="Loss"/>
    <x v="0"/>
    <n v="0.21"/>
    <s v="Cash"/>
    <s v="Retail"/>
    <s v="South-Alice"/>
    <x v="1"/>
  </r>
  <r>
    <n v="1087"/>
    <x v="192"/>
    <x v="4"/>
    <x v="2"/>
    <n v="20"/>
    <x v="1"/>
    <n v="1"/>
    <n v="3625.94"/>
    <n v="3880.53"/>
    <n v="2949.2028"/>
    <n v="58984.056000000004"/>
    <n v="72518.8"/>
    <n v="-13534.743999999999"/>
    <n v="-0.22946445052880049"/>
    <s v="Loss"/>
    <x v="1"/>
    <n v="0.24"/>
    <s v="Bank Transfer"/>
    <s v="Online"/>
    <s v="East-Charlie"/>
    <x v="1"/>
  </r>
  <r>
    <n v="1087"/>
    <x v="265"/>
    <x v="2"/>
    <x v="2"/>
    <n v="43"/>
    <x v="1"/>
    <n v="1"/>
    <n v="481"/>
    <n v="531.02"/>
    <n v="440.74659999999994"/>
    <n v="18952.103800000001"/>
    <n v="20683"/>
    <n v="-1730.8961999999992"/>
    <n v="-9.1330029545321462E-2"/>
    <s v="Loss"/>
    <x v="1"/>
    <n v="0.17"/>
    <s v="Cash"/>
    <s v="Online"/>
    <s v="East-Eve"/>
    <x v="0"/>
  </r>
  <r>
    <n v="1087"/>
    <x v="300"/>
    <x v="2"/>
    <x v="2"/>
    <n v="30"/>
    <x v="3"/>
    <n v="1"/>
    <n v="698.74"/>
    <n v="882.28"/>
    <n v="749.93799999999999"/>
    <n v="22498.139999999996"/>
    <n v="20962.2"/>
    <n v="1535.9399999999951"/>
    <n v="6.8269643623872694E-2"/>
    <s v="Profit"/>
    <x v="0"/>
    <n v="0.15"/>
    <s v="Credit Card"/>
    <s v="Online"/>
    <s v="East-Eve"/>
    <x v="0"/>
  </r>
  <r>
    <n v="1087"/>
    <x v="290"/>
    <x v="2"/>
    <x v="3"/>
    <n v="46"/>
    <x v="1"/>
    <n v="1"/>
    <n v="3702.51"/>
    <n v="3964.65"/>
    <n v="3488.8920000000003"/>
    <n v="160489.03200000001"/>
    <n v="170315.46000000002"/>
    <n v="-9826.4280000000144"/>
    <n v="-6.1228034573727219E-2"/>
    <s v="Loss"/>
    <x v="1"/>
    <n v="0.12"/>
    <s v="Bank Transfer"/>
    <s v="Online"/>
    <s v="South-Eve"/>
    <x v="1"/>
  </r>
  <r>
    <n v="1087"/>
    <x v="48"/>
    <x v="4"/>
    <x v="1"/>
    <n v="20"/>
    <x v="2"/>
    <n v="1"/>
    <n v="193.27"/>
    <n v="297.69"/>
    <n v="232.19820000000001"/>
    <n v="4643.9639999999999"/>
    <n v="3865.4"/>
    <n v="778.56399999999985"/>
    <n v="0.16765073975594985"/>
    <s v="Profit"/>
    <x v="1"/>
    <n v="0.22"/>
    <s v="Cash"/>
    <s v="Online"/>
    <s v="North-Charlie"/>
    <x v="0"/>
  </r>
  <r>
    <n v="1087"/>
    <x v="104"/>
    <x v="4"/>
    <x v="1"/>
    <n v="21"/>
    <x v="0"/>
    <n v="1"/>
    <n v="3724.38"/>
    <n v="3988.7"/>
    <n v="3869.0389999999998"/>
    <n v="81249.818999999989"/>
    <n v="78211.98"/>
    <n v="3037.8389999999927"/>
    <n v="3.7388870983207888E-2"/>
    <s v="Profit"/>
    <x v="1"/>
    <n v="0.03"/>
    <s v="Bank Transfer"/>
    <s v="Retail"/>
    <s v="North-Charlie"/>
    <x v="1"/>
  </r>
  <r>
    <n v="1087"/>
    <x v="9"/>
    <x v="4"/>
    <x v="0"/>
    <n v="10"/>
    <x v="3"/>
    <n v="1"/>
    <n v="3988.52"/>
    <n v="4240.2299999999996"/>
    <n v="4028.2184999999995"/>
    <n v="40282.18499999999"/>
    <n v="39885.199999999997"/>
    <n v="396.98499999999331"/>
    <n v="9.8551009584011747E-3"/>
    <s v="Profit"/>
    <x v="1"/>
    <n v="0.05"/>
    <s v="Credit Card"/>
    <s v="Online"/>
    <s v="West-Charlie"/>
    <x v="1"/>
  </r>
  <r>
    <n v="1087"/>
    <x v="190"/>
    <x v="0"/>
    <x v="2"/>
    <n v="28"/>
    <x v="2"/>
    <n v="1"/>
    <n v="551.83000000000004"/>
    <n v="569.63"/>
    <n v="495.57810000000001"/>
    <n v="13876.186799999999"/>
    <n v="15451.240000000002"/>
    <n v="-1575.0532000000021"/>
    <n v="-0.11350763885651945"/>
    <s v="Loss"/>
    <x v="1"/>
    <n v="0.13"/>
    <s v="Credit Card"/>
    <s v="Retail"/>
    <s v="East-Bob"/>
    <x v="0"/>
  </r>
  <r>
    <n v="1087"/>
    <x v="328"/>
    <x v="2"/>
    <x v="1"/>
    <n v="27"/>
    <x v="0"/>
    <n v="1"/>
    <n v="3139.36"/>
    <n v="3423.66"/>
    <n v="2807.4012000000002"/>
    <n v="75799.832399999999"/>
    <n v="84762.72"/>
    <n v="-8962.8876000000018"/>
    <n v="-0.11824416118365985"/>
    <s v="Loss"/>
    <x v="1"/>
    <n v="0.18"/>
    <s v="Credit Card"/>
    <s v="Online"/>
    <s v="North-Eve"/>
    <x v="1"/>
  </r>
  <r>
    <n v="1087"/>
    <x v="68"/>
    <x v="3"/>
    <x v="0"/>
    <n v="15"/>
    <x v="1"/>
    <n v="1"/>
    <n v="4074.66"/>
    <n v="4261.1099999999997"/>
    <n v="4048.0544999999993"/>
    <n v="60720.81749999999"/>
    <n v="61119.899999999994"/>
    <n v="-399.08250000000407"/>
    <n v="-6.5724164533852688E-3"/>
    <s v="Loss"/>
    <x v="0"/>
    <n v="0.05"/>
    <s v="Credit Card"/>
    <s v="Retail"/>
    <s v="West-Alice"/>
    <x v="1"/>
  </r>
  <r>
    <n v="1088"/>
    <x v="319"/>
    <x v="0"/>
    <x v="2"/>
    <n v="40"/>
    <x v="3"/>
    <n v="1"/>
    <n v="4904.93"/>
    <n v="5034.3500000000004"/>
    <n v="4530.9150000000009"/>
    <n v="181236.6"/>
    <n v="196197.2"/>
    <n v="-14960.600000000006"/>
    <n v="-8.2547344189860136E-2"/>
    <s v="Loss"/>
    <x v="1"/>
    <n v="0.1"/>
    <s v="Credit Card"/>
    <s v="Retail"/>
    <s v="East-Bob"/>
    <x v="1"/>
  </r>
  <r>
    <n v="1088"/>
    <x v="57"/>
    <x v="1"/>
    <x v="3"/>
    <n v="8"/>
    <x v="0"/>
    <n v="1"/>
    <n v="1786.35"/>
    <n v="1935.29"/>
    <n v="1857.8783999999998"/>
    <n v="14863.027199999999"/>
    <n v="14290.8"/>
    <n v="572.22719999999936"/>
    <n v="3.8500043921066054E-2"/>
    <s v="Profit"/>
    <x v="1"/>
    <n v="0.04"/>
    <s v="Cash"/>
    <s v="Online"/>
    <s v="South-David"/>
    <x v="0"/>
  </r>
  <r>
    <n v="1088"/>
    <x v="241"/>
    <x v="3"/>
    <x v="3"/>
    <n v="11"/>
    <x v="0"/>
    <n v="1"/>
    <n v="3884.13"/>
    <n v="3915.41"/>
    <n v="3837.1017999999999"/>
    <n v="42208.119799999993"/>
    <n v="42725.43"/>
    <n v="-517.31020000000717"/>
    <n v="-1.2256177305486306E-2"/>
    <s v="Loss"/>
    <x v="0"/>
    <n v="0.02"/>
    <s v="Cash"/>
    <s v="Online"/>
    <s v="South-Alice"/>
    <x v="1"/>
  </r>
  <r>
    <n v="1088"/>
    <x v="123"/>
    <x v="2"/>
    <x v="1"/>
    <n v="13"/>
    <x v="1"/>
    <n v="1"/>
    <n v="2440.11"/>
    <n v="2517.6"/>
    <n v="1938.5519999999999"/>
    <n v="25201.175999999999"/>
    <n v="31721.43"/>
    <n v="-6520.2540000000008"/>
    <n v="-0.25872816411424615"/>
    <s v="Loss"/>
    <x v="1"/>
    <n v="0.23"/>
    <s v="Bank Transfer"/>
    <s v="Retail"/>
    <s v="North-Eve"/>
    <x v="0"/>
  </r>
  <r>
    <n v="1088"/>
    <x v="284"/>
    <x v="2"/>
    <x v="0"/>
    <n v="16"/>
    <x v="1"/>
    <n v="1"/>
    <n v="3016.9"/>
    <n v="3040.73"/>
    <n v="2250.1401999999998"/>
    <n v="36002.243199999997"/>
    <n v="48270.400000000001"/>
    <n v="-12268.156800000004"/>
    <n v="-0.34076090014302235"/>
    <s v="Loss"/>
    <x v="1"/>
    <n v="0.26"/>
    <s v="Bank Transfer"/>
    <s v="Retail"/>
    <s v="West-Eve"/>
    <x v="1"/>
  </r>
  <r>
    <n v="1088"/>
    <x v="202"/>
    <x v="3"/>
    <x v="2"/>
    <n v="20"/>
    <x v="2"/>
    <n v="1"/>
    <n v="4590.24"/>
    <n v="5088.28"/>
    <n v="4274.1551999999992"/>
    <n v="85483.103999999992"/>
    <n v="91804.799999999988"/>
    <n v="-6321.6959999999963"/>
    <n v="-7.3952578979818009E-2"/>
    <s v="Loss"/>
    <x v="1"/>
    <n v="0.16"/>
    <s v="Bank Transfer"/>
    <s v="Retail"/>
    <s v="East-Alice"/>
    <x v="1"/>
  </r>
  <r>
    <n v="1088"/>
    <x v="83"/>
    <x v="4"/>
    <x v="2"/>
    <n v="29"/>
    <x v="1"/>
    <n v="1"/>
    <n v="639.58000000000004"/>
    <n v="1107.45"/>
    <n v="786.28949999999998"/>
    <n v="22802.395500000002"/>
    <n v="18547.82"/>
    <n v="4254.5755000000026"/>
    <n v="0.18658458493977101"/>
    <s v="Profit"/>
    <x v="1"/>
    <n v="0.28999999999999998"/>
    <s v="Cash"/>
    <s v="Retail"/>
    <s v="East-Charlie"/>
    <x v="0"/>
  </r>
  <r>
    <n v="1088"/>
    <x v="252"/>
    <x v="2"/>
    <x v="1"/>
    <n v="12"/>
    <x v="2"/>
    <n v="1"/>
    <n v="4389.24"/>
    <n v="4856.22"/>
    <n v="4127.7870000000003"/>
    <n v="49533.443999999996"/>
    <n v="52670.879999999997"/>
    <n v="-3137.4360000000015"/>
    <n v="-6.3339750815630785E-2"/>
    <s v="Loss"/>
    <x v="0"/>
    <n v="0.15"/>
    <s v="Cash"/>
    <s v="Retail"/>
    <s v="North-Eve"/>
    <x v="1"/>
  </r>
  <r>
    <n v="1088"/>
    <x v="255"/>
    <x v="2"/>
    <x v="2"/>
    <n v="1"/>
    <x v="1"/>
    <n v="1"/>
    <n v="4384.6400000000003"/>
    <n v="4693.8999999999996"/>
    <n v="4036.7539999999995"/>
    <n v="4036.7539999999995"/>
    <n v="4384.6400000000003"/>
    <n v="-347.88600000000088"/>
    <n v="-8.6179638392629557E-2"/>
    <s v="Loss"/>
    <x v="1"/>
    <n v="0.14000000000000001"/>
    <s v="Cash"/>
    <s v="Retail"/>
    <s v="East-Eve"/>
    <x v="1"/>
  </r>
  <r>
    <n v="1089"/>
    <x v="70"/>
    <x v="4"/>
    <x v="1"/>
    <n v="35"/>
    <x v="2"/>
    <n v="1"/>
    <n v="4071.01"/>
    <n v="4304.7"/>
    <n v="3702.0419999999999"/>
    <n v="129571.47"/>
    <n v="142485.35"/>
    <n v="-12913.880000000005"/>
    <n v="-9.9666076181739741E-2"/>
    <s v="Loss"/>
    <x v="1"/>
    <n v="0.14000000000000001"/>
    <s v="Credit Card"/>
    <s v="Online"/>
    <s v="North-Charlie"/>
    <x v="1"/>
  </r>
  <r>
    <n v="1089"/>
    <x v="64"/>
    <x v="4"/>
    <x v="1"/>
    <n v="4"/>
    <x v="1"/>
    <n v="1"/>
    <n v="4117.67"/>
    <n v="4280.0600000000004"/>
    <n v="3509.6492000000007"/>
    <n v="14038.596800000003"/>
    <n v="16470.68"/>
    <n v="-2432.0831999999973"/>
    <n v="-0.17324261353527845"/>
    <s v="Loss"/>
    <x v="0"/>
    <n v="0.18"/>
    <s v="Bank Transfer"/>
    <s v="Online"/>
    <s v="North-Charlie"/>
    <x v="1"/>
  </r>
  <r>
    <n v="1089"/>
    <x v="281"/>
    <x v="0"/>
    <x v="0"/>
    <n v="47"/>
    <x v="1"/>
    <n v="1"/>
    <n v="4157.62"/>
    <n v="4314.5600000000004"/>
    <n v="3581.0848000000001"/>
    <n v="168310.98559999999"/>
    <n v="195408.13999999998"/>
    <n v="-27097.154399999999"/>
    <n v="-0.16099456790299968"/>
    <s v="Loss"/>
    <x v="1"/>
    <n v="0.17"/>
    <s v="Bank Transfer"/>
    <s v="Retail"/>
    <s v="West-Bob"/>
    <x v="1"/>
  </r>
  <r>
    <n v="1089"/>
    <x v="48"/>
    <x v="0"/>
    <x v="0"/>
    <n v="40"/>
    <x v="1"/>
    <n v="1"/>
    <n v="4089.66"/>
    <n v="4275.96"/>
    <n v="3292.4892"/>
    <n v="131699.568"/>
    <n v="163586.4"/>
    <n v="-31886.831999999995"/>
    <n v="-0.2421179695896952"/>
    <s v="Loss"/>
    <x v="1"/>
    <n v="0.23"/>
    <s v="Credit Card"/>
    <s v="Online"/>
    <s v="West-Bob"/>
    <x v="1"/>
  </r>
  <r>
    <n v="1089"/>
    <x v="84"/>
    <x v="1"/>
    <x v="3"/>
    <n v="25"/>
    <x v="1"/>
    <n v="1"/>
    <n v="3512.69"/>
    <n v="3964.63"/>
    <n v="3845.6911"/>
    <n v="96142.277499999997"/>
    <n v="87817.25"/>
    <n v="8325.0274999999965"/>
    <n v="8.6590704073969918E-2"/>
    <s v="Profit"/>
    <x v="0"/>
    <n v="0.03"/>
    <s v="Credit Card"/>
    <s v="Retail"/>
    <s v="South-David"/>
    <x v="1"/>
  </r>
  <r>
    <n v="1089"/>
    <x v="28"/>
    <x v="4"/>
    <x v="1"/>
    <n v="31"/>
    <x v="2"/>
    <n v="1"/>
    <n v="845.14"/>
    <n v="1001.77"/>
    <n v="971.71690000000001"/>
    <n v="30123.223899999997"/>
    <n v="26199.34"/>
    <n v="3923.8838999999971"/>
    <n v="0.13026108735990896"/>
    <s v="Profit"/>
    <x v="1"/>
    <n v="0.03"/>
    <s v="Cash"/>
    <s v="Online"/>
    <s v="North-Charlie"/>
    <x v="0"/>
  </r>
  <r>
    <n v="1089"/>
    <x v="284"/>
    <x v="1"/>
    <x v="1"/>
    <n v="15"/>
    <x v="0"/>
    <n v="1"/>
    <n v="3841.05"/>
    <n v="4323.62"/>
    <n v="3069.7701999999999"/>
    <n v="46046.552999999993"/>
    <n v="57615.75"/>
    <n v="-11569.197000000007"/>
    <n v="-0.25125001213445902"/>
    <s v="Loss"/>
    <x v="0"/>
    <n v="0.28999999999999998"/>
    <s v="Credit Card"/>
    <s v="Retail"/>
    <s v="North-David"/>
    <x v="1"/>
  </r>
  <r>
    <n v="1089"/>
    <x v="256"/>
    <x v="2"/>
    <x v="0"/>
    <n v="23"/>
    <x v="0"/>
    <n v="1"/>
    <n v="2120.54"/>
    <n v="2597.67"/>
    <n v="1922.2758000000001"/>
    <n v="44212.343400000005"/>
    <n v="48772.42"/>
    <n v="-4560.0765999999931"/>
    <n v="-0.10314035061982244"/>
    <s v="Loss"/>
    <x v="0"/>
    <n v="0.26"/>
    <s v="Credit Card"/>
    <s v="Retail"/>
    <s v="West-Eve"/>
    <x v="0"/>
  </r>
  <r>
    <n v="1089"/>
    <x v="312"/>
    <x v="2"/>
    <x v="1"/>
    <n v="4"/>
    <x v="1"/>
    <n v="1"/>
    <n v="4231.75"/>
    <n v="4727.75"/>
    <n v="4160.42"/>
    <n v="16641.68"/>
    <n v="16927"/>
    <n v="-285.31999999999971"/>
    <n v="-1.7144903639536375E-2"/>
    <s v="Loss"/>
    <x v="0"/>
    <n v="0.12"/>
    <s v="Credit Card"/>
    <s v="Retail"/>
    <s v="North-Eve"/>
    <x v="1"/>
  </r>
  <r>
    <n v="1089"/>
    <x v="50"/>
    <x v="0"/>
    <x v="3"/>
    <n v="48"/>
    <x v="0"/>
    <n v="1"/>
    <n v="2246.67"/>
    <n v="2486.14"/>
    <n v="2411.5557999999996"/>
    <n v="115754.6784"/>
    <n v="107840.16"/>
    <n v="7914.5184000000008"/>
    <n v="6.8373205380526547E-2"/>
    <s v="Profit"/>
    <x v="1"/>
    <n v="0.03"/>
    <s v="Cash"/>
    <s v="Retail"/>
    <s v="South-Bob"/>
    <x v="0"/>
  </r>
  <r>
    <n v="1089"/>
    <x v="53"/>
    <x v="2"/>
    <x v="3"/>
    <n v="32"/>
    <x v="2"/>
    <n v="1"/>
    <n v="4248.5"/>
    <n v="4706.7"/>
    <n v="4659.6329999999998"/>
    <n v="149108.25599999999"/>
    <n v="135952"/>
    <n v="13156.255999999994"/>
    <n v="8.8232914480603913E-2"/>
    <s v="Profit"/>
    <x v="1"/>
    <n v="0.01"/>
    <s v="Bank Transfer"/>
    <s v="Retail"/>
    <s v="South-Eve"/>
    <x v="1"/>
  </r>
  <r>
    <n v="1089"/>
    <x v="131"/>
    <x v="2"/>
    <x v="1"/>
    <n v="35"/>
    <x v="1"/>
    <n v="1"/>
    <n v="3925.85"/>
    <n v="4082.11"/>
    <n v="3184.0458000000003"/>
    <n v="111441.603"/>
    <n v="137404.75"/>
    <n v="-25963.146999999997"/>
    <n v="-0.23297535481430573"/>
    <s v="Loss"/>
    <x v="1"/>
    <n v="0.22"/>
    <s v="Cash"/>
    <s v="Online"/>
    <s v="North-Eve"/>
    <x v="1"/>
  </r>
  <r>
    <n v="1089"/>
    <x v="328"/>
    <x v="1"/>
    <x v="1"/>
    <n v="43"/>
    <x v="1"/>
    <n v="1"/>
    <n v="3851.45"/>
    <n v="4186.9799999999996"/>
    <n v="2930.8859999999995"/>
    <n v="126028.09799999998"/>
    <n v="165612.35"/>
    <n v="-39584.252000000022"/>
    <n v="-0.3140906879353208"/>
    <s v="Loss"/>
    <x v="0"/>
    <n v="0.3"/>
    <s v="Credit Card"/>
    <s v="Online"/>
    <s v="North-David"/>
    <x v="1"/>
  </r>
  <r>
    <n v="1089"/>
    <x v="54"/>
    <x v="1"/>
    <x v="0"/>
    <n v="8"/>
    <x v="1"/>
    <n v="1"/>
    <n v="4349.34"/>
    <n v="4629.9799999999996"/>
    <n v="4583.6801999999998"/>
    <n v="36669.441599999998"/>
    <n v="34794.720000000001"/>
    <n v="1874.7215999999971"/>
    <n v="5.1124901776524387E-2"/>
    <s v="Profit"/>
    <x v="0"/>
    <n v="0.01"/>
    <s v="Credit Card"/>
    <s v="Online"/>
    <s v="West-David"/>
    <x v="1"/>
  </r>
  <r>
    <n v="1090"/>
    <x v="191"/>
    <x v="1"/>
    <x v="1"/>
    <n v="31"/>
    <x v="1"/>
    <n v="1"/>
    <n v="4496.8599999999997"/>
    <n v="4880.8"/>
    <n v="4587.9520000000002"/>
    <n v="142226.51200000002"/>
    <n v="139402.66"/>
    <n v="2823.8520000000135"/>
    <n v="1.9854610510310577E-2"/>
    <s v="Profit"/>
    <x v="1"/>
    <n v="0.06"/>
    <s v="Cash"/>
    <s v="Retail"/>
    <s v="North-David"/>
    <x v="1"/>
  </r>
  <r>
    <n v="1090"/>
    <x v="127"/>
    <x v="2"/>
    <x v="1"/>
    <n v="41"/>
    <x v="1"/>
    <n v="1"/>
    <n v="2055.4899999999998"/>
    <n v="2441.46"/>
    <n v="1855.5096000000001"/>
    <n v="76075.893599999996"/>
    <n v="84275.09"/>
    <n v="-8199.1964000000007"/>
    <n v="-0.10777653750753972"/>
    <s v="Loss"/>
    <x v="1"/>
    <n v="0.24"/>
    <s v="Credit Card"/>
    <s v="Online"/>
    <s v="North-Eve"/>
    <x v="0"/>
  </r>
  <r>
    <n v="1090"/>
    <x v="127"/>
    <x v="1"/>
    <x v="3"/>
    <n v="47"/>
    <x v="1"/>
    <n v="1"/>
    <n v="85.35"/>
    <n v="360.54"/>
    <n v="259.58879999999999"/>
    <n v="12200.6736"/>
    <n v="4011.45"/>
    <n v="8189.2236000000003"/>
    <n v="0.67121077642795068"/>
    <s v="Profit"/>
    <x v="1"/>
    <n v="0.28000000000000003"/>
    <s v="Cash"/>
    <s v="Online"/>
    <s v="South-David"/>
    <x v="0"/>
  </r>
  <r>
    <n v="1090"/>
    <x v="16"/>
    <x v="2"/>
    <x v="1"/>
    <n v="14"/>
    <x v="1"/>
    <n v="1"/>
    <n v="4037.21"/>
    <n v="4323.71"/>
    <n v="3156.3083000000001"/>
    <n v="44188.316200000001"/>
    <n v="56520.94"/>
    <n v="-12332.623800000001"/>
    <n v="-0.27909241312073352"/>
    <s v="Loss"/>
    <x v="0"/>
    <n v="0.27"/>
    <s v="Credit Card"/>
    <s v="Online"/>
    <s v="North-Eve"/>
    <x v="1"/>
  </r>
  <r>
    <n v="1090"/>
    <x v="120"/>
    <x v="4"/>
    <x v="1"/>
    <n v="44"/>
    <x v="2"/>
    <n v="1"/>
    <n v="3542.18"/>
    <n v="3578.49"/>
    <n v="3149.0711999999999"/>
    <n v="138559.13279999999"/>
    <n v="155855.91999999998"/>
    <n v="-17296.787199999992"/>
    <n v="-0.1248332524205867"/>
    <s v="Loss"/>
    <x v="0"/>
    <n v="0.12"/>
    <s v="Cash"/>
    <s v="Online"/>
    <s v="North-Charlie"/>
    <x v="1"/>
  </r>
  <r>
    <n v="1090"/>
    <x v="152"/>
    <x v="3"/>
    <x v="1"/>
    <n v="16"/>
    <x v="2"/>
    <n v="1"/>
    <n v="2183.37"/>
    <n v="2263.36"/>
    <n v="2263.36"/>
    <n v="36213.760000000002"/>
    <n v="34933.919999999998"/>
    <n v="1279.8400000000038"/>
    <n v="3.5341262547716773E-2"/>
    <s v="Profit"/>
    <x v="0"/>
    <n v="0"/>
    <s v="Bank Transfer"/>
    <s v="Retail"/>
    <s v="North-Alice"/>
    <x v="0"/>
  </r>
  <r>
    <n v="1090"/>
    <x v="94"/>
    <x v="3"/>
    <x v="2"/>
    <n v="17"/>
    <x v="2"/>
    <n v="1"/>
    <n v="2382.98"/>
    <n v="2839.73"/>
    <n v="2186.5920999999998"/>
    <n v="37172.065700000006"/>
    <n v="40510.660000000003"/>
    <n v="-3338.594299999997"/>
    <n v="-8.9814602366851959E-2"/>
    <s v="Loss"/>
    <x v="0"/>
    <n v="0.23"/>
    <s v="Bank Transfer"/>
    <s v="Retail"/>
    <s v="East-Alice"/>
    <x v="1"/>
  </r>
  <r>
    <n v="1090"/>
    <x v="163"/>
    <x v="1"/>
    <x v="2"/>
    <n v="47"/>
    <x v="1"/>
    <n v="1"/>
    <n v="2310.8200000000002"/>
    <n v="2714.71"/>
    <n v="2198.9151000000002"/>
    <n v="103349.00970000001"/>
    <n v="108608.54000000001"/>
    <n v="-5259.5302999999985"/>
    <n v="-5.0890959819230835E-2"/>
    <s v="Loss"/>
    <x v="1"/>
    <n v="0.19"/>
    <s v="Cash"/>
    <s v="Retail"/>
    <s v="East-David"/>
    <x v="0"/>
  </r>
  <r>
    <n v="1090"/>
    <x v="10"/>
    <x v="4"/>
    <x v="0"/>
    <n v="47"/>
    <x v="2"/>
    <n v="1"/>
    <n v="2357.9499999999998"/>
    <n v="2693.33"/>
    <n v="2208.5306"/>
    <n v="103800.9382"/>
    <n v="110823.65"/>
    <n v="-7022.71179999999"/>
    <n v="-6.7655571537020939E-2"/>
    <s v="Loss"/>
    <x v="1"/>
    <n v="0.18"/>
    <s v="Bank Transfer"/>
    <s v="Online"/>
    <s v="West-Charlie"/>
    <x v="0"/>
  </r>
  <r>
    <n v="1090"/>
    <x v="11"/>
    <x v="0"/>
    <x v="2"/>
    <n v="1"/>
    <x v="2"/>
    <n v="1"/>
    <n v="60.28"/>
    <n v="260.73"/>
    <n v="216.4059"/>
    <n v="216.4059"/>
    <n v="60.28"/>
    <n v="156.1259"/>
    <n v="0.72144936898670509"/>
    <s v="Profit"/>
    <x v="0"/>
    <n v="0.17"/>
    <s v="Cash"/>
    <s v="Online"/>
    <s v="East-Bob"/>
    <x v="0"/>
  </r>
  <r>
    <n v="1090"/>
    <x v="184"/>
    <x v="4"/>
    <x v="3"/>
    <n v="48"/>
    <x v="3"/>
    <n v="1"/>
    <n v="4766.53"/>
    <n v="5253.07"/>
    <n v="5200.5392999999995"/>
    <n v="249625.88639999999"/>
    <n v="228793.44"/>
    <n v="20832.446399999986"/>
    <n v="8.3454671710681952E-2"/>
    <s v="Profit"/>
    <x v="0"/>
    <n v="0.01"/>
    <s v="Bank Transfer"/>
    <s v="Online"/>
    <s v="South-Charlie"/>
    <x v="1"/>
  </r>
  <r>
    <n v="1090"/>
    <x v="28"/>
    <x v="1"/>
    <x v="1"/>
    <n v="14"/>
    <x v="3"/>
    <n v="1"/>
    <n v="1350.47"/>
    <n v="1514.61"/>
    <n v="1211.6879999999999"/>
    <n v="16963.631999999998"/>
    <n v="18906.580000000002"/>
    <n v="-1942.948000000004"/>
    <n v="-0.1145360851968496"/>
    <s v="Loss"/>
    <x v="1"/>
    <n v="0.2"/>
    <s v="Credit Card"/>
    <s v="Retail"/>
    <s v="North-David"/>
    <x v="0"/>
  </r>
  <r>
    <n v="1090"/>
    <x v="293"/>
    <x v="4"/>
    <x v="0"/>
    <n v="10"/>
    <x v="1"/>
    <n v="1"/>
    <n v="2387.63"/>
    <n v="2438.9699999999998"/>
    <n v="2390.1905999999999"/>
    <n v="23901.905999999995"/>
    <n v="23876.300000000003"/>
    <n v="25.605999999992491"/>
    <n v="1.0712953184567162E-3"/>
    <s v="Profit"/>
    <x v="0"/>
    <n v="0.02"/>
    <s v="Bank Transfer"/>
    <s v="Retail"/>
    <s v="West-Charlie"/>
    <x v="0"/>
  </r>
  <r>
    <n v="1090"/>
    <x v="329"/>
    <x v="0"/>
    <x v="0"/>
    <n v="31"/>
    <x v="2"/>
    <n v="1"/>
    <n v="2347.81"/>
    <n v="2668.02"/>
    <n v="2427.8982000000001"/>
    <n v="75264.844199999992"/>
    <n v="72782.11"/>
    <n v="2482.7341999999917"/>
    <n v="3.2986638401890055E-2"/>
    <s v="Profit"/>
    <x v="0"/>
    <n v="0.09"/>
    <s v="Bank Transfer"/>
    <s v="Retail"/>
    <s v="West-Bob"/>
    <x v="0"/>
  </r>
  <r>
    <n v="1090"/>
    <x v="99"/>
    <x v="3"/>
    <x v="0"/>
    <n v="32"/>
    <x v="3"/>
    <n v="1"/>
    <n v="2678.99"/>
    <n v="3152.28"/>
    <n v="2458.7784000000001"/>
    <n v="78680.908800000005"/>
    <n v="85727.679999999993"/>
    <n v="-7046.7711999999883"/>
    <n v="-8.9561385442461838E-2"/>
    <s v="Loss"/>
    <x v="0"/>
    <n v="0.22"/>
    <s v="Cash"/>
    <s v="Retail"/>
    <s v="West-Alice"/>
    <x v="1"/>
  </r>
  <r>
    <n v="1090"/>
    <x v="83"/>
    <x v="1"/>
    <x v="0"/>
    <n v="35"/>
    <x v="3"/>
    <n v="1"/>
    <n v="1130.5999999999999"/>
    <n v="1466.18"/>
    <n v="1275.5766000000001"/>
    <n v="44645.181000000004"/>
    <n v="39571"/>
    <n v="5074.1810000000041"/>
    <n v="0.11365573811874576"/>
    <s v="Profit"/>
    <x v="0"/>
    <n v="0.13"/>
    <s v="Cash"/>
    <s v="Online"/>
    <s v="West-David"/>
    <x v="0"/>
  </r>
  <r>
    <n v="1090"/>
    <x v="91"/>
    <x v="4"/>
    <x v="3"/>
    <n v="17"/>
    <x v="2"/>
    <n v="1"/>
    <n v="4190.26"/>
    <n v="4645.3500000000004"/>
    <n v="4087.9080000000004"/>
    <n v="69494.436000000016"/>
    <n v="71234.42"/>
    <n v="-1739.9839999999822"/>
    <n v="-2.5037745467852732E-2"/>
    <s v="Loss"/>
    <x v="1"/>
    <n v="0.12"/>
    <s v="Credit Card"/>
    <s v="Retail"/>
    <s v="South-Charlie"/>
    <x v="1"/>
  </r>
  <r>
    <n v="1090"/>
    <x v="61"/>
    <x v="2"/>
    <x v="1"/>
    <n v="11"/>
    <x v="3"/>
    <n v="1"/>
    <n v="210.33"/>
    <n v="552.29"/>
    <n v="452.87779999999998"/>
    <n v="4981.6558000000005"/>
    <n v="2313.63"/>
    <n v="2668.0258000000003"/>
    <n v="0.53557008093574032"/>
    <s v="Profit"/>
    <x v="0"/>
    <n v="0.18"/>
    <s v="Cash"/>
    <s v="Retail"/>
    <s v="North-Eve"/>
    <x v="0"/>
  </r>
  <r>
    <n v="1090"/>
    <x v="43"/>
    <x v="4"/>
    <x v="1"/>
    <n v="41"/>
    <x v="2"/>
    <n v="1"/>
    <n v="3736.88"/>
    <n v="3946.77"/>
    <n v="3709.9638"/>
    <n v="152108.51579999999"/>
    <n v="153212.08000000002"/>
    <n v="-1103.5642000000225"/>
    <n v="-7.2551112223791913E-3"/>
    <s v="Loss"/>
    <x v="0"/>
    <n v="0.06"/>
    <s v="Credit Card"/>
    <s v="Online"/>
    <s v="North-Charlie"/>
    <x v="1"/>
  </r>
  <r>
    <n v="1090"/>
    <x v="35"/>
    <x v="2"/>
    <x v="0"/>
    <n v="46"/>
    <x v="2"/>
    <n v="1"/>
    <n v="4665.12"/>
    <n v="4675.8999999999996"/>
    <n v="3787.4789999999998"/>
    <n v="174224.03400000001"/>
    <n v="214595.52"/>
    <n v="-40371.485999999975"/>
    <n v="-0.23172168083308167"/>
    <s v="Loss"/>
    <x v="1"/>
    <n v="0.19"/>
    <s v="Cash"/>
    <s v="Retail"/>
    <s v="West-Eve"/>
    <x v="1"/>
  </r>
  <r>
    <n v="1091"/>
    <x v="317"/>
    <x v="2"/>
    <x v="2"/>
    <n v="15"/>
    <x v="3"/>
    <n v="1"/>
    <n v="1534.7"/>
    <n v="1972.62"/>
    <n v="1854.2627999999997"/>
    <n v="27813.941999999999"/>
    <n v="23020.5"/>
    <n v="4793.4419999999991"/>
    <n v="0.172339541083389"/>
    <s v="Profit"/>
    <x v="0"/>
    <n v="0.06"/>
    <s v="Credit Card"/>
    <s v="Retail"/>
    <s v="East-Eve"/>
    <x v="0"/>
  </r>
  <r>
    <n v="1091"/>
    <x v="305"/>
    <x v="4"/>
    <x v="3"/>
    <n v="44"/>
    <x v="0"/>
    <n v="1"/>
    <n v="2085.46"/>
    <n v="2406.58"/>
    <n v="2262.1851999999999"/>
    <n v="99536.148799999981"/>
    <n v="91760.24"/>
    <n v="7775.9087999999756"/>
    <n v="7.8121455307902946E-2"/>
    <s v="Profit"/>
    <x v="0"/>
    <n v="0.06"/>
    <s v="Bank Transfer"/>
    <s v="Retail"/>
    <s v="South-Charlie"/>
    <x v="0"/>
  </r>
  <r>
    <n v="1091"/>
    <x v="74"/>
    <x v="2"/>
    <x v="0"/>
    <n v="36"/>
    <x v="3"/>
    <n v="1"/>
    <n v="3951.59"/>
    <n v="4387.01"/>
    <n v="4079.9193"/>
    <n v="146877.09479999999"/>
    <n v="142257.24"/>
    <n v="4619.854800000001"/>
    <n v="3.1453881943204129E-2"/>
    <s v="Profit"/>
    <x v="1"/>
    <n v="7.0000000000000007E-2"/>
    <s v="Bank Transfer"/>
    <s v="Retail"/>
    <s v="West-Eve"/>
    <x v="1"/>
  </r>
  <r>
    <n v="1091"/>
    <x v="52"/>
    <x v="3"/>
    <x v="1"/>
    <n v="24"/>
    <x v="2"/>
    <n v="1"/>
    <n v="3639.3"/>
    <n v="3750.63"/>
    <n v="2887.9851000000003"/>
    <n v="69311.642399999997"/>
    <n v="87343.200000000012"/>
    <n v="-18031.557600000015"/>
    <n v="-0.26015193083925559"/>
    <s v="Loss"/>
    <x v="1"/>
    <n v="0.23"/>
    <s v="Bank Transfer"/>
    <s v="Retail"/>
    <s v="North-Alice"/>
    <x v="1"/>
  </r>
  <r>
    <n v="1091"/>
    <x v="216"/>
    <x v="0"/>
    <x v="0"/>
    <n v="39"/>
    <x v="1"/>
    <n v="1"/>
    <n v="2184.4899999999998"/>
    <n v="2540.42"/>
    <n v="1854.5065999999999"/>
    <n v="72325.757400000002"/>
    <n v="85195.109999999986"/>
    <n v="-12869.352599999984"/>
    <n v="-0.17793595342286708"/>
    <s v="Loss"/>
    <x v="0"/>
    <n v="0.27"/>
    <s v="Bank Transfer"/>
    <s v="Online"/>
    <s v="West-Bob"/>
    <x v="0"/>
  </r>
  <r>
    <n v="1092"/>
    <x v="89"/>
    <x v="1"/>
    <x v="2"/>
    <n v="6"/>
    <x v="2"/>
    <n v="1"/>
    <n v="422.74"/>
    <n v="737.49"/>
    <n v="597.3669000000001"/>
    <n v="3584.2014000000008"/>
    <n v="2536.44"/>
    <n v="1047.7614000000008"/>
    <n v="0.29232771350404596"/>
    <s v="Profit"/>
    <x v="0"/>
    <n v="0.19"/>
    <s v="Credit Card"/>
    <s v="Retail"/>
    <s v="East-David"/>
    <x v="0"/>
  </r>
  <r>
    <n v="1092"/>
    <x v="36"/>
    <x v="3"/>
    <x v="3"/>
    <n v="14"/>
    <x v="1"/>
    <n v="1"/>
    <n v="2559.65"/>
    <n v="2709.4"/>
    <n v="2411.366"/>
    <n v="33759.123999999996"/>
    <n v="35835.1"/>
    <n v="-2075.9760000000024"/>
    <n v="-6.149377572711906E-2"/>
    <s v="Loss"/>
    <x v="0"/>
    <n v="0.11"/>
    <s v="Credit Card"/>
    <s v="Retail"/>
    <s v="South-Alice"/>
    <x v="0"/>
  </r>
  <r>
    <n v="1092"/>
    <x v="158"/>
    <x v="1"/>
    <x v="0"/>
    <n v="34"/>
    <x v="1"/>
    <n v="1"/>
    <n v="2037.41"/>
    <n v="2238.65"/>
    <n v="1567.0550000000001"/>
    <n v="53279.87"/>
    <n v="69271.94"/>
    <n v="-15992.07"/>
    <n v="-0.30015219631729578"/>
    <s v="Loss"/>
    <x v="1"/>
    <n v="0.3"/>
    <s v="Credit Card"/>
    <s v="Online"/>
    <s v="West-David"/>
    <x v="0"/>
  </r>
  <r>
    <n v="1092"/>
    <x v="158"/>
    <x v="3"/>
    <x v="3"/>
    <n v="14"/>
    <x v="2"/>
    <n v="1"/>
    <n v="3586.58"/>
    <n v="4068.43"/>
    <n v="3173.3753999999999"/>
    <n v="44427.255599999997"/>
    <n v="50212.119999999995"/>
    <n v="-5784.8643999999986"/>
    <n v="-0.13020980751284578"/>
    <s v="Loss"/>
    <x v="1"/>
    <n v="0.22"/>
    <s v="Credit Card"/>
    <s v="Online"/>
    <s v="South-Alice"/>
    <x v="1"/>
  </r>
  <r>
    <n v="1092"/>
    <x v="176"/>
    <x v="0"/>
    <x v="2"/>
    <n v="47"/>
    <x v="1"/>
    <n v="1"/>
    <n v="3681.53"/>
    <n v="4076.96"/>
    <n v="3383.8768"/>
    <n v="159042.2096"/>
    <n v="173031.91"/>
    <n v="-13989.700400000002"/>
    <n v="-8.7962185857357461E-2"/>
    <s v="Loss"/>
    <x v="0"/>
    <n v="0.17"/>
    <s v="Cash"/>
    <s v="Retail"/>
    <s v="East-Bob"/>
    <x v="1"/>
  </r>
  <r>
    <n v="1092"/>
    <x v="182"/>
    <x v="2"/>
    <x v="2"/>
    <n v="33"/>
    <x v="3"/>
    <n v="1"/>
    <n v="2595.42"/>
    <n v="3083.06"/>
    <n v="2836.4151999999999"/>
    <n v="93601.7016"/>
    <n v="85648.86"/>
    <n v="7952.8415999999997"/>
    <n v="8.4964711795367617E-2"/>
    <s v="Profit"/>
    <x v="1"/>
    <n v="0.08"/>
    <s v="Credit Card"/>
    <s v="Online"/>
    <s v="East-Eve"/>
    <x v="1"/>
  </r>
  <r>
    <n v="1092"/>
    <x v="310"/>
    <x v="4"/>
    <x v="1"/>
    <n v="15"/>
    <x v="2"/>
    <n v="1"/>
    <n v="2273.88"/>
    <n v="2696.02"/>
    <n v="1887.2139999999999"/>
    <n v="28308.21"/>
    <n v="34108.200000000004"/>
    <n v="-5799.9900000000052"/>
    <n v="-0.20488720410085998"/>
    <s v="Loss"/>
    <x v="1"/>
    <n v="0.3"/>
    <s v="Cash"/>
    <s v="Online"/>
    <s v="North-Charlie"/>
    <x v="0"/>
  </r>
  <r>
    <n v="1092"/>
    <x v="11"/>
    <x v="2"/>
    <x v="2"/>
    <n v="28"/>
    <x v="2"/>
    <n v="1"/>
    <n v="3936.69"/>
    <n v="4362.51"/>
    <n v="4057.1342999999997"/>
    <n v="113599.76039999998"/>
    <n v="110227.32"/>
    <n v="3372.4403999999777"/>
    <n v="2.9687037966674955E-2"/>
    <s v="Profit"/>
    <x v="0"/>
    <n v="7.0000000000000007E-2"/>
    <s v="Credit Card"/>
    <s v="Retail"/>
    <s v="East-Eve"/>
    <x v="1"/>
  </r>
  <r>
    <n v="1092"/>
    <x v="207"/>
    <x v="1"/>
    <x v="2"/>
    <n v="47"/>
    <x v="3"/>
    <n v="1"/>
    <n v="3034.32"/>
    <n v="3375.79"/>
    <n v="2430.5688"/>
    <n v="114236.73359999999"/>
    <n v="142613.04"/>
    <n v="-28376.306400000016"/>
    <n v="-0.24839914015188558"/>
    <s v="Loss"/>
    <x v="1"/>
    <n v="0.28000000000000003"/>
    <s v="Credit Card"/>
    <s v="Online"/>
    <s v="East-David"/>
    <x v="1"/>
  </r>
  <r>
    <n v="1092"/>
    <x v="243"/>
    <x v="3"/>
    <x v="2"/>
    <n v="47"/>
    <x v="1"/>
    <n v="1"/>
    <n v="1447.45"/>
    <n v="1703.02"/>
    <n v="1498.6576"/>
    <n v="70436.907200000001"/>
    <n v="68030.150000000009"/>
    <n v="2406.7571999999927"/>
    <n v="3.4168978958235584E-2"/>
    <s v="Profit"/>
    <x v="0"/>
    <n v="0.12"/>
    <s v="Bank Transfer"/>
    <s v="Retail"/>
    <s v="East-Alice"/>
    <x v="0"/>
  </r>
  <r>
    <n v="1092"/>
    <x v="243"/>
    <x v="1"/>
    <x v="2"/>
    <n v="21"/>
    <x v="2"/>
    <n v="1"/>
    <n v="2792.2"/>
    <n v="3254.55"/>
    <n v="3189.4590000000003"/>
    <n v="66978.638999999996"/>
    <n v="58636.2"/>
    <n v="8342.4389999999985"/>
    <n v="0.12455372525559975"/>
    <s v="Profit"/>
    <x v="1"/>
    <n v="0.02"/>
    <s v="Credit Card"/>
    <s v="Retail"/>
    <s v="East-David"/>
    <x v="1"/>
  </r>
  <r>
    <n v="1092"/>
    <x v="140"/>
    <x v="4"/>
    <x v="2"/>
    <n v="40"/>
    <x v="3"/>
    <n v="1"/>
    <n v="4624.16"/>
    <n v="4731.9799999999996"/>
    <n v="3785.5839999999998"/>
    <n v="151423.35999999999"/>
    <n v="184966.39999999999"/>
    <n v="-33543.040000000008"/>
    <n v="-0.22151826508142478"/>
    <s v="Loss"/>
    <x v="1"/>
    <n v="0.2"/>
    <s v="Bank Transfer"/>
    <s v="Retail"/>
    <s v="East-Charlie"/>
    <x v="1"/>
  </r>
  <r>
    <n v="1092"/>
    <x v="330"/>
    <x v="1"/>
    <x v="2"/>
    <n v="29"/>
    <x v="2"/>
    <n v="1"/>
    <n v="1742.24"/>
    <n v="2070.52"/>
    <n v="1822.0576000000001"/>
    <n v="52839.670400000003"/>
    <n v="50524.959999999999"/>
    <n v="2314.7104000000036"/>
    <n v="4.3806298988572107E-2"/>
    <s v="Profit"/>
    <x v="1"/>
    <n v="0.12"/>
    <s v="Cash"/>
    <s v="Online"/>
    <s v="East-David"/>
    <x v="0"/>
  </r>
  <r>
    <n v="1092"/>
    <x v="209"/>
    <x v="0"/>
    <x v="3"/>
    <n v="18"/>
    <x v="0"/>
    <n v="1"/>
    <n v="3070.47"/>
    <n v="3475.29"/>
    <n v="2780.232"/>
    <n v="50044.176000000007"/>
    <n v="55268.46"/>
    <n v="-5224.2839999999924"/>
    <n v="-0.10439344630232281"/>
    <s v="Loss"/>
    <x v="0"/>
    <n v="0.2"/>
    <s v="Bank Transfer"/>
    <s v="Online"/>
    <s v="South-Bob"/>
    <x v="1"/>
  </r>
  <r>
    <n v="1092"/>
    <x v="51"/>
    <x v="3"/>
    <x v="0"/>
    <n v="49"/>
    <x v="1"/>
    <n v="1"/>
    <n v="2315"/>
    <n v="2467.2800000000002"/>
    <n v="2097.1880000000001"/>
    <n v="102762.21200000001"/>
    <n v="113435"/>
    <n v="-10672.787999999986"/>
    <n v="-0.10385907224340388"/>
    <s v="Loss"/>
    <x v="1"/>
    <n v="0.15"/>
    <s v="Bank Transfer"/>
    <s v="Retail"/>
    <s v="West-Alice"/>
    <x v="0"/>
  </r>
  <r>
    <n v="1092"/>
    <x v="52"/>
    <x v="0"/>
    <x v="2"/>
    <n v="20"/>
    <x v="0"/>
    <n v="1"/>
    <n v="668.11"/>
    <n v="803.49"/>
    <n v="634.75710000000004"/>
    <n v="12695.142"/>
    <n v="13362.2"/>
    <n v="-667.0580000000009"/>
    <n v="-5.2544351217182206E-2"/>
    <s v="Loss"/>
    <x v="1"/>
    <n v="0.21"/>
    <s v="Bank Transfer"/>
    <s v="Online"/>
    <s v="East-Bob"/>
    <x v="0"/>
  </r>
  <r>
    <n v="1092"/>
    <x v="132"/>
    <x v="1"/>
    <x v="0"/>
    <n v="26"/>
    <x v="1"/>
    <n v="1"/>
    <n v="3697.29"/>
    <n v="4003.96"/>
    <n v="3043.0095999999999"/>
    <n v="79118.24960000001"/>
    <n v="96129.54"/>
    <n v="-17011.290399999983"/>
    <n v="-0.21501095494407882"/>
    <s v="Loss"/>
    <x v="1"/>
    <n v="0.24"/>
    <s v="Cash"/>
    <s v="Online"/>
    <s v="West-David"/>
    <x v="1"/>
  </r>
  <r>
    <n v="1092"/>
    <x v="69"/>
    <x v="0"/>
    <x v="3"/>
    <n v="13"/>
    <x v="2"/>
    <n v="1"/>
    <n v="2684.5"/>
    <n v="2913.78"/>
    <n v="2680.6776000000004"/>
    <n v="34848.808799999999"/>
    <n v="34898.5"/>
    <n v="-49.691200000001118"/>
    <n v="-1.4259081360623472E-3"/>
    <s v="Loss"/>
    <x v="1"/>
    <n v="0.08"/>
    <s v="Credit Card"/>
    <s v="Retail"/>
    <s v="South-Bob"/>
    <x v="1"/>
  </r>
  <r>
    <n v="1092"/>
    <x v="150"/>
    <x v="2"/>
    <x v="3"/>
    <n v="47"/>
    <x v="0"/>
    <n v="1"/>
    <n v="4284.9799999999996"/>
    <n v="4462.3999999999996"/>
    <n v="3212.9279999999994"/>
    <n v="151007.61599999998"/>
    <n v="201394.05999999997"/>
    <n v="-50386.443999999989"/>
    <n v="-0.33366823034938842"/>
    <s v="Loss"/>
    <x v="1"/>
    <n v="0.28000000000000003"/>
    <s v="Credit Card"/>
    <s v="Retail"/>
    <s v="South-Eve"/>
    <x v="1"/>
  </r>
  <r>
    <n v="1093"/>
    <x v="317"/>
    <x v="2"/>
    <x v="2"/>
    <n v="22"/>
    <x v="3"/>
    <n v="1"/>
    <n v="2593.64"/>
    <n v="2955.51"/>
    <n v="2955.51"/>
    <n v="65021.22"/>
    <n v="57060.079999999994"/>
    <n v="7961.1400000000067"/>
    <n v="0.12243910526440455"/>
    <s v="Profit"/>
    <x v="0"/>
    <n v="0"/>
    <s v="Bank Transfer"/>
    <s v="Retail"/>
    <s v="East-Eve"/>
    <x v="1"/>
  </r>
  <r>
    <n v="1093"/>
    <x v="80"/>
    <x v="4"/>
    <x v="1"/>
    <n v="46"/>
    <x v="2"/>
    <n v="1"/>
    <n v="401.64"/>
    <n v="757.26"/>
    <n v="598.23540000000003"/>
    <n v="27518.828400000002"/>
    <n v="18475.439999999999"/>
    <n v="9043.3884000000035"/>
    <n v="0.32862548755891086"/>
    <s v="Profit"/>
    <x v="1"/>
    <n v="0.21"/>
    <s v="Credit Card"/>
    <s v="Retail"/>
    <s v="North-Charlie"/>
    <x v="0"/>
  </r>
  <r>
    <n v="1093"/>
    <x v="269"/>
    <x v="0"/>
    <x v="0"/>
    <n v="43"/>
    <x v="3"/>
    <n v="1"/>
    <n v="1486.76"/>
    <n v="1505.44"/>
    <n v="1385.0048000000002"/>
    <n v="59555.20640000001"/>
    <n v="63930.68"/>
    <n v="-4375.4735999999903"/>
    <n v="-7.3469203861242754E-2"/>
    <s v="Loss"/>
    <x v="1"/>
    <n v="0.08"/>
    <s v="Cash"/>
    <s v="Retail"/>
    <s v="West-Bob"/>
    <x v="0"/>
  </r>
  <r>
    <n v="1093"/>
    <x v="189"/>
    <x v="0"/>
    <x v="2"/>
    <n v="17"/>
    <x v="1"/>
    <n v="1"/>
    <n v="727.38"/>
    <n v="764.54"/>
    <n v="634.56819999999993"/>
    <n v="10787.6594"/>
    <n v="12365.46"/>
    <n v="-1577.8005999999987"/>
    <n v="-0.14625977160532141"/>
    <s v="Loss"/>
    <x v="0"/>
    <n v="0.17"/>
    <s v="Credit Card"/>
    <s v="Retail"/>
    <s v="East-Bob"/>
    <x v="0"/>
  </r>
  <r>
    <n v="1093"/>
    <x v="134"/>
    <x v="0"/>
    <x v="3"/>
    <n v="38"/>
    <x v="0"/>
    <n v="1"/>
    <n v="86.59"/>
    <n v="390.89"/>
    <n v="293.16750000000002"/>
    <n v="11140.365"/>
    <n v="3290.42"/>
    <n v="7849.9449999999997"/>
    <n v="0.70463983899988913"/>
    <s v="Profit"/>
    <x v="0"/>
    <n v="0.25"/>
    <s v="Credit Card"/>
    <s v="Online"/>
    <s v="South-Bob"/>
    <x v="0"/>
  </r>
  <r>
    <n v="1093"/>
    <x v="105"/>
    <x v="1"/>
    <x v="0"/>
    <n v="6"/>
    <x v="0"/>
    <n v="1"/>
    <n v="235.12"/>
    <n v="677.5"/>
    <n v="569.1"/>
    <n v="3414.6"/>
    <n v="1410.72"/>
    <n v="2003.8799999999999"/>
    <n v="0.58685643999297132"/>
    <s v="Profit"/>
    <x v="0"/>
    <n v="0.16"/>
    <s v="Credit Card"/>
    <s v="Online"/>
    <s v="West-David"/>
    <x v="0"/>
  </r>
  <r>
    <n v="1093"/>
    <x v="59"/>
    <x v="1"/>
    <x v="0"/>
    <n v="19"/>
    <x v="3"/>
    <n v="1"/>
    <n v="3808.59"/>
    <n v="3844.51"/>
    <n v="3037.1629000000003"/>
    <n v="57706.095100000006"/>
    <n v="72363.210000000006"/>
    <n v="-14657.1149"/>
    <n v="-0.25399595787239465"/>
    <s v="Loss"/>
    <x v="1"/>
    <n v="0.21"/>
    <s v="Credit Card"/>
    <s v="Online"/>
    <s v="West-David"/>
    <x v="1"/>
  </r>
  <r>
    <n v="1093"/>
    <x v="83"/>
    <x v="0"/>
    <x v="0"/>
    <n v="17"/>
    <x v="1"/>
    <n v="1"/>
    <n v="3816.39"/>
    <n v="4209.4399999999996"/>
    <n v="3746.4015999999997"/>
    <n v="63688.8272"/>
    <n v="64878.63"/>
    <n v="-1189.8027999999977"/>
    <n v="-1.8681499602178225E-2"/>
    <s v="Loss"/>
    <x v="0"/>
    <n v="0.11"/>
    <s v="Cash"/>
    <s v="Retail"/>
    <s v="West-Bob"/>
    <x v="1"/>
  </r>
  <r>
    <n v="1093"/>
    <x v="117"/>
    <x v="4"/>
    <x v="1"/>
    <n v="22"/>
    <x v="1"/>
    <n v="1"/>
    <n v="3285.25"/>
    <n v="3634.58"/>
    <n v="3162.0846000000001"/>
    <n v="69565.861199999999"/>
    <n v="72275.5"/>
    <n v="-2709.6388000000006"/>
    <n v="-3.8950697271034437E-2"/>
    <s v="Loss"/>
    <x v="1"/>
    <n v="0.13"/>
    <s v="Bank Transfer"/>
    <s v="Online"/>
    <s v="North-Charlie"/>
    <x v="1"/>
  </r>
  <r>
    <n v="1093"/>
    <x v="221"/>
    <x v="4"/>
    <x v="1"/>
    <n v="40"/>
    <x v="1"/>
    <n v="1"/>
    <n v="1047.25"/>
    <n v="1075.8900000000001"/>
    <n v="774.64080000000001"/>
    <n v="30985.632000000001"/>
    <n v="41890"/>
    <n v="-10904.367999999999"/>
    <n v="-0.35191691426529553"/>
    <s v="Loss"/>
    <x v="1"/>
    <n v="0.28000000000000003"/>
    <s v="Credit Card"/>
    <s v="Retail"/>
    <s v="North-Charlie"/>
    <x v="0"/>
  </r>
  <r>
    <n v="1093"/>
    <x v="280"/>
    <x v="3"/>
    <x v="1"/>
    <n v="34"/>
    <x v="0"/>
    <n v="1"/>
    <n v="4201.1099999999997"/>
    <n v="4436.5"/>
    <n v="4214.6750000000002"/>
    <n v="143298.94999999998"/>
    <n v="142837.74"/>
    <n v="461.20999999999185"/>
    <n v="3.2185162557017474E-3"/>
    <s v="Profit"/>
    <x v="1"/>
    <n v="0.05"/>
    <s v="Cash"/>
    <s v="Online"/>
    <s v="North-Alice"/>
    <x v="1"/>
  </r>
  <r>
    <n v="1094"/>
    <x v="81"/>
    <x v="0"/>
    <x v="1"/>
    <n v="49"/>
    <x v="0"/>
    <n v="1"/>
    <n v="615.47"/>
    <n v="715.84"/>
    <n v="565.5136"/>
    <n v="27710.166400000006"/>
    <n v="30158.030000000002"/>
    <n v="-2447.8635999999969"/>
    <n v="-8.8338105396580963E-2"/>
    <s v="Loss"/>
    <x v="0"/>
    <n v="0.21"/>
    <s v="Credit Card"/>
    <s v="Retail"/>
    <s v="North-Bob"/>
    <x v="0"/>
  </r>
  <r>
    <n v="1094"/>
    <x v="71"/>
    <x v="2"/>
    <x v="2"/>
    <n v="12"/>
    <x v="1"/>
    <n v="1"/>
    <n v="333.32"/>
    <n v="700.25"/>
    <n v="602.21500000000003"/>
    <n v="7226.58"/>
    <n v="3999.84"/>
    <n v="3226.74"/>
    <n v="0.44650996737045739"/>
    <s v="Profit"/>
    <x v="0"/>
    <n v="0.14000000000000001"/>
    <s v="Cash"/>
    <s v="Online"/>
    <s v="East-Eve"/>
    <x v="0"/>
  </r>
  <r>
    <n v="1094"/>
    <x v="272"/>
    <x v="2"/>
    <x v="1"/>
    <n v="25"/>
    <x v="3"/>
    <n v="1"/>
    <n v="1933.39"/>
    <n v="1982.92"/>
    <n v="1645.8235999999999"/>
    <n v="41145.589999999997"/>
    <n v="48334.75"/>
    <n v="-7189.1600000000035"/>
    <n v="-0.17472492191751302"/>
    <s v="Loss"/>
    <x v="1"/>
    <n v="0.17"/>
    <s v="Bank Transfer"/>
    <s v="Online"/>
    <s v="North-Eve"/>
    <x v="0"/>
  </r>
  <r>
    <n v="1094"/>
    <x v="104"/>
    <x v="2"/>
    <x v="0"/>
    <n v="38"/>
    <x v="0"/>
    <n v="1"/>
    <n v="3443.98"/>
    <n v="3820.3"/>
    <n v="3782.0970000000002"/>
    <n v="143719.68599999999"/>
    <n v="130871.24"/>
    <n v="12848.445999999982"/>
    <n v="8.9399346447222153E-2"/>
    <s v="Profit"/>
    <x v="0"/>
    <n v="0.01"/>
    <s v="Credit Card"/>
    <s v="Retail"/>
    <s v="West-Eve"/>
    <x v="1"/>
  </r>
  <r>
    <n v="1094"/>
    <x v="136"/>
    <x v="0"/>
    <x v="1"/>
    <n v="45"/>
    <x v="1"/>
    <n v="1"/>
    <n v="4470.91"/>
    <n v="4695.54"/>
    <n v="4413.8076000000001"/>
    <n v="198621.34199999998"/>
    <n v="201190.94999999998"/>
    <n v="-2569.6080000000075"/>
    <n v="-1.2937220009318072E-2"/>
    <s v="Loss"/>
    <x v="0"/>
    <n v="0.06"/>
    <s v="Cash"/>
    <s v="Retail"/>
    <s v="North-Bob"/>
    <x v="1"/>
  </r>
  <r>
    <n v="1094"/>
    <x v="183"/>
    <x v="4"/>
    <x v="3"/>
    <n v="47"/>
    <x v="0"/>
    <n v="1"/>
    <n v="3450.36"/>
    <n v="3557.38"/>
    <n v="2845.9040000000005"/>
    <n v="133757.48800000001"/>
    <n v="162166.92000000001"/>
    <n v="-28409.432000000001"/>
    <n v="-0.21239507727597276"/>
    <s v="Loss"/>
    <x v="1"/>
    <n v="0.2"/>
    <s v="Credit Card"/>
    <s v="Online"/>
    <s v="South-Charlie"/>
    <x v="1"/>
  </r>
  <r>
    <n v="1094"/>
    <x v="78"/>
    <x v="0"/>
    <x v="0"/>
    <n v="7"/>
    <x v="1"/>
    <n v="1"/>
    <n v="4122.38"/>
    <n v="4358.78"/>
    <n v="3225.4971999999998"/>
    <n v="22578.4804"/>
    <n v="28856.66"/>
    <n v="-6278.1795999999995"/>
    <n v="-0.27806032508724543"/>
    <s v="Loss"/>
    <x v="0"/>
    <n v="0.26"/>
    <s v="Bank Transfer"/>
    <s v="Retail"/>
    <s v="West-Bob"/>
    <x v="1"/>
  </r>
  <r>
    <n v="1094"/>
    <x v="35"/>
    <x v="0"/>
    <x v="3"/>
    <n v="15"/>
    <x v="0"/>
    <n v="1"/>
    <n v="4111.93"/>
    <n v="4338.67"/>
    <n v="3210.6158"/>
    <n v="48159.237000000001"/>
    <n v="61678.950000000004"/>
    <n v="-13519.713000000003"/>
    <n v="-0.28072938530982133"/>
    <s v="Loss"/>
    <x v="0"/>
    <n v="0.26"/>
    <s v="Credit Card"/>
    <s v="Online"/>
    <s v="South-Bob"/>
    <x v="1"/>
  </r>
  <r>
    <n v="1095"/>
    <x v="64"/>
    <x v="2"/>
    <x v="2"/>
    <n v="16"/>
    <x v="3"/>
    <n v="1"/>
    <n v="3591.05"/>
    <n v="3625.35"/>
    <n v="3444.0824999999995"/>
    <n v="55105.319999999992"/>
    <n v="57456.800000000003"/>
    <n v="-2351.4800000000105"/>
    <n v="-4.2672467921427745E-2"/>
    <s v="Loss"/>
    <x v="0"/>
    <n v="0.05"/>
    <s v="Credit Card"/>
    <s v="Retail"/>
    <s v="East-Eve"/>
    <x v="1"/>
  </r>
  <r>
    <n v="1095"/>
    <x v="331"/>
    <x v="4"/>
    <x v="2"/>
    <n v="9"/>
    <x v="0"/>
    <n v="1"/>
    <n v="2650.95"/>
    <n v="2860.42"/>
    <n v="2517.1696000000002"/>
    <n v="22654.526399999999"/>
    <n v="23858.55"/>
    <n v="-1204.0236000000004"/>
    <n v="-5.3147153850896682E-2"/>
    <s v="Loss"/>
    <x v="1"/>
    <n v="0.12"/>
    <s v="Cash"/>
    <s v="Retail"/>
    <s v="East-Charlie"/>
    <x v="1"/>
  </r>
  <r>
    <n v="1095"/>
    <x v="281"/>
    <x v="4"/>
    <x v="0"/>
    <n v="32"/>
    <x v="2"/>
    <n v="1"/>
    <n v="4266.6400000000003"/>
    <n v="4523.3599999999997"/>
    <n v="3166.3519999999994"/>
    <n v="101323.26399999998"/>
    <n v="136532.48000000001"/>
    <n v="-35209.216000000029"/>
    <n v="-0.34749389834105654"/>
    <s v="Loss"/>
    <x v="1"/>
    <n v="0.3"/>
    <s v="Bank Transfer"/>
    <s v="Retail"/>
    <s v="West-Charlie"/>
    <x v="1"/>
  </r>
  <r>
    <n v="1095"/>
    <x v="72"/>
    <x v="2"/>
    <x v="2"/>
    <n v="4"/>
    <x v="2"/>
    <n v="1"/>
    <n v="3191.05"/>
    <n v="3555.35"/>
    <n v="2559.8519999999999"/>
    <n v="10239.407999999999"/>
    <n v="12764.2"/>
    <n v="-2524.7920000000013"/>
    <n v="-0.24657597392349259"/>
    <s v="Loss"/>
    <x v="1"/>
    <n v="0.28000000000000003"/>
    <s v="Credit Card"/>
    <s v="Online"/>
    <s v="East-Eve"/>
    <x v="1"/>
  </r>
  <r>
    <n v="1095"/>
    <x v="267"/>
    <x v="1"/>
    <x v="1"/>
    <n v="21"/>
    <x v="2"/>
    <n v="1"/>
    <n v="621.04999999999995"/>
    <n v="820.37"/>
    <n v="623.48120000000006"/>
    <n v="13093.1052"/>
    <n v="13042.05"/>
    <n v="51.055200000000696"/>
    <n v="3.8993958438522814E-3"/>
    <s v="Profit"/>
    <x v="0"/>
    <n v="0.24"/>
    <s v="Bank Transfer"/>
    <s v="Online"/>
    <s v="North-David"/>
    <x v="0"/>
  </r>
  <r>
    <n v="1095"/>
    <x v="128"/>
    <x v="2"/>
    <x v="3"/>
    <n v="43"/>
    <x v="1"/>
    <n v="1"/>
    <n v="1331.86"/>
    <n v="1758.98"/>
    <n v="1354.4146000000001"/>
    <n v="58239.827799999999"/>
    <n v="57269.979999999996"/>
    <n v="969.84780000000319"/>
    <n v="1.665265569346349E-2"/>
    <s v="Profit"/>
    <x v="0"/>
    <n v="0.23"/>
    <s v="Bank Transfer"/>
    <s v="Retail"/>
    <s v="South-Eve"/>
    <x v="0"/>
  </r>
  <r>
    <n v="1095"/>
    <x v="312"/>
    <x v="0"/>
    <x v="0"/>
    <n v="20"/>
    <x v="0"/>
    <n v="1"/>
    <n v="729.27"/>
    <n v="999.18"/>
    <n v="899.26199999999994"/>
    <n v="17985.239999999998"/>
    <n v="14585.4"/>
    <n v="3399.8399999999983"/>
    <n v="0.1890350087071398"/>
    <s v="Profit"/>
    <x v="1"/>
    <n v="0.1"/>
    <s v="Bank Transfer"/>
    <s v="Online"/>
    <s v="West-Bob"/>
    <x v="0"/>
  </r>
  <r>
    <n v="1095"/>
    <x v="233"/>
    <x v="0"/>
    <x v="3"/>
    <n v="10"/>
    <x v="3"/>
    <n v="1"/>
    <n v="3155.97"/>
    <n v="3263.49"/>
    <n v="3132.9503999999997"/>
    <n v="31329.503999999997"/>
    <n v="31559.699999999997"/>
    <n v="-230.19599999999991"/>
    <n v="-7.3475788189943875E-3"/>
    <s v="Loss"/>
    <x v="0"/>
    <n v="0.04"/>
    <s v="Credit Card"/>
    <s v="Online"/>
    <s v="South-Bob"/>
    <x v="1"/>
  </r>
  <r>
    <n v="1095"/>
    <x v="314"/>
    <x v="3"/>
    <x v="2"/>
    <n v="37"/>
    <x v="3"/>
    <n v="1"/>
    <n v="407.77"/>
    <n v="860.95"/>
    <n v="774.85500000000002"/>
    <n v="28669.635000000002"/>
    <n v="15087.49"/>
    <n v="13582.145000000002"/>
    <n v="0.47374670099567018"/>
    <s v="Profit"/>
    <x v="1"/>
    <n v="0.1"/>
    <s v="Credit Card"/>
    <s v="Retail"/>
    <s v="East-Alice"/>
    <x v="0"/>
  </r>
  <r>
    <n v="1095"/>
    <x v="208"/>
    <x v="4"/>
    <x v="0"/>
    <n v="7"/>
    <x v="0"/>
    <n v="1"/>
    <n v="4257.24"/>
    <n v="4355.87"/>
    <n v="4225.1939000000002"/>
    <n v="29576.3573"/>
    <n v="29800.68"/>
    <n v="-224.32270000000062"/>
    <n v="-7.5845276591921824E-3"/>
    <s v="Loss"/>
    <x v="0"/>
    <n v="0.03"/>
    <s v="Bank Transfer"/>
    <s v="Online"/>
    <s v="West-Charlie"/>
    <x v="1"/>
  </r>
  <r>
    <n v="1096"/>
    <x v="80"/>
    <x v="0"/>
    <x v="3"/>
    <n v="17"/>
    <x v="0"/>
    <n v="1"/>
    <n v="2774.24"/>
    <n v="3069.94"/>
    <n v="2363.8538000000003"/>
    <n v="40185.514600000002"/>
    <n v="47162.079999999994"/>
    <n v="-6976.5653999999922"/>
    <n v="-0.1736089600803567"/>
    <s v="Loss"/>
    <x v="0"/>
    <n v="0.23"/>
    <s v="Bank Transfer"/>
    <s v="Retail"/>
    <s v="South-Bob"/>
    <x v="1"/>
  </r>
  <r>
    <n v="1096"/>
    <x v="275"/>
    <x v="0"/>
    <x v="2"/>
    <n v="20"/>
    <x v="1"/>
    <n v="1"/>
    <n v="1994.9"/>
    <n v="2066.5"/>
    <n v="1942.51"/>
    <n v="38850.199999999997"/>
    <n v="39898"/>
    <n v="-1047.8000000000029"/>
    <n v="-2.6970260127361069E-2"/>
    <s v="Loss"/>
    <x v="0"/>
    <n v="0.06"/>
    <s v="Bank Transfer"/>
    <s v="Online"/>
    <s v="East-Bob"/>
    <x v="0"/>
  </r>
  <r>
    <n v="1096"/>
    <x v="332"/>
    <x v="3"/>
    <x v="2"/>
    <n v="31"/>
    <x v="3"/>
    <n v="1"/>
    <n v="1724.24"/>
    <n v="2036.2"/>
    <n v="1690.046"/>
    <n v="52391.425999999999"/>
    <n v="53451.44"/>
    <n v="-1060.0140000000029"/>
    <n v="-2.0232585385249923E-2"/>
    <s v="Loss"/>
    <x v="1"/>
    <n v="0.17"/>
    <s v="Cash"/>
    <s v="Online"/>
    <s v="East-Alice"/>
    <x v="0"/>
  </r>
  <r>
    <n v="1096"/>
    <x v="220"/>
    <x v="3"/>
    <x v="2"/>
    <n v="32"/>
    <x v="1"/>
    <n v="1"/>
    <n v="991.63"/>
    <n v="1065.55"/>
    <n v="831.12900000000002"/>
    <n v="26596.128000000001"/>
    <n v="31732.16"/>
    <n v="-5136.0319999999992"/>
    <n v="-0.19311201991507934"/>
    <s v="Loss"/>
    <x v="0"/>
    <n v="0.22"/>
    <s v="Bank Transfer"/>
    <s v="Retail"/>
    <s v="East-Alice"/>
    <x v="0"/>
  </r>
  <r>
    <n v="1096"/>
    <x v="200"/>
    <x v="0"/>
    <x v="1"/>
    <n v="30"/>
    <x v="3"/>
    <n v="1"/>
    <n v="3969.86"/>
    <n v="4281.79"/>
    <n v="3939.2468000000003"/>
    <n v="118177.40400000001"/>
    <n v="119095.8"/>
    <n v="-918.39599999999336"/>
    <n v="-7.7713333422013003E-3"/>
    <s v="Loss"/>
    <x v="0"/>
    <n v="0.08"/>
    <s v="Bank Transfer"/>
    <s v="Retail"/>
    <s v="North-Bob"/>
    <x v="1"/>
  </r>
  <r>
    <n v="1096"/>
    <x v="161"/>
    <x v="0"/>
    <x v="3"/>
    <n v="14"/>
    <x v="1"/>
    <n v="1"/>
    <n v="2251.9499999999998"/>
    <n v="2626.32"/>
    <n v="2074.7928000000002"/>
    <n v="29047.099200000004"/>
    <n v="31527.299999999996"/>
    <n v="-2480.2007999999914"/>
    <n v="-8.5385490059537203E-2"/>
    <s v="Loss"/>
    <x v="0"/>
    <n v="0.21"/>
    <s v="Credit Card"/>
    <s v="Online"/>
    <s v="South-Bob"/>
    <x v="0"/>
  </r>
  <r>
    <n v="1096"/>
    <x v="65"/>
    <x v="4"/>
    <x v="3"/>
    <n v="45"/>
    <x v="2"/>
    <n v="1"/>
    <n v="357.92"/>
    <n v="461.3"/>
    <n v="332.13600000000002"/>
    <n v="14946.119999999999"/>
    <n v="16106.400000000001"/>
    <n v="-1160.2800000000025"/>
    <n v="-7.7630850013247751E-2"/>
    <s v="Loss"/>
    <x v="0"/>
    <n v="0.28000000000000003"/>
    <s v="Cash"/>
    <s v="Online"/>
    <s v="South-Charlie"/>
    <x v="0"/>
  </r>
  <r>
    <n v="1096"/>
    <x v="198"/>
    <x v="4"/>
    <x v="3"/>
    <n v="6"/>
    <x v="1"/>
    <n v="1"/>
    <n v="252.62"/>
    <n v="742"/>
    <n v="578.76"/>
    <n v="3472.56"/>
    <n v="1515.72"/>
    <n v="1956.84"/>
    <n v="0.56351510125095028"/>
    <s v="Profit"/>
    <x v="1"/>
    <n v="0.22"/>
    <s v="Credit Card"/>
    <s v="Retail"/>
    <s v="South-Charlie"/>
    <x v="0"/>
  </r>
  <r>
    <n v="1096"/>
    <x v="27"/>
    <x v="2"/>
    <x v="3"/>
    <n v="23"/>
    <x v="3"/>
    <n v="1"/>
    <n v="608.57000000000005"/>
    <n v="1032.22"/>
    <n v="774.16499999999996"/>
    <n v="17805.795000000002"/>
    <n v="13997.11"/>
    <n v="3808.6850000000013"/>
    <n v="0.21390142928187147"/>
    <s v="Profit"/>
    <x v="1"/>
    <n v="0.25"/>
    <s v="Cash"/>
    <s v="Retail"/>
    <s v="South-Eve"/>
    <x v="0"/>
  </r>
  <r>
    <n v="1096"/>
    <x v="21"/>
    <x v="1"/>
    <x v="3"/>
    <n v="10"/>
    <x v="2"/>
    <n v="1"/>
    <n v="2927.02"/>
    <n v="3387.21"/>
    <n v="2980.7447999999999"/>
    <n v="29807.448"/>
    <n v="29270.2"/>
    <n v="537.24799999999959"/>
    <n v="1.8023951597600694E-2"/>
    <s v="Profit"/>
    <x v="0"/>
    <n v="0.12"/>
    <s v="Cash"/>
    <s v="Retail"/>
    <s v="South-David"/>
    <x v="1"/>
  </r>
  <r>
    <n v="1096"/>
    <x v="91"/>
    <x v="4"/>
    <x v="0"/>
    <n v="27"/>
    <x v="2"/>
    <n v="1"/>
    <n v="4809"/>
    <n v="4967.4399999999996"/>
    <n v="4371.3471999999992"/>
    <n v="118026.37439999999"/>
    <n v="129843"/>
    <n v="-11816.625600000014"/>
    <n v="-0.10011851723880467"/>
    <s v="Loss"/>
    <x v="1"/>
    <n v="0.12"/>
    <s v="Cash"/>
    <s v="Online"/>
    <s v="West-Charlie"/>
    <x v="1"/>
  </r>
  <r>
    <n v="1096"/>
    <x v="87"/>
    <x v="3"/>
    <x v="1"/>
    <n v="48"/>
    <x v="2"/>
    <n v="1"/>
    <n v="2449.21"/>
    <n v="2714.12"/>
    <n v="2686.9787999999999"/>
    <n v="128974.98239999999"/>
    <n v="117562.08"/>
    <n v="11412.902399999992"/>
    <n v="8.8489272784734979E-2"/>
    <s v="Profit"/>
    <x v="1"/>
    <n v="0.01"/>
    <s v="Credit Card"/>
    <s v="Online"/>
    <s v="North-Alice"/>
    <x v="0"/>
  </r>
  <r>
    <n v="1096"/>
    <x v="246"/>
    <x v="4"/>
    <x v="0"/>
    <n v="38"/>
    <x v="3"/>
    <n v="1"/>
    <n v="3955.66"/>
    <n v="4270.59"/>
    <n v="3630.0014999999999"/>
    <n v="137940.057"/>
    <n v="150315.07999999999"/>
    <n v="-12375.022999999986"/>
    <n v="-8.9713048327941358E-2"/>
    <s v="Loss"/>
    <x v="0"/>
    <n v="0.15"/>
    <s v="Credit Card"/>
    <s v="Online"/>
    <s v="West-Charlie"/>
    <x v="1"/>
  </r>
  <r>
    <n v="1097"/>
    <x v="306"/>
    <x v="3"/>
    <x v="0"/>
    <n v="27"/>
    <x v="3"/>
    <n v="1"/>
    <n v="3955.19"/>
    <n v="4393.68"/>
    <n v="4217.9328000000005"/>
    <n v="113884.18560000001"/>
    <n v="106790.13"/>
    <n v="7094.055600000007"/>
    <n v="6.2291841159726448E-2"/>
    <s v="Profit"/>
    <x v="0"/>
    <n v="0.04"/>
    <s v="Credit Card"/>
    <s v="Online"/>
    <s v="West-Alice"/>
    <x v="1"/>
  </r>
  <r>
    <n v="1097"/>
    <x v="206"/>
    <x v="4"/>
    <x v="2"/>
    <n v="10"/>
    <x v="1"/>
    <n v="1"/>
    <n v="2162.9499999999998"/>
    <n v="2191.19"/>
    <n v="1752.9520000000002"/>
    <n v="17529.52"/>
    <n v="21629.5"/>
    <n v="-4099.9799999999996"/>
    <n v="-0.23389003235684716"/>
    <s v="Loss"/>
    <x v="0"/>
    <n v="0.2"/>
    <s v="Credit Card"/>
    <s v="Online"/>
    <s v="East-Charlie"/>
    <x v="0"/>
  </r>
  <r>
    <n v="1097"/>
    <x v="231"/>
    <x v="1"/>
    <x v="3"/>
    <n v="35"/>
    <x v="0"/>
    <n v="1"/>
    <n v="1958.49"/>
    <n v="2254.84"/>
    <n v="1894.0656000000001"/>
    <n v="66292.296000000002"/>
    <n v="68547.149999999994"/>
    <n v="-2254.8539999999921"/>
    <n v="-3.4013816628103995E-2"/>
    <s v="Loss"/>
    <x v="1"/>
    <n v="0.16"/>
    <s v="Credit Card"/>
    <s v="Online"/>
    <s v="South-David"/>
    <x v="0"/>
  </r>
  <r>
    <n v="1097"/>
    <x v="333"/>
    <x v="1"/>
    <x v="1"/>
    <n v="45"/>
    <x v="2"/>
    <n v="1"/>
    <n v="1525.13"/>
    <n v="1868.32"/>
    <n v="1419.9232"/>
    <n v="63896.543999999994"/>
    <n v="68630.850000000006"/>
    <n v="-4734.3060000000114"/>
    <n v="-7.4093303074419983E-2"/>
    <s v="Loss"/>
    <x v="0"/>
    <n v="0.24"/>
    <s v="Cash"/>
    <s v="Retail"/>
    <s v="North-David"/>
    <x v="0"/>
  </r>
  <r>
    <n v="1097"/>
    <x v="287"/>
    <x v="2"/>
    <x v="1"/>
    <n v="6"/>
    <x v="3"/>
    <n v="1"/>
    <n v="4885.9799999999996"/>
    <n v="4949.95"/>
    <n v="4108.4584999999997"/>
    <n v="24650.750999999997"/>
    <n v="29315.879999999997"/>
    <n v="-4665.1290000000008"/>
    <n v="-0.1892489604069264"/>
    <s v="Loss"/>
    <x v="0"/>
    <n v="0.17"/>
    <s v="Bank Transfer"/>
    <s v="Online"/>
    <s v="North-Eve"/>
    <x v="1"/>
  </r>
  <r>
    <n v="1097"/>
    <x v="50"/>
    <x v="3"/>
    <x v="2"/>
    <n v="9"/>
    <x v="0"/>
    <n v="1"/>
    <n v="4067.28"/>
    <n v="4548.09"/>
    <n v="4002.3192000000004"/>
    <n v="36020.872799999997"/>
    <n v="36605.520000000004"/>
    <n v="-584.64720000000671"/>
    <n v="-1.6230789388312843E-2"/>
    <s v="Loss"/>
    <x v="0"/>
    <n v="0.12"/>
    <s v="Credit Card"/>
    <s v="Retail"/>
    <s v="East-Alice"/>
    <x v="1"/>
  </r>
  <r>
    <n v="1097"/>
    <x v="334"/>
    <x v="1"/>
    <x v="2"/>
    <n v="7"/>
    <x v="2"/>
    <n v="1"/>
    <n v="1896.35"/>
    <n v="2394.1999999999998"/>
    <n v="1867.4759999999999"/>
    <n v="13072.331999999999"/>
    <n v="13274.449999999999"/>
    <n v="-202.11800000000039"/>
    <n v="-1.5461510616468463E-2"/>
    <s v="Loss"/>
    <x v="1"/>
    <n v="0.22"/>
    <s v="Bank Transfer"/>
    <s v="Online"/>
    <s v="East-David"/>
    <x v="0"/>
  </r>
  <r>
    <n v="1097"/>
    <x v="335"/>
    <x v="3"/>
    <x v="2"/>
    <n v="27"/>
    <x v="3"/>
    <n v="1"/>
    <n v="4686.79"/>
    <n v="5046.51"/>
    <n v="4794.1845000000003"/>
    <n v="129442.98150000001"/>
    <n v="126543.33"/>
    <n v="2899.6515000000072"/>
    <n v="2.240099437140983E-2"/>
    <s v="Profit"/>
    <x v="0"/>
    <n v="0.05"/>
    <s v="Credit Card"/>
    <s v="Retail"/>
    <s v="East-Alice"/>
    <x v="1"/>
  </r>
  <r>
    <n v="1097"/>
    <x v="203"/>
    <x v="2"/>
    <x v="0"/>
    <n v="49"/>
    <x v="3"/>
    <n v="1"/>
    <n v="4264.46"/>
    <n v="4315.5200000000004"/>
    <n v="4013.4336000000003"/>
    <n v="196658.2464"/>
    <n v="208958.54"/>
    <n v="-12300.293600000005"/>
    <n v="-6.2546543687679326E-2"/>
    <s v="Loss"/>
    <x v="1"/>
    <n v="7.0000000000000007E-2"/>
    <s v="Cash"/>
    <s v="Retail"/>
    <s v="West-Eve"/>
    <x v="1"/>
  </r>
  <r>
    <n v="1098"/>
    <x v="281"/>
    <x v="3"/>
    <x v="0"/>
    <n v="31"/>
    <x v="0"/>
    <n v="1"/>
    <n v="2407.8000000000002"/>
    <n v="2502.7600000000002"/>
    <n v="1827.0148000000002"/>
    <n v="56637.458800000008"/>
    <n v="74641.8"/>
    <n v="-18004.341199999995"/>
    <n v="-0.3178875179336258"/>
    <s v="Loss"/>
    <x v="0"/>
    <n v="0.27"/>
    <s v="Cash"/>
    <s v="Retail"/>
    <s v="West-Alice"/>
    <x v="0"/>
  </r>
  <r>
    <n v="1098"/>
    <x v="65"/>
    <x v="2"/>
    <x v="1"/>
    <n v="5"/>
    <x v="3"/>
    <n v="1"/>
    <n v="2947.22"/>
    <n v="3145.27"/>
    <n v="2830.7429999999999"/>
    <n v="14153.715"/>
    <n v="14736.099999999999"/>
    <n v="-582.3849999999984"/>
    <n v="-4.1147147586340291E-2"/>
    <s v="Loss"/>
    <x v="1"/>
    <n v="0.1"/>
    <s v="Credit Card"/>
    <s v="Retail"/>
    <s v="North-Eve"/>
    <x v="1"/>
  </r>
  <r>
    <n v="1098"/>
    <x v="159"/>
    <x v="2"/>
    <x v="2"/>
    <n v="28"/>
    <x v="3"/>
    <n v="1"/>
    <n v="3895.62"/>
    <n v="4055.44"/>
    <n v="3933.7768000000001"/>
    <n v="110145.7504"/>
    <n v="109077.36"/>
    <n v="1068.3904000000039"/>
    <n v="9.6997877459646768E-3"/>
    <s v="Profit"/>
    <x v="1"/>
    <n v="0.03"/>
    <s v="Bank Transfer"/>
    <s v="Retail"/>
    <s v="East-Eve"/>
    <x v="1"/>
  </r>
  <r>
    <n v="1098"/>
    <x v="146"/>
    <x v="0"/>
    <x v="3"/>
    <n v="11"/>
    <x v="2"/>
    <n v="1"/>
    <n v="213.41"/>
    <n v="503.36"/>
    <n v="367.45280000000002"/>
    <n v="4041.9807999999998"/>
    <n v="2347.5099999999998"/>
    <n v="1694.4708000000001"/>
    <n v="0.41921792404357788"/>
    <s v="Profit"/>
    <x v="0"/>
    <n v="0.27"/>
    <s v="Bank Transfer"/>
    <s v="Online"/>
    <s v="South-Bob"/>
    <x v="0"/>
  </r>
  <r>
    <n v="1098"/>
    <x v="231"/>
    <x v="1"/>
    <x v="3"/>
    <n v="11"/>
    <x v="1"/>
    <n v="1"/>
    <n v="741.48"/>
    <n v="878.09"/>
    <n v="623.44389999999999"/>
    <n v="6857.8828999999996"/>
    <n v="8156.2800000000007"/>
    <n v="-1298.397100000001"/>
    <n v="-0.18932914412988899"/>
    <s v="Loss"/>
    <x v="1"/>
    <n v="0.28999999999999998"/>
    <s v="Cash"/>
    <s v="Retail"/>
    <s v="South-David"/>
    <x v="0"/>
  </r>
  <r>
    <n v="1098"/>
    <x v="284"/>
    <x v="2"/>
    <x v="0"/>
    <n v="21"/>
    <x v="1"/>
    <n v="1"/>
    <n v="725.03"/>
    <n v="828.95"/>
    <n v="679.73900000000003"/>
    <n v="14274.519000000002"/>
    <n v="15225.63"/>
    <n v="-951.11099999999715"/>
    <n v="-6.6629985921066559E-2"/>
    <s v="Loss"/>
    <x v="1"/>
    <n v="0.18"/>
    <s v="Bank Transfer"/>
    <s v="Online"/>
    <s v="West-Eve"/>
    <x v="0"/>
  </r>
  <r>
    <n v="1098"/>
    <x v="336"/>
    <x v="3"/>
    <x v="3"/>
    <n v="19"/>
    <x v="3"/>
    <n v="1"/>
    <n v="4055.51"/>
    <n v="4258.84"/>
    <n v="4131.0748000000003"/>
    <n v="78490.421199999997"/>
    <n v="77054.69"/>
    <n v="1435.7311999999947"/>
    <n v="1.8291801445957774E-2"/>
    <s v="Profit"/>
    <x v="0"/>
    <n v="0.03"/>
    <s v="Credit Card"/>
    <s v="Online"/>
    <s v="South-Alice"/>
    <x v="1"/>
  </r>
  <r>
    <n v="1099"/>
    <x v="101"/>
    <x v="3"/>
    <x v="3"/>
    <n v="2"/>
    <x v="3"/>
    <n v="1"/>
    <n v="2038.4"/>
    <n v="2073.3200000000002"/>
    <n v="1741.5888"/>
    <n v="3483.1776"/>
    <n v="4076.8"/>
    <n v="-593.6224000000002"/>
    <n v="-0.17042553328317231"/>
    <s v="Loss"/>
    <x v="1"/>
    <n v="0.16"/>
    <s v="Cash"/>
    <s v="Retail"/>
    <s v="South-Alice"/>
    <x v="0"/>
  </r>
  <r>
    <n v="1099"/>
    <x v="192"/>
    <x v="0"/>
    <x v="2"/>
    <n v="31"/>
    <x v="1"/>
    <n v="1"/>
    <n v="4632.8500000000004"/>
    <n v="4711.7"/>
    <n v="3722.2429999999999"/>
    <n v="115389.533"/>
    <n v="143618.35"/>
    <n v="-28228.81700000001"/>
    <n v="-0.24463932096856664"/>
    <s v="Loss"/>
    <x v="1"/>
    <n v="0.21"/>
    <s v="Cash"/>
    <s v="Retail"/>
    <s v="East-Bob"/>
    <x v="1"/>
  </r>
  <r>
    <n v="1099"/>
    <x v="331"/>
    <x v="3"/>
    <x v="1"/>
    <n v="30"/>
    <x v="1"/>
    <n v="1"/>
    <n v="4495.82"/>
    <n v="4794.01"/>
    <n v="3931.0882000000006"/>
    <n v="117932.64600000002"/>
    <n v="134874.59999999998"/>
    <n v="-16941.953999999954"/>
    <n v="-0.14365788078730932"/>
    <s v="Loss"/>
    <x v="1"/>
    <n v="0.18"/>
    <s v="Bank Transfer"/>
    <s v="Retail"/>
    <s v="North-Alice"/>
    <x v="1"/>
  </r>
  <r>
    <n v="1099"/>
    <x v="81"/>
    <x v="1"/>
    <x v="2"/>
    <n v="10"/>
    <x v="1"/>
    <n v="1"/>
    <n v="1531.2"/>
    <n v="1955.56"/>
    <n v="1955.56"/>
    <n v="19555.599999999999"/>
    <n v="15312"/>
    <n v="4243.5999999999985"/>
    <n v="0.21700177954141006"/>
    <s v="Profit"/>
    <x v="1"/>
    <n v="0"/>
    <s v="Credit Card"/>
    <s v="Online"/>
    <s v="East-David"/>
    <x v="0"/>
  </r>
  <r>
    <n v="1099"/>
    <x v="111"/>
    <x v="4"/>
    <x v="2"/>
    <n v="31"/>
    <x v="0"/>
    <n v="1"/>
    <n v="1974.4"/>
    <n v="2259.5"/>
    <n v="1649.4349999999999"/>
    <n v="51132.485000000001"/>
    <n v="61206.400000000001"/>
    <n v="-10073.915000000001"/>
    <n v="-0.19701594788518495"/>
    <s v="Loss"/>
    <x v="1"/>
    <n v="0.27"/>
    <s v="Cash"/>
    <s v="Retail"/>
    <s v="East-Charlie"/>
    <x v="0"/>
  </r>
  <r>
    <n v="1099"/>
    <x v="337"/>
    <x v="0"/>
    <x v="2"/>
    <n v="22"/>
    <x v="1"/>
    <n v="1"/>
    <n v="2471.67"/>
    <n v="2533.04"/>
    <n v="2482.3791999999999"/>
    <n v="54612.342399999994"/>
    <n v="54376.740000000005"/>
    <n v="235.60239999998885"/>
    <n v="4.3140870661498836E-3"/>
    <s v="Profit"/>
    <x v="0"/>
    <n v="0.02"/>
    <s v="Bank Transfer"/>
    <s v="Retail"/>
    <s v="East-Bob"/>
    <x v="0"/>
  </r>
  <r>
    <n v="1099"/>
    <x v="6"/>
    <x v="3"/>
    <x v="3"/>
    <n v="48"/>
    <x v="0"/>
    <n v="1"/>
    <n v="3441.61"/>
    <n v="3693.45"/>
    <n v="2991.6945000000001"/>
    <n v="143601.33599999998"/>
    <n v="165197.28"/>
    <n v="-21595.944000000018"/>
    <n v="-0.15038818301801887"/>
    <s v="Loss"/>
    <x v="0"/>
    <n v="0.19"/>
    <s v="Bank Transfer"/>
    <s v="Online"/>
    <s v="South-Alice"/>
    <x v="1"/>
  </r>
  <r>
    <n v="1099"/>
    <x v="75"/>
    <x v="4"/>
    <x v="1"/>
    <n v="14"/>
    <x v="0"/>
    <n v="1"/>
    <n v="1996.64"/>
    <n v="2341.4699999999998"/>
    <n v="1826.3465999999999"/>
    <n v="25568.852399999996"/>
    <n v="27952.960000000003"/>
    <n v="-2384.1076000000066"/>
    <n v="-9.3242651750768721E-2"/>
    <s v="Loss"/>
    <x v="0"/>
    <n v="0.22"/>
    <s v="Credit Card"/>
    <s v="Online"/>
    <s v="North-Charlie"/>
    <x v="0"/>
  </r>
  <r>
    <n v="1099"/>
    <x v="242"/>
    <x v="1"/>
    <x v="3"/>
    <n v="32"/>
    <x v="2"/>
    <n v="1"/>
    <n v="1517.86"/>
    <n v="1948.46"/>
    <n v="1909.4908"/>
    <n v="61103.705600000001"/>
    <n v="48571.519999999997"/>
    <n v="12532.185600000004"/>
    <n v="0.20509698187600597"/>
    <s v="Profit"/>
    <x v="1"/>
    <n v="0.02"/>
    <s v="Credit Card"/>
    <s v="Online"/>
    <s v="South-David"/>
    <x v="0"/>
  </r>
  <r>
    <n v="1099"/>
    <x v="8"/>
    <x v="3"/>
    <x v="2"/>
    <n v="27"/>
    <x v="0"/>
    <n v="1"/>
    <n v="4929.55"/>
    <n v="4990.33"/>
    <n v="3543.1342999999997"/>
    <n v="95664.626099999994"/>
    <n v="133097.85"/>
    <n v="-37433.223900000012"/>
    <n v="-0.39129640104243313"/>
    <s v="Loss"/>
    <x v="0"/>
    <n v="0.28999999999999998"/>
    <s v="Credit Card"/>
    <s v="Online"/>
    <s v="East-Alice"/>
    <x v="1"/>
  </r>
  <r>
    <n v="1099"/>
    <x v="184"/>
    <x v="1"/>
    <x v="2"/>
    <n v="39"/>
    <x v="3"/>
    <n v="1"/>
    <n v="3592.89"/>
    <n v="4004"/>
    <n v="3483.48"/>
    <n v="135855.72"/>
    <n v="140122.71"/>
    <n v="-4266.9899999999907"/>
    <n v="-3.1408246925488235E-2"/>
    <s v="Loss"/>
    <x v="1"/>
    <n v="0.13"/>
    <s v="Cash"/>
    <s v="Online"/>
    <s v="East-David"/>
    <x v="1"/>
  </r>
  <r>
    <n v="1099"/>
    <x v="21"/>
    <x v="1"/>
    <x v="3"/>
    <n v="23"/>
    <x v="2"/>
    <n v="1"/>
    <n v="93.45"/>
    <n v="181.62"/>
    <n v="127.134"/>
    <n v="2924.0819999999999"/>
    <n v="2149.35"/>
    <n v="774.73199999999997"/>
    <n v="0.26494879418566236"/>
    <s v="Profit"/>
    <x v="0"/>
    <n v="0.3"/>
    <s v="Bank Transfer"/>
    <s v="Retail"/>
    <s v="South-David"/>
    <x v="0"/>
  </r>
  <r>
    <n v="1099"/>
    <x v="100"/>
    <x v="0"/>
    <x v="0"/>
    <n v="43"/>
    <x v="2"/>
    <n v="1"/>
    <n v="906.47"/>
    <n v="1283.04"/>
    <n v="975.11040000000003"/>
    <n v="41929.747199999998"/>
    <n v="38978.21"/>
    <n v="2951.5371999999988"/>
    <n v="7.0392439666318779E-2"/>
    <s v="Profit"/>
    <x v="1"/>
    <n v="0.24"/>
    <s v="Cash"/>
    <s v="Online"/>
    <s v="West-Bob"/>
    <x v="0"/>
  </r>
  <r>
    <n v="1099"/>
    <x v="78"/>
    <x v="1"/>
    <x v="2"/>
    <n v="35"/>
    <x v="2"/>
    <n v="1"/>
    <n v="2610.19"/>
    <n v="2682.53"/>
    <n v="2306.9758000000002"/>
    <n v="80744.153000000006"/>
    <n v="91356.650000000009"/>
    <n v="-10612.497000000003"/>
    <n v="-0.13143362838916647"/>
    <s v="Loss"/>
    <x v="1"/>
    <n v="0.14000000000000001"/>
    <s v="Cash"/>
    <s v="Retail"/>
    <s v="East-David"/>
    <x v="0"/>
  </r>
  <r>
    <n v="1099"/>
    <x v="338"/>
    <x v="1"/>
    <x v="0"/>
    <n v="17"/>
    <x v="0"/>
    <n v="1"/>
    <n v="2471.73"/>
    <n v="2568.73"/>
    <n v="2440.2934999999998"/>
    <n v="41484.989500000003"/>
    <n v="42019.41"/>
    <n v="-534.42050000000017"/>
    <n v="-1.2882261908249974E-2"/>
    <s v="Loss"/>
    <x v="1"/>
    <n v="0.05"/>
    <s v="Cash"/>
    <s v="Retail"/>
    <s v="West-David"/>
    <x v="0"/>
  </r>
  <r>
    <n v="1099"/>
    <x v="181"/>
    <x v="2"/>
    <x v="0"/>
    <n v="25"/>
    <x v="3"/>
    <n v="1"/>
    <n v="4148.4799999999996"/>
    <n v="4293.6899999999996"/>
    <n v="3821.3840999999998"/>
    <n v="95534.602499999994"/>
    <n v="103711.99999999999"/>
    <n v="-8177.3974999999919"/>
    <n v="-8.5596184900648881E-2"/>
    <s v="Loss"/>
    <x v="1"/>
    <n v="0.11"/>
    <s v="Bank Transfer"/>
    <s v="Online"/>
    <s v="West-Eve"/>
    <x v="1"/>
  </r>
  <r>
    <n v="1099"/>
    <x v="238"/>
    <x v="3"/>
    <x v="0"/>
    <n v="44"/>
    <x v="2"/>
    <n v="1"/>
    <n v="4933.1099999999997"/>
    <n v="5245.86"/>
    <n v="4563.8981999999996"/>
    <n v="200811.5208"/>
    <n v="217056.84"/>
    <n v="-16245.319199999998"/>
    <n v="-8.0898342561628561E-2"/>
    <s v="Loss"/>
    <x v="0"/>
    <n v="0.13"/>
    <s v="Bank Transfer"/>
    <s v="Retail"/>
    <s v="West-Alice"/>
    <x v="1"/>
  </r>
  <r>
    <n v="1099"/>
    <x v="34"/>
    <x v="0"/>
    <x v="0"/>
    <n v="29"/>
    <x v="3"/>
    <n v="1"/>
    <n v="3124.87"/>
    <n v="3383.67"/>
    <n v="3214.4865"/>
    <n v="93220.108500000002"/>
    <n v="90621.23"/>
    <n v="2598.8785000000062"/>
    <n v="2.7878947383975703E-2"/>
    <s v="Profit"/>
    <x v="1"/>
    <n v="0.05"/>
    <s v="Credit Card"/>
    <s v="Retail"/>
    <s v="West-Bob"/>
    <x v="1"/>
  </r>
  <r>
    <n v="1100"/>
    <x v="275"/>
    <x v="3"/>
    <x v="2"/>
    <n v="34"/>
    <x v="1"/>
    <n v="1"/>
    <n v="4991.09"/>
    <n v="5402.28"/>
    <n v="5402.28"/>
    <n v="183677.52"/>
    <n v="169697.06"/>
    <n v="13980.459999999992"/>
    <n v="7.6114159206853368E-2"/>
    <s v="Profit"/>
    <x v="0"/>
    <n v="0"/>
    <s v="Cash"/>
    <s v="Retail"/>
    <s v="East-Alice"/>
    <x v="1"/>
  </r>
  <r>
    <n v="1100"/>
    <x v="105"/>
    <x v="0"/>
    <x v="0"/>
    <n v="43"/>
    <x v="0"/>
    <n v="1"/>
    <n v="1100.81"/>
    <n v="1137.44"/>
    <n v="1046.4448"/>
    <n v="44997.126400000008"/>
    <n v="47334.829999999994"/>
    <n v="-2337.7035999999862"/>
    <n v="-5.1952286446451515E-2"/>
    <s v="Loss"/>
    <x v="0"/>
    <n v="0.08"/>
    <s v="Bank Transfer"/>
    <s v="Online"/>
    <s v="West-Bob"/>
    <x v="0"/>
  </r>
  <r>
    <n v="1100"/>
    <x v="207"/>
    <x v="2"/>
    <x v="2"/>
    <n v="2"/>
    <x v="1"/>
    <n v="1"/>
    <n v="1036.76"/>
    <n v="1189.3499999999999"/>
    <n v="868.2254999999999"/>
    <n v="1736.4509999999998"/>
    <n v="2073.52"/>
    <n v="-337.06900000000019"/>
    <n v="-0.19411374118820526"/>
    <s v="Loss"/>
    <x v="1"/>
    <n v="0.27"/>
    <s v="Bank Transfer"/>
    <s v="Online"/>
    <s v="East-Eve"/>
    <x v="0"/>
  </r>
  <r>
    <n v="1100"/>
    <x v="339"/>
    <x v="4"/>
    <x v="1"/>
    <n v="17"/>
    <x v="3"/>
    <n v="1"/>
    <n v="83.64"/>
    <n v="528.49"/>
    <n v="459.78629999999998"/>
    <n v="7816.3670999999995"/>
    <n v="1421.88"/>
    <n v="6394.4870999999994"/>
    <n v="0.81808940370776595"/>
    <s v="Profit"/>
    <x v="1"/>
    <n v="0.13"/>
    <s v="Credit Card"/>
    <s v="Online"/>
    <s v="North-Charlie"/>
    <x v="0"/>
  </r>
  <r>
    <n v="1100"/>
    <x v="292"/>
    <x v="0"/>
    <x v="2"/>
    <n v="13"/>
    <x v="0"/>
    <n v="1"/>
    <n v="366.2"/>
    <n v="732.69"/>
    <n v="703.38240000000008"/>
    <n v="9143.9712"/>
    <n v="4760.5999999999995"/>
    <n v="4383.3712000000005"/>
    <n v="0.47937281342268451"/>
    <s v="Profit"/>
    <x v="1"/>
    <n v="0.04"/>
    <s v="Cash"/>
    <s v="Retail"/>
    <s v="East-Bob"/>
    <x v="0"/>
  </r>
  <r>
    <n v="1100"/>
    <x v="76"/>
    <x v="1"/>
    <x v="0"/>
    <n v="39"/>
    <x v="3"/>
    <n v="1"/>
    <n v="3685.03"/>
    <n v="3743.39"/>
    <n v="3705.9560999999999"/>
    <n v="144532.2879"/>
    <n v="143716.17000000001"/>
    <n v="816.11789999998291"/>
    <n v="5.6466130292259975E-3"/>
    <s v="Profit"/>
    <x v="1"/>
    <n v="0.01"/>
    <s v="Bank Transfer"/>
    <s v="Online"/>
    <s v="West-David"/>
    <x v="1"/>
  </r>
  <r>
    <n v="1100"/>
    <x v="254"/>
    <x v="2"/>
    <x v="1"/>
    <n v="43"/>
    <x v="1"/>
    <n v="1"/>
    <n v="2116.09"/>
    <n v="2472.98"/>
    <n v="2448.2501999999999"/>
    <n v="105274.7586"/>
    <n v="90991.87000000001"/>
    <n v="14282.888599999991"/>
    <n v="0.13567248968263121"/>
    <s v="Profit"/>
    <x v="1"/>
    <n v="0.01"/>
    <s v="Credit Card"/>
    <s v="Retail"/>
    <s v="North-Eve"/>
    <x v="0"/>
  </r>
  <r>
    <n v="1100"/>
    <x v="245"/>
    <x v="0"/>
    <x v="0"/>
    <n v="29"/>
    <x v="0"/>
    <n v="1"/>
    <n v="3559.56"/>
    <n v="3607.15"/>
    <n v="2849.6485000000002"/>
    <n v="82639.806500000006"/>
    <n v="103227.24"/>
    <n v="-20587.433499999999"/>
    <n v="-0.24912247949176886"/>
    <s v="Loss"/>
    <x v="0"/>
    <n v="0.21"/>
    <s v="Cash"/>
    <s v="Retail"/>
    <s v="West-Bob"/>
    <x v="1"/>
  </r>
  <r>
    <n v="1100"/>
    <x v="221"/>
    <x v="4"/>
    <x v="1"/>
    <n v="19"/>
    <x v="3"/>
    <n v="1"/>
    <n v="1820.89"/>
    <n v="2257.92"/>
    <n v="1986.9696000000001"/>
    <n v="37752.422400000003"/>
    <n v="34596.910000000003"/>
    <n v="3155.5123999999996"/>
    <n v="8.3584368880127796E-2"/>
    <s v="Profit"/>
    <x v="1"/>
    <n v="0.12"/>
    <s v="Cash"/>
    <s v="Retail"/>
    <s v="North-Charlie"/>
    <x v="0"/>
  </r>
</pivotCacheRecords>
</file>

<file path=xl/pivotCache/pivotCacheRecords2.xml><?xml version="1.0" encoding="utf-8"?>
<pivotCacheRecords xmlns="http://schemas.openxmlformats.org/spreadsheetml/2006/main" xmlns:r="http://schemas.openxmlformats.org/officeDocument/2006/relationships" count="1000">
  <r>
    <n v="1001"/>
    <x v="0"/>
    <x v="0"/>
    <x v="0"/>
    <n v="20"/>
    <x v="0"/>
    <n v="1"/>
    <n v="2153.52"/>
    <n v="2303.6999999999998"/>
    <n v="2280.663"/>
    <n v="45613.26"/>
    <n v="43070.400000000001"/>
    <n v="2542.8600000000006"/>
    <n v="5.5748262676248099E-2"/>
    <s v="Profit"/>
    <x v="0"/>
    <n v="0.01"/>
    <s v="Cash"/>
    <s v="Retail"/>
    <s v="West-Bob"/>
  </r>
  <r>
    <n v="1001"/>
    <x v="1"/>
    <x v="1"/>
    <x v="0"/>
    <n v="20"/>
    <x v="0"/>
    <n v="1"/>
    <n v="3279.76"/>
    <n v="3563.97"/>
    <n v="2672.9775"/>
    <n v="53459.549999999996"/>
    <n v="65595.200000000012"/>
    <n v="-12135.650000000016"/>
    <n v="-0.22700621310879004"/>
    <s v="Loss"/>
    <x v="0"/>
    <n v="0.25"/>
    <s v="Cash"/>
    <s v="Retail"/>
    <s v="West-David"/>
  </r>
  <r>
    <n v="1001"/>
    <x v="2"/>
    <x v="0"/>
    <x v="1"/>
    <n v="4"/>
    <x v="0"/>
    <n v="1"/>
    <n v="1791.83"/>
    <n v="1871.22"/>
    <n v="1646.6736000000001"/>
    <n v="6586.6944000000003"/>
    <n v="7167.32"/>
    <n v="-580.62559999999939"/>
    <n v="-8.8151288755707172E-2"/>
    <s v="Loss"/>
    <x v="0"/>
    <n v="0.12"/>
    <s v="Bank Transfer"/>
    <s v="Online"/>
    <s v="North-Bob"/>
  </r>
  <r>
    <n v="1001"/>
    <x v="3"/>
    <x v="0"/>
    <x v="0"/>
    <n v="33"/>
    <x v="1"/>
    <n v="1"/>
    <n v="2933.54"/>
    <n v="3307.75"/>
    <n v="3274.6725000000001"/>
    <n v="108064.1925"/>
    <n v="96806.819999999992"/>
    <n v="11257.372500000012"/>
    <n v="0.10417301272111955"/>
    <s v="Profit"/>
    <x v="0"/>
    <n v="0.01"/>
    <s v="Bank Transfer"/>
    <s v="Retail"/>
    <s v="West-Bob"/>
  </r>
  <r>
    <n v="1001"/>
    <x v="4"/>
    <x v="1"/>
    <x v="2"/>
    <n v="47"/>
    <x v="0"/>
    <n v="1"/>
    <n v="4865.33"/>
    <n v="5316.13"/>
    <n v="4997.1621999999998"/>
    <n v="234866.62340000001"/>
    <n v="228670.51"/>
    <n v="6196.113400000002"/>
    <n v="2.6381413034782027E-2"/>
    <s v="Profit"/>
    <x v="1"/>
    <n v="0.06"/>
    <s v="Bank Transfer"/>
    <s v="Online"/>
    <s v="East-David"/>
  </r>
  <r>
    <n v="1001"/>
    <x v="5"/>
    <x v="1"/>
    <x v="0"/>
    <n v="18"/>
    <x v="1"/>
    <n v="1"/>
    <n v="2602.6"/>
    <n v="3013.49"/>
    <n v="2772.4108000000001"/>
    <n v="49903.394399999997"/>
    <n v="46846.799999999996"/>
    <n v="3056.5944000000018"/>
    <n v="6.1250230304975048E-2"/>
    <s v="Profit"/>
    <x v="0"/>
    <n v="0.08"/>
    <s v="Bank Transfer"/>
    <s v="Online"/>
    <s v="West-David"/>
  </r>
  <r>
    <n v="1001"/>
    <x v="6"/>
    <x v="2"/>
    <x v="2"/>
    <n v="8"/>
    <x v="2"/>
    <n v="1"/>
    <n v="442.11"/>
    <n v="803.87"/>
    <n v="659.17340000000002"/>
    <n v="5273.3872000000001"/>
    <n v="3536.88"/>
    <n v="1736.5072"/>
    <n v="0.32929635813581071"/>
    <s v="Profit"/>
    <x v="1"/>
    <n v="0.18"/>
    <s v="Cash"/>
    <s v="Retail"/>
    <s v="East-Eve"/>
  </r>
  <r>
    <n v="1001"/>
    <x v="7"/>
    <x v="3"/>
    <x v="1"/>
    <n v="8"/>
    <x v="3"/>
    <n v="1"/>
    <n v="3657.91"/>
    <n v="3729.27"/>
    <n v="3393.6357000000003"/>
    <n v="27149.085600000002"/>
    <n v="29263.279999999999"/>
    <n v="-2114.1943999999967"/>
    <n v="-7.7873503039822323E-2"/>
    <s v="Loss"/>
    <x v="1"/>
    <n v="0.09"/>
    <s v="Bank Transfer"/>
    <s v="Retail"/>
    <s v="North-Alice"/>
  </r>
  <r>
    <n v="1001"/>
    <x v="8"/>
    <x v="1"/>
    <x v="2"/>
    <n v="2"/>
    <x v="3"/>
    <n v="1"/>
    <n v="2631.68"/>
    <n v="2904.06"/>
    <n v="2468.451"/>
    <n v="4936.902"/>
    <n v="5263.36"/>
    <n v="-326.45799999999963"/>
    <n v="-6.6126084738971858E-2"/>
    <s v="Loss"/>
    <x v="1"/>
    <n v="0.15"/>
    <s v="Bank Transfer"/>
    <s v="Online"/>
    <s v="East-David"/>
  </r>
  <r>
    <n v="1001"/>
    <x v="9"/>
    <x v="2"/>
    <x v="3"/>
    <n v="35"/>
    <x v="3"/>
    <n v="1"/>
    <n v="2745.75"/>
    <n v="3244.76"/>
    <n v="3082.5219999999999"/>
    <n v="107888.27"/>
    <n v="96101.25"/>
    <n v="11787.020000000004"/>
    <n v="0.10925209941729536"/>
    <s v="Profit"/>
    <x v="1"/>
    <n v="0.05"/>
    <s v="Bank Transfer"/>
    <s v="Online"/>
    <s v="South-Eve"/>
  </r>
  <r>
    <n v="1001"/>
    <x v="10"/>
    <x v="2"/>
    <x v="3"/>
    <n v="39"/>
    <x v="0"/>
    <n v="1"/>
    <n v="2437.2600000000002"/>
    <n v="2889.67"/>
    <n v="2167.2525000000001"/>
    <n v="84522.847500000003"/>
    <n v="95053.140000000014"/>
    <n v="-10530.29250000001"/>
    <n v="-0.12458516024321128"/>
    <s v="Loss"/>
    <x v="0"/>
    <n v="0.25"/>
    <s v="Cash"/>
    <s v="Online"/>
    <s v="South-Eve"/>
  </r>
  <r>
    <n v="1001"/>
    <x v="11"/>
    <x v="1"/>
    <x v="1"/>
    <n v="36"/>
    <x v="1"/>
    <n v="1"/>
    <n v="666.84"/>
    <n v="682.24"/>
    <n v="573.08159999999998"/>
    <n v="20630.937599999997"/>
    <n v="24006.240000000002"/>
    <n v="-3375.3024000000041"/>
    <n v="-0.16360392656124387"/>
    <s v="Loss"/>
    <x v="1"/>
    <n v="0.16"/>
    <s v="Bank Transfer"/>
    <s v="Retail"/>
    <s v="North-David"/>
  </r>
  <r>
    <n v="1001"/>
    <x v="12"/>
    <x v="1"/>
    <x v="0"/>
    <n v="27"/>
    <x v="2"/>
    <n v="1"/>
    <n v="939.02"/>
    <n v="1286.92"/>
    <n v="1196.8355999999999"/>
    <n v="32314.5612"/>
    <n v="25353.54"/>
    <n v="6961.0211999999992"/>
    <n v="0.21541438105617844"/>
    <s v="Profit"/>
    <x v="0"/>
    <n v="7.0000000000000007E-2"/>
    <s v="Credit Card"/>
    <s v="Retail"/>
    <s v="West-David"/>
  </r>
  <r>
    <n v="1001"/>
    <x v="13"/>
    <x v="1"/>
    <x v="0"/>
    <n v="45"/>
    <x v="2"/>
    <n v="1"/>
    <n v="1372.36"/>
    <n v="1687.83"/>
    <n v="1654.0734"/>
    <n v="74433.302999999985"/>
    <n v="61756.2"/>
    <n v="12677.102999999988"/>
    <n v="0.17031493281978888"/>
    <s v="Profit"/>
    <x v="1"/>
    <n v="0.02"/>
    <s v="Credit Card"/>
    <s v="Online"/>
    <s v="West-David"/>
  </r>
  <r>
    <n v="1001"/>
    <x v="14"/>
    <x v="2"/>
    <x v="2"/>
    <n v="25"/>
    <x v="3"/>
    <n v="1"/>
    <n v="1330.62"/>
    <n v="1543.69"/>
    <n v="1126.8937000000001"/>
    <n v="28172.342499999999"/>
    <n v="33265.5"/>
    <n v="-5093.1575000000012"/>
    <n v="-0.18078572983414501"/>
    <s v="Loss"/>
    <x v="1"/>
    <n v="0.27"/>
    <s v="Credit Card"/>
    <s v="Online"/>
    <s v="East-Eve"/>
  </r>
  <r>
    <n v="1001"/>
    <x v="15"/>
    <x v="3"/>
    <x v="3"/>
    <n v="7"/>
    <x v="3"/>
    <n v="1"/>
    <n v="4094.68"/>
    <n v="4576.5"/>
    <n v="3203.5499999999997"/>
    <n v="22424.85"/>
    <n v="28662.76"/>
    <n v="-6237.91"/>
    <n v="-0.27816953067690531"/>
    <s v="Loss"/>
    <x v="1"/>
    <n v="0.3"/>
    <s v="Cash"/>
    <s v="Retail"/>
    <s v="South-Alice"/>
  </r>
  <r>
    <n v="1002"/>
    <x v="0"/>
    <x v="3"/>
    <x v="3"/>
    <n v="16"/>
    <x v="1"/>
    <n v="1"/>
    <n v="2872.4"/>
    <n v="3193.76"/>
    <n v="3066.0096000000003"/>
    <n v="49056.153600000005"/>
    <n v="45958.400000000001"/>
    <n v="3097.7536000000036"/>
    <n v="6.3147095168912787E-2"/>
    <s v="Profit"/>
    <x v="0"/>
    <n v="0.04"/>
    <s v="Credit Card"/>
    <s v="Online"/>
    <s v="South-Alice"/>
  </r>
  <r>
    <n v="1002"/>
    <x v="16"/>
    <x v="0"/>
    <x v="2"/>
    <n v="17"/>
    <x v="1"/>
    <n v="1"/>
    <n v="1727.12"/>
    <n v="1865.83"/>
    <n v="1474.0056999999999"/>
    <n v="25058.0969"/>
    <n v="29361.039999999997"/>
    <n v="-4302.9430999999968"/>
    <n v="-0.17171867110147526"/>
    <s v="Loss"/>
    <x v="1"/>
    <n v="0.21"/>
    <s v="Cash"/>
    <s v="Online"/>
    <s v="East-Bob"/>
  </r>
  <r>
    <n v="1002"/>
    <x v="17"/>
    <x v="0"/>
    <x v="1"/>
    <n v="21"/>
    <x v="0"/>
    <n v="1"/>
    <n v="914.22"/>
    <n v="971.57"/>
    <n v="835.55020000000002"/>
    <n v="17546.554200000002"/>
    <n v="19198.62"/>
    <n v="-1652.0657999999967"/>
    <n v="-9.4153289652734007E-2"/>
    <s v="Loss"/>
    <x v="0"/>
    <n v="0.14000000000000001"/>
    <s v="Cash"/>
    <s v="Online"/>
    <s v="North-Bob"/>
  </r>
  <r>
    <n v="1002"/>
    <x v="18"/>
    <x v="1"/>
    <x v="3"/>
    <n v="39"/>
    <x v="2"/>
    <n v="1"/>
    <n v="1004.71"/>
    <n v="1389.35"/>
    <n v="1055.9059999999999"/>
    <n v="41180.333999999995"/>
    <n v="39183.69"/>
    <n v="1996.643999999993"/>
    <n v="4.8485376539199349E-2"/>
    <s v="Profit"/>
    <x v="1"/>
    <n v="0.24"/>
    <s v="Bank Transfer"/>
    <s v="Online"/>
    <s v="South-David"/>
  </r>
  <r>
    <n v="1002"/>
    <x v="19"/>
    <x v="2"/>
    <x v="0"/>
    <n v="18"/>
    <x v="0"/>
    <n v="1"/>
    <n v="117.63"/>
    <n v="576.44000000000005"/>
    <n v="472.68080000000009"/>
    <n v="8508.2544000000016"/>
    <n v="2117.34"/>
    <n v="6390.9144000000015"/>
    <n v="0.75114284311950053"/>
    <s v="Profit"/>
    <x v="1"/>
    <n v="0.18"/>
    <s v="Credit Card"/>
    <s v="Retail"/>
    <s v="West-Eve"/>
  </r>
  <r>
    <n v="1002"/>
    <x v="20"/>
    <x v="4"/>
    <x v="0"/>
    <n v="26"/>
    <x v="0"/>
    <n v="1"/>
    <n v="508.94"/>
    <n v="557.69000000000005"/>
    <n v="434.99820000000005"/>
    <n v="11309.953200000002"/>
    <n v="13232.44"/>
    <n v="-1922.4867999999988"/>
    <n v="-0.16998185279847122"/>
    <s v="Loss"/>
    <x v="1"/>
    <n v="0.22"/>
    <s v="Credit Card"/>
    <s v="Retail"/>
    <s v="West-Charlie"/>
  </r>
  <r>
    <n v="1002"/>
    <x v="21"/>
    <x v="1"/>
    <x v="1"/>
    <n v="30"/>
    <x v="2"/>
    <n v="1"/>
    <n v="4646.55"/>
    <n v="4784.28"/>
    <n v="4305.8519999999999"/>
    <n v="129175.56"/>
    <n v="139396.5"/>
    <n v="-10220.940000000002"/>
    <n v="-7.9124410221252398E-2"/>
    <s v="Loss"/>
    <x v="0"/>
    <n v="0.1"/>
    <s v="Credit Card"/>
    <s v="Retail"/>
    <s v="North-David"/>
  </r>
  <r>
    <n v="1002"/>
    <x v="22"/>
    <x v="4"/>
    <x v="0"/>
    <n v="26"/>
    <x v="2"/>
    <n v="1"/>
    <n v="2041.42"/>
    <n v="2291.17"/>
    <n v="1649.6424"/>
    <n v="42890.702399999995"/>
    <n v="53076.92"/>
    <n v="-10186.217600000004"/>
    <n v="-0.23749244078595469"/>
    <s v="Loss"/>
    <x v="0"/>
    <n v="0.28000000000000003"/>
    <s v="Cash"/>
    <s v="Online"/>
    <s v="West-Charlie"/>
  </r>
  <r>
    <n v="1002"/>
    <x v="23"/>
    <x v="2"/>
    <x v="1"/>
    <n v="9"/>
    <x v="3"/>
    <n v="1"/>
    <n v="4398.16"/>
    <n v="4439.12"/>
    <n v="3640.0784000000003"/>
    <n v="32760.705600000005"/>
    <n v="39583.440000000002"/>
    <n v="-6822.7343999999975"/>
    <n v="-0.20825969023084767"/>
    <s v="Loss"/>
    <x v="1"/>
    <n v="0.18"/>
    <s v="Bank Transfer"/>
    <s v="Online"/>
    <s v="North-Eve"/>
  </r>
  <r>
    <n v="1002"/>
    <x v="24"/>
    <x v="1"/>
    <x v="1"/>
    <n v="24"/>
    <x v="1"/>
    <n v="1"/>
    <n v="3305.94"/>
    <n v="3599.27"/>
    <n v="3275.3357000000001"/>
    <n v="78608.056800000006"/>
    <n v="79342.559999999998"/>
    <n v="-734.50319999999192"/>
    <n v="-9.3438666454860372E-3"/>
    <s v="Loss"/>
    <x v="1"/>
    <n v="0.09"/>
    <s v="Credit Card"/>
    <s v="Retail"/>
    <s v="North-David"/>
  </r>
  <r>
    <n v="1002"/>
    <x v="25"/>
    <x v="1"/>
    <x v="1"/>
    <n v="17"/>
    <x v="1"/>
    <n v="1"/>
    <n v="4024.76"/>
    <n v="4420.1499999999996"/>
    <n v="4243.3439999999991"/>
    <n v="72136.847999999984"/>
    <n v="68420.92"/>
    <n v="3715.9279999999853"/>
    <n v="5.1512203582834482E-2"/>
    <s v="Profit"/>
    <x v="0"/>
    <n v="0.04"/>
    <s v="Cash"/>
    <s v="Online"/>
    <s v="North-David"/>
  </r>
  <r>
    <n v="1002"/>
    <x v="25"/>
    <x v="2"/>
    <x v="1"/>
    <n v="44"/>
    <x v="1"/>
    <n v="1"/>
    <n v="1393.58"/>
    <n v="1533.09"/>
    <n v="1165.1484"/>
    <n v="51266.529599999994"/>
    <n v="61317.52"/>
    <n v="-10050.990400000002"/>
    <n v="-0.19605365290807597"/>
    <s v="Loss"/>
    <x v="0"/>
    <n v="0.24"/>
    <s v="Credit Card"/>
    <s v="Retail"/>
    <s v="North-Eve"/>
  </r>
  <r>
    <n v="1002"/>
    <x v="26"/>
    <x v="1"/>
    <x v="2"/>
    <n v="21"/>
    <x v="2"/>
    <n v="1"/>
    <n v="4138.41"/>
    <n v="4361.7"/>
    <n v="4056.3809999999994"/>
    <n v="85184.000999999989"/>
    <n v="86906.61"/>
    <n v="-1722.6090000000113"/>
    <n v="-2.0222212854266043E-2"/>
    <s v="Loss"/>
    <x v="0"/>
    <n v="7.0000000000000007E-2"/>
    <s v="Credit Card"/>
    <s v="Retail"/>
    <s v="East-David"/>
  </r>
  <r>
    <n v="1003"/>
    <x v="6"/>
    <x v="4"/>
    <x v="1"/>
    <n v="26"/>
    <x v="3"/>
    <n v="1"/>
    <n v="3418.78"/>
    <n v="3824.1"/>
    <n v="3097.5210000000002"/>
    <n v="80535.546000000002"/>
    <n v="88888.28"/>
    <n v="-8352.7339999999967"/>
    <n v="-0.10371487392660127"/>
    <s v="Loss"/>
    <x v="1"/>
    <n v="0.19"/>
    <s v="Credit Card"/>
    <s v="Online"/>
    <s v="North-Charlie"/>
  </r>
  <r>
    <n v="1003"/>
    <x v="27"/>
    <x v="1"/>
    <x v="2"/>
    <n v="22"/>
    <x v="0"/>
    <n v="1"/>
    <n v="4218.43"/>
    <n v="4331.42"/>
    <n v="3205.2507999999998"/>
    <n v="70515.517600000006"/>
    <n v="92805.46"/>
    <n v="-22289.9424"/>
    <n v="-0.31609981970833606"/>
    <s v="Loss"/>
    <x v="1"/>
    <n v="0.26"/>
    <s v="Bank Transfer"/>
    <s v="Online"/>
    <s v="East-David"/>
  </r>
  <r>
    <n v="1003"/>
    <x v="10"/>
    <x v="0"/>
    <x v="0"/>
    <n v="15"/>
    <x v="2"/>
    <n v="1"/>
    <n v="3286.24"/>
    <n v="3388.84"/>
    <n v="3083.8444000000004"/>
    <n v="46257.666000000005"/>
    <n v="49293.599999999999"/>
    <n v="-3035.9339999999938"/>
    <n v="-6.5630937799585343E-2"/>
    <s v="Loss"/>
    <x v="0"/>
    <n v="0.09"/>
    <s v="Credit Card"/>
    <s v="Retail"/>
    <s v="West-Bob"/>
  </r>
  <r>
    <n v="1003"/>
    <x v="28"/>
    <x v="2"/>
    <x v="0"/>
    <n v="15"/>
    <x v="3"/>
    <n v="1"/>
    <n v="1729.14"/>
    <n v="1870.88"/>
    <n v="1440.5776000000001"/>
    <n v="21608.664000000001"/>
    <n v="25937.100000000002"/>
    <n v="-4328.4360000000015"/>
    <n v="-0.20031020890509479"/>
    <s v="Loss"/>
    <x v="0"/>
    <n v="0.23"/>
    <s v="Cash"/>
    <s v="Online"/>
    <s v="West-Eve"/>
  </r>
  <r>
    <n v="1003"/>
    <x v="29"/>
    <x v="3"/>
    <x v="2"/>
    <n v="45"/>
    <x v="3"/>
    <n v="1"/>
    <n v="4974.1400000000003"/>
    <n v="5227.93"/>
    <n v="4130.0647000000008"/>
    <n v="185852.91150000002"/>
    <n v="223836.30000000002"/>
    <n v="-37983.388500000001"/>
    <n v="-0.20437338427167981"/>
    <s v="Loss"/>
    <x v="1"/>
    <n v="0.21"/>
    <s v="Bank Transfer"/>
    <s v="Online"/>
    <s v="East-Alice"/>
  </r>
  <r>
    <n v="1003"/>
    <x v="30"/>
    <x v="4"/>
    <x v="1"/>
    <n v="3"/>
    <x v="1"/>
    <n v="1"/>
    <n v="1792.05"/>
    <n v="2091.23"/>
    <n v="1903.0193000000002"/>
    <n v="5709.0579000000007"/>
    <n v="5376.15"/>
    <n v="332.90790000000106"/>
    <n v="5.8312230464504664E-2"/>
    <s v="Profit"/>
    <x v="0"/>
    <n v="0.09"/>
    <s v="Cash"/>
    <s v="Retail"/>
    <s v="North-Charlie"/>
  </r>
  <r>
    <n v="1003"/>
    <x v="31"/>
    <x v="2"/>
    <x v="2"/>
    <n v="11"/>
    <x v="0"/>
    <n v="1"/>
    <n v="3706.78"/>
    <n v="3862.26"/>
    <n v="3012.5628000000002"/>
    <n v="33138.190800000004"/>
    <n v="40774.58"/>
    <n v="-7636.3891999999978"/>
    <n v="-0.23044073969179985"/>
    <s v="Loss"/>
    <x v="1"/>
    <n v="0.22"/>
    <s v="Credit Card"/>
    <s v="Retail"/>
    <s v="East-Eve"/>
  </r>
  <r>
    <n v="1003"/>
    <x v="32"/>
    <x v="2"/>
    <x v="0"/>
    <n v="5"/>
    <x v="0"/>
    <n v="1"/>
    <n v="2206.58"/>
    <n v="2490.4699999999998"/>
    <n v="1793.1383999999998"/>
    <n v="8965.6919999999991"/>
    <n v="11032.9"/>
    <n v="-2067.2080000000005"/>
    <n v="-0.23056870568384469"/>
    <s v="Loss"/>
    <x v="1"/>
    <n v="0.28000000000000003"/>
    <s v="Cash"/>
    <s v="Online"/>
    <s v="West-Eve"/>
  </r>
  <r>
    <n v="1003"/>
    <x v="15"/>
    <x v="2"/>
    <x v="2"/>
    <n v="39"/>
    <x v="2"/>
    <n v="1"/>
    <n v="310.95999999999998"/>
    <n v="457.84"/>
    <n v="444.10479999999995"/>
    <n v="17320.087199999998"/>
    <n v="12127.439999999999"/>
    <n v="5192.6471999999994"/>
    <n v="0.29980491091291966"/>
    <s v="Profit"/>
    <x v="1"/>
    <n v="0.03"/>
    <s v="Credit Card"/>
    <s v="Online"/>
    <s v="East-Eve"/>
  </r>
  <r>
    <n v="1003"/>
    <x v="33"/>
    <x v="4"/>
    <x v="3"/>
    <n v="27"/>
    <x v="1"/>
    <n v="1"/>
    <n v="623.32000000000005"/>
    <n v="853.66"/>
    <n v="819.51359999999988"/>
    <n v="22126.867200000001"/>
    <n v="16829.640000000003"/>
    <n v="5297.2271999999975"/>
    <n v="0.23940249435762861"/>
    <s v="Profit"/>
    <x v="0"/>
    <n v="0.04"/>
    <s v="Cash"/>
    <s v="Online"/>
    <s v="South-Charlie"/>
  </r>
  <r>
    <n v="1003"/>
    <x v="34"/>
    <x v="3"/>
    <x v="2"/>
    <n v="17"/>
    <x v="1"/>
    <n v="1"/>
    <n v="395.11"/>
    <n v="676.66"/>
    <n v="507.495"/>
    <n v="8627.4149999999991"/>
    <n v="6716.87"/>
    <n v="1910.5449999999992"/>
    <n v="0.22145045763997667"/>
    <s v="Profit"/>
    <x v="0"/>
    <n v="0.25"/>
    <s v="Cash"/>
    <s v="Retail"/>
    <s v="East-Alice"/>
  </r>
  <r>
    <n v="1003"/>
    <x v="35"/>
    <x v="3"/>
    <x v="3"/>
    <n v="30"/>
    <x v="1"/>
    <n v="1"/>
    <n v="4190.28"/>
    <n v="4270.6499999999996"/>
    <n v="3416.52"/>
    <n v="102495.59999999999"/>
    <n v="125708.4"/>
    <n v="-23212.800000000003"/>
    <n v="-0.22647606336272"/>
    <s v="Loss"/>
    <x v="1"/>
    <n v="0.2"/>
    <s v="Cash"/>
    <s v="Online"/>
    <s v="South-Alice"/>
  </r>
  <r>
    <n v="1004"/>
    <x v="36"/>
    <x v="2"/>
    <x v="1"/>
    <n v="35"/>
    <x v="2"/>
    <n v="1"/>
    <n v="2278.87"/>
    <n v="2646.53"/>
    <n v="2408.3423000000003"/>
    <n v="84291.980500000005"/>
    <n v="79760.45"/>
    <n v="4531.530500000008"/>
    <n v="5.375992440941648E-2"/>
    <s v="Profit"/>
    <x v="0"/>
    <n v="0.09"/>
    <s v="Bank Transfer"/>
    <s v="Online"/>
    <s v="North-Eve"/>
  </r>
  <r>
    <n v="1004"/>
    <x v="37"/>
    <x v="2"/>
    <x v="2"/>
    <n v="16"/>
    <x v="2"/>
    <n v="1"/>
    <n v="1067.83"/>
    <n v="1189.22"/>
    <n v="880.02279999999996"/>
    <n v="14080.364799999999"/>
    <n v="17085.28"/>
    <n v="-3004.9151999999995"/>
    <n v="-0.21341174342301128"/>
    <s v="Loss"/>
    <x v="0"/>
    <n v="0.26"/>
    <s v="Credit Card"/>
    <s v="Retail"/>
    <s v="East-Eve"/>
  </r>
  <r>
    <n v="1004"/>
    <x v="38"/>
    <x v="3"/>
    <x v="2"/>
    <n v="13"/>
    <x v="1"/>
    <n v="1"/>
    <n v="3087.73"/>
    <n v="3263.96"/>
    <n v="2480.6096000000002"/>
    <n v="32247.924800000004"/>
    <n v="40140.49"/>
    <n v="-7892.5651999999936"/>
    <n v="-0.24474645264615577"/>
    <s v="Loss"/>
    <x v="1"/>
    <n v="0.24"/>
    <s v="Cash"/>
    <s v="Retail"/>
    <s v="East-Alice"/>
  </r>
  <r>
    <n v="1004"/>
    <x v="39"/>
    <x v="3"/>
    <x v="1"/>
    <n v="36"/>
    <x v="0"/>
    <n v="1"/>
    <n v="3981.2"/>
    <n v="4432.3500000000004"/>
    <n v="3811.8210000000004"/>
    <n v="137225.55600000001"/>
    <n v="143323.19999999998"/>
    <n v="-6097.6439999999711"/>
    <n v="-4.4435192523468225E-2"/>
    <s v="Loss"/>
    <x v="1"/>
    <n v="0.14000000000000001"/>
    <s v="Cash"/>
    <s v="Online"/>
    <s v="North-Alice"/>
  </r>
  <r>
    <n v="1004"/>
    <x v="40"/>
    <x v="3"/>
    <x v="2"/>
    <n v="1"/>
    <x v="0"/>
    <n v="1"/>
    <n v="182.99"/>
    <n v="211.18"/>
    <n v="154.16140000000001"/>
    <n v="154.16140000000001"/>
    <n v="182.99"/>
    <n v="-28.828599999999994"/>
    <n v="-0.18700271274132171"/>
    <s v="Loss"/>
    <x v="0"/>
    <n v="0.27"/>
    <s v="Bank Transfer"/>
    <s v="Retail"/>
    <s v="East-Alice"/>
  </r>
  <r>
    <n v="1004"/>
    <x v="41"/>
    <x v="2"/>
    <x v="3"/>
    <n v="39"/>
    <x v="3"/>
    <n v="1"/>
    <n v="2416.89"/>
    <n v="2778.4"/>
    <n v="2639.48"/>
    <n v="102939.72"/>
    <n v="94258.709999999992"/>
    <n v="8681.0100000000093"/>
    <n v="8.4331004591813627E-2"/>
    <s v="Profit"/>
    <x v="0"/>
    <n v="0.05"/>
    <s v="Cash"/>
    <s v="Online"/>
    <s v="South-Eve"/>
  </r>
  <r>
    <n v="1004"/>
    <x v="13"/>
    <x v="2"/>
    <x v="1"/>
    <n v="11"/>
    <x v="2"/>
    <n v="1"/>
    <n v="4840.33"/>
    <n v="4884.29"/>
    <n v="4249.3323"/>
    <n v="46742.655299999999"/>
    <n v="53243.63"/>
    <n v="-6500.9746999999988"/>
    <n v="-0.13908013265990046"/>
    <s v="Loss"/>
    <x v="1"/>
    <n v="0.13"/>
    <s v="Cash"/>
    <s v="Online"/>
    <s v="North-Eve"/>
  </r>
  <r>
    <n v="1004"/>
    <x v="42"/>
    <x v="3"/>
    <x v="0"/>
    <n v="2"/>
    <x v="3"/>
    <n v="1"/>
    <n v="2953.23"/>
    <n v="2977.52"/>
    <n v="2649.9928"/>
    <n v="5299.9856"/>
    <n v="5906.46"/>
    <n v="-606.47440000000006"/>
    <n v="-0.11442944297810924"/>
    <s v="Loss"/>
    <x v="0"/>
    <n v="0.11"/>
    <s v="Credit Card"/>
    <s v="Retail"/>
    <s v="West-Alice"/>
  </r>
  <r>
    <n v="1004"/>
    <x v="43"/>
    <x v="0"/>
    <x v="0"/>
    <n v="38"/>
    <x v="1"/>
    <n v="1"/>
    <n v="4881.63"/>
    <n v="5088.0600000000004"/>
    <n v="4273.9704000000002"/>
    <n v="162410.87520000001"/>
    <n v="185501.94"/>
    <n v="-23091.064799999993"/>
    <n v="-0.14217683866037065"/>
    <s v="Loss"/>
    <x v="0"/>
    <n v="0.16"/>
    <s v="Credit Card"/>
    <s v="Retail"/>
    <s v="West-Bob"/>
  </r>
  <r>
    <n v="1004"/>
    <x v="44"/>
    <x v="2"/>
    <x v="3"/>
    <n v="27"/>
    <x v="2"/>
    <n v="1"/>
    <n v="4354.6000000000004"/>
    <n v="4820.2"/>
    <n v="4145.3719999999994"/>
    <n v="111925.04399999999"/>
    <n v="117574.20000000001"/>
    <n v="-5649.1560000000172"/>
    <n v="-5.0472671692673332E-2"/>
    <s v="Loss"/>
    <x v="1"/>
    <n v="0.14000000000000001"/>
    <s v="Credit Card"/>
    <s v="Retail"/>
    <s v="South-Eve"/>
  </r>
  <r>
    <n v="1004"/>
    <x v="45"/>
    <x v="4"/>
    <x v="2"/>
    <n v="12"/>
    <x v="2"/>
    <n v="1"/>
    <n v="4553.2299999999996"/>
    <n v="5038.74"/>
    <n v="4585.2533999999996"/>
    <n v="55023.040800000002"/>
    <n v="54638.759999999995"/>
    <n v="384.28080000000773"/>
    <n v="6.9839978745778021E-3"/>
    <s v="Profit"/>
    <x v="1"/>
    <n v="0.09"/>
    <s v="Credit Card"/>
    <s v="Retail"/>
    <s v="East-Charlie"/>
  </r>
  <r>
    <n v="1005"/>
    <x v="46"/>
    <x v="1"/>
    <x v="3"/>
    <n v="46"/>
    <x v="1"/>
    <n v="1"/>
    <n v="4691.42"/>
    <n v="5026.1899999999996"/>
    <n v="3920.4281999999998"/>
    <n v="180339.6972"/>
    <n v="215805.32"/>
    <n v="-35465.622800000012"/>
    <n v="-0.19666009952688338"/>
    <s v="Loss"/>
    <x v="0"/>
    <n v="0.22"/>
    <s v="Bank Transfer"/>
    <s v="Retail"/>
    <s v="South-David"/>
  </r>
  <r>
    <n v="1005"/>
    <x v="47"/>
    <x v="3"/>
    <x v="1"/>
    <n v="12"/>
    <x v="2"/>
    <n v="1"/>
    <n v="253.29"/>
    <n v="683.78"/>
    <n v="512.83500000000004"/>
    <n v="6154.02"/>
    <n v="3039.48"/>
    <n v="3114.5400000000004"/>
    <n v="0.50609845271871068"/>
    <s v="Profit"/>
    <x v="1"/>
    <n v="0.25"/>
    <s v="Credit Card"/>
    <s v="Online"/>
    <s v="North-Alice"/>
  </r>
  <r>
    <n v="1005"/>
    <x v="48"/>
    <x v="2"/>
    <x v="1"/>
    <n v="9"/>
    <x v="3"/>
    <n v="1"/>
    <n v="4737.0600000000004"/>
    <n v="4869.5"/>
    <n v="4528.6349999999993"/>
    <n v="40757.714999999997"/>
    <n v="42633.54"/>
    <n v="-1875.8250000000044"/>
    <n v="-4.6023801874074746E-2"/>
    <s v="Loss"/>
    <x v="1"/>
    <n v="7.0000000000000007E-2"/>
    <s v="Cash"/>
    <s v="Online"/>
    <s v="North-Eve"/>
  </r>
  <r>
    <n v="1005"/>
    <x v="7"/>
    <x v="2"/>
    <x v="2"/>
    <n v="28"/>
    <x v="2"/>
    <n v="1"/>
    <n v="3592.32"/>
    <n v="3813.48"/>
    <n v="3546.5364"/>
    <n v="99303.019199999995"/>
    <n v="100584.96000000001"/>
    <n v="-1281.9408000000112"/>
    <n v="-1.2909383927372182E-2"/>
    <s v="Loss"/>
    <x v="1"/>
    <n v="7.0000000000000007E-2"/>
    <s v="Credit Card"/>
    <s v="Retail"/>
    <s v="East-Eve"/>
  </r>
  <r>
    <n v="1005"/>
    <x v="49"/>
    <x v="0"/>
    <x v="1"/>
    <n v="21"/>
    <x v="0"/>
    <n v="1"/>
    <n v="4376.37"/>
    <n v="4818.95"/>
    <n v="4818.95"/>
    <n v="101197.95"/>
    <n v="91903.77"/>
    <n v="9294.179999999993"/>
    <n v="9.1841583747496791E-2"/>
    <s v="Profit"/>
    <x v="1"/>
    <n v="0"/>
    <s v="Credit Card"/>
    <s v="Retail"/>
    <s v="North-Bob"/>
  </r>
  <r>
    <n v="1005"/>
    <x v="50"/>
    <x v="2"/>
    <x v="3"/>
    <n v="6"/>
    <x v="0"/>
    <n v="1"/>
    <n v="122.5"/>
    <n v="385.83"/>
    <n v="347.24700000000001"/>
    <n v="2083.482"/>
    <n v="735"/>
    <n v="1348.482"/>
    <n v="0.64722517401158253"/>
    <s v="Profit"/>
    <x v="0"/>
    <n v="0.1"/>
    <s v="Cash"/>
    <s v="Retail"/>
    <s v="South-Eve"/>
  </r>
  <r>
    <n v="1005"/>
    <x v="51"/>
    <x v="0"/>
    <x v="0"/>
    <n v="14"/>
    <x v="2"/>
    <n v="1"/>
    <n v="1861.2"/>
    <n v="2075.35"/>
    <n v="1867.8150000000001"/>
    <n v="26149.41"/>
    <n v="26056.799999999999"/>
    <n v="92.610000000000582"/>
    <n v="3.5415713012263215E-3"/>
    <s v="Profit"/>
    <x v="0"/>
    <n v="0.1"/>
    <s v="Credit Card"/>
    <s v="Retail"/>
    <s v="West-Bob"/>
  </r>
  <r>
    <n v="1005"/>
    <x v="52"/>
    <x v="2"/>
    <x v="1"/>
    <n v="2"/>
    <x v="2"/>
    <n v="1"/>
    <n v="1392.15"/>
    <n v="1448.54"/>
    <n v="1419.5691999999999"/>
    <n v="2839.1383999999998"/>
    <n v="2784.3"/>
    <n v="54.838399999999638"/>
    <n v="1.9315155611998217E-2"/>
    <s v="Profit"/>
    <x v="0"/>
    <n v="0.02"/>
    <s v="Bank Transfer"/>
    <s v="Retail"/>
    <s v="North-Eve"/>
  </r>
  <r>
    <n v="1005"/>
    <x v="53"/>
    <x v="3"/>
    <x v="3"/>
    <n v="28"/>
    <x v="1"/>
    <n v="1"/>
    <n v="2146.2399999999998"/>
    <n v="2173.4699999999998"/>
    <n v="1956.1229999999998"/>
    <n v="54771.443999999996"/>
    <n v="60094.719999999994"/>
    <n v="-5323.275999999998"/>
    <n v="-9.7190718579557592E-2"/>
    <s v="Loss"/>
    <x v="0"/>
    <n v="0.1"/>
    <s v="Cash"/>
    <s v="Retail"/>
    <s v="South-Alice"/>
  </r>
  <r>
    <n v="1005"/>
    <x v="54"/>
    <x v="1"/>
    <x v="0"/>
    <n v="43"/>
    <x v="1"/>
    <n v="1"/>
    <n v="1200.4000000000001"/>
    <n v="1430.45"/>
    <n v="1316.0140000000001"/>
    <n v="56588.601999999999"/>
    <n v="51617.200000000004"/>
    <n v="4971.4019999999946"/>
    <n v="8.7851648994615464E-2"/>
    <s v="Profit"/>
    <x v="1"/>
    <n v="0.08"/>
    <s v="Bank Transfer"/>
    <s v="Retail"/>
    <s v="West-David"/>
  </r>
  <r>
    <n v="1005"/>
    <x v="55"/>
    <x v="3"/>
    <x v="2"/>
    <n v="12"/>
    <x v="3"/>
    <n v="1"/>
    <n v="319.83"/>
    <n v="802.43"/>
    <n v="770.33279999999991"/>
    <n v="9243.9935999999998"/>
    <n v="3837.96"/>
    <n v="5406.0335999999998"/>
    <n v="0.58481580947870837"/>
    <s v="Profit"/>
    <x v="1"/>
    <n v="0.04"/>
    <s v="Credit Card"/>
    <s v="Retail"/>
    <s v="East-Alice"/>
  </r>
  <r>
    <n v="1006"/>
    <x v="56"/>
    <x v="0"/>
    <x v="2"/>
    <n v="21"/>
    <x v="3"/>
    <n v="1"/>
    <n v="1701.62"/>
    <n v="2193.2199999999998"/>
    <n v="1710.7115999999999"/>
    <n v="35924.943599999999"/>
    <n v="35734.019999999997"/>
    <n v="190.9236000000019"/>
    <n v="5.3145135626601761E-3"/>
    <s v="Profit"/>
    <x v="1"/>
    <n v="0.22"/>
    <s v="Bank Transfer"/>
    <s v="Retail"/>
    <s v="East-Bob"/>
  </r>
  <r>
    <n v="1006"/>
    <x v="57"/>
    <x v="0"/>
    <x v="3"/>
    <n v="22"/>
    <x v="0"/>
    <n v="1"/>
    <n v="834.32"/>
    <n v="1098.97"/>
    <n v="912.14509999999996"/>
    <n v="20067.192199999998"/>
    <n v="18355.04"/>
    <n v="1712.1521999999968"/>
    <n v="8.5320964833336121E-2"/>
    <s v="Profit"/>
    <x v="0"/>
    <n v="0.17"/>
    <s v="Cash"/>
    <s v="Online"/>
    <s v="South-Bob"/>
  </r>
  <r>
    <n v="1006"/>
    <x v="58"/>
    <x v="0"/>
    <x v="1"/>
    <n v="49"/>
    <x v="0"/>
    <n v="1"/>
    <n v="2843.76"/>
    <n v="3146.6"/>
    <n v="2894.8719999999998"/>
    <n v="141848.728"/>
    <n v="139344.24000000002"/>
    <n v="2504.487999999983"/>
    <n v="1.7656048350324176E-2"/>
    <s v="Profit"/>
    <x v="1"/>
    <n v="0.08"/>
    <s v="Cash"/>
    <s v="Retail"/>
    <s v="North-Bob"/>
  </r>
  <r>
    <n v="1006"/>
    <x v="59"/>
    <x v="1"/>
    <x v="0"/>
    <n v="45"/>
    <x v="1"/>
    <n v="1"/>
    <n v="1623.63"/>
    <n v="1814.63"/>
    <n v="1288.3873000000001"/>
    <n v="57977.428500000002"/>
    <n v="73063.350000000006"/>
    <n v="-15085.921500000004"/>
    <n v="-0.26020335655280058"/>
    <s v="Loss"/>
    <x v="1"/>
    <n v="0.28999999999999998"/>
    <s v="Bank Transfer"/>
    <s v="Retail"/>
    <s v="West-David"/>
  </r>
  <r>
    <n v="1006"/>
    <x v="60"/>
    <x v="3"/>
    <x v="3"/>
    <n v="29"/>
    <x v="3"/>
    <n v="1"/>
    <n v="4353.29"/>
    <n v="4405.8"/>
    <n v="4229.5680000000002"/>
    <n v="122657.47200000001"/>
    <n v="126245.41"/>
    <n v="-3587.9379999999946"/>
    <n v="-2.9251687169942607E-2"/>
    <s v="Loss"/>
    <x v="1"/>
    <n v="0.04"/>
    <s v="Bank Transfer"/>
    <s v="Online"/>
    <s v="South-Alice"/>
  </r>
  <r>
    <n v="1006"/>
    <x v="61"/>
    <x v="0"/>
    <x v="2"/>
    <n v="14"/>
    <x v="0"/>
    <n v="1"/>
    <n v="4503.7299999999996"/>
    <n v="4879.88"/>
    <n v="3708.7088000000003"/>
    <n v="51921.923200000005"/>
    <n v="63052.219999999994"/>
    <n v="-11130.296799999989"/>
    <n v="-0.2143660348852407"/>
    <s v="Loss"/>
    <x v="1"/>
    <n v="0.24"/>
    <s v="Bank Transfer"/>
    <s v="Retail"/>
    <s v="East-Bob"/>
  </r>
  <r>
    <n v="1006"/>
    <x v="62"/>
    <x v="0"/>
    <x v="1"/>
    <n v="11"/>
    <x v="0"/>
    <n v="1"/>
    <n v="4562.58"/>
    <n v="4925.17"/>
    <n v="3792.3809000000001"/>
    <n v="41716.189900000005"/>
    <n v="50188.38"/>
    <n v="-8472.1900999999925"/>
    <n v="-0.20309117683827571"/>
    <s v="Loss"/>
    <x v="1"/>
    <n v="0.23"/>
    <s v="Cash"/>
    <s v="Retail"/>
    <s v="North-Bob"/>
  </r>
  <r>
    <n v="1006"/>
    <x v="63"/>
    <x v="4"/>
    <x v="1"/>
    <n v="19"/>
    <x v="2"/>
    <n v="1"/>
    <n v="2962.41"/>
    <n v="3218.9"/>
    <n v="2285.4189999999999"/>
    <n v="43422.960999999996"/>
    <n v="56285.789999999994"/>
    <n v="-12862.828999999998"/>
    <n v="-0.2962218306577481"/>
    <s v="Loss"/>
    <x v="1"/>
    <n v="0.28999999999999998"/>
    <s v="Cash"/>
    <s v="Retail"/>
    <s v="North-Charlie"/>
  </r>
  <r>
    <n v="1007"/>
    <x v="64"/>
    <x v="2"/>
    <x v="0"/>
    <n v="1"/>
    <x v="0"/>
    <n v="1"/>
    <n v="2543.2600000000002"/>
    <n v="2637.91"/>
    <n v="2110.328"/>
    <n v="2110.328"/>
    <n v="2543.2600000000002"/>
    <n v="-432.93200000000024"/>
    <n v="-0.20514915216971022"/>
    <s v="Loss"/>
    <x v="0"/>
    <n v="0.2"/>
    <s v="Credit Card"/>
    <s v="Online"/>
    <s v="West-Eve"/>
  </r>
  <r>
    <n v="1007"/>
    <x v="65"/>
    <x v="4"/>
    <x v="2"/>
    <n v="13"/>
    <x v="2"/>
    <n v="1"/>
    <n v="3597.2"/>
    <n v="4071.82"/>
    <n v="2890.9922000000001"/>
    <n v="37582.8986"/>
    <n v="46763.6"/>
    <n v="-9180.7013999999981"/>
    <n v="-0.24427869435275537"/>
    <s v="Loss"/>
    <x v="0"/>
    <n v="0.28999999999999998"/>
    <s v="Bank Transfer"/>
    <s v="Online"/>
    <s v="East-Charlie"/>
  </r>
  <r>
    <n v="1007"/>
    <x v="66"/>
    <x v="3"/>
    <x v="1"/>
    <n v="9"/>
    <x v="2"/>
    <n v="1"/>
    <n v="1481.76"/>
    <n v="1668.95"/>
    <n v="1468.6760000000002"/>
    <n v="13218.084000000001"/>
    <n v="13335.84"/>
    <n v="-117.7559999999994"/>
    <n v="-8.9087041662013495E-3"/>
    <s v="Loss"/>
    <x v="0"/>
    <n v="0.12"/>
    <s v="Credit Card"/>
    <s v="Retail"/>
    <s v="North-Alice"/>
  </r>
  <r>
    <n v="1007"/>
    <x v="67"/>
    <x v="2"/>
    <x v="2"/>
    <n v="16"/>
    <x v="1"/>
    <n v="1"/>
    <n v="4310.3100000000004"/>
    <n v="4633.1000000000004"/>
    <n v="3335.8320000000003"/>
    <n v="53373.312000000005"/>
    <n v="68964.960000000006"/>
    <n v="-15591.648000000001"/>
    <n v="-0.29212442353212031"/>
    <s v="Loss"/>
    <x v="1"/>
    <n v="0.28000000000000003"/>
    <s v="Credit Card"/>
    <s v="Retail"/>
    <s v="East-Eve"/>
  </r>
  <r>
    <n v="1007"/>
    <x v="12"/>
    <x v="3"/>
    <x v="3"/>
    <n v="34"/>
    <x v="2"/>
    <n v="1"/>
    <n v="1921.07"/>
    <n v="2289.27"/>
    <n v="2129.0210999999999"/>
    <n v="72386.717399999994"/>
    <n v="65316.38"/>
    <n v="7070.3373999999967"/>
    <n v="9.7674513418396808E-2"/>
    <s v="Profit"/>
    <x v="0"/>
    <n v="7.0000000000000007E-2"/>
    <s v="Bank Transfer"/>
    <s v="Retail"/>
    <s v="South-Alice"/>
  </r>
  <r>
    <n v="1007"/>
    <x v="68"/>
    <x v="4"/>
    <x v="2"/>
    <n v="43"/>
    <x v="1"/>
    <n v="1"/>
    <n v="3967.25"/>
    <n v="4272.92"/>
    <n v="3119.2316000000001"/>
    <n v="134126.95879999999"/>
    <n v="170591.75"/>
    <n v="-36464.791200000007"/>
    <n v="-0.27186772537185128"/>
    <s v="Loss"/>
    <x v="1"/>
    <n v="0.27"/>
    <s v="Credit Card"/>
    <s v="Online"/>
    <s v="East-Charlie"/>
  </r>
  <r>
    <n v="1007"/>
    <x v="69"/>
    <x v="4"/>
    <x v="0"/>
    <n v="13"/>
    <x v="1"/>
    <n v="1"/>
    <n v="3765.46"/>
    <n v="3860.56"/>
    <n v="3011.2368000000001"/>
    <n v="39146.078399999999"/>
    <n v="48950.98"/>
    <n v="-9804.9016000000047"/>
    <n v="-0.2504695744951046"/>
    <s v="Loss"/>
    <x v="0"/>
    <n v="0.22"/>
    <s v="Cash"/>
    <s v="Retail"/>
    <s v="West-Charlie"/>
  </r>
  <r>
    <n v="1007"/>
    <x v="55"/>
    <x v="1"/>
    <x v="2"/>
    <n v="14"/>
    <x v="1"/>
    <n v="1"/>
    <n v="1122.07"/>
    <n v="1608.76"/>
    <n v="1254.8328000000001"/>
    <n v="17567.659200000002"/>
    <n v="15708.98"/>
    <n v="1858.6792000000023"/>
    <n v="0.10580118721793066"/>
    <s v="Profit"/>
    <x v="1"/>
    <n v="0.22"/>
    <s v="Cash"/>
    <s v="Retail"/>
    <s v="East-David"/>
  </r>
  <r>
    <n v="1008"/>
    <x v="70"/>
    <x v="2"/>
    <x v="1"/>
    <n v="38"/>
    <x v="2"/>
    <n v="1"/>
    <n v="4635.2299999999996"/>
    <n v="5075.4399999999996"/>
    <n v="4821.6679999999997"/>
    <n v="183223.38399999996"/>
    <n v="176138.74"/>
    <n v="7084.6439999999711"/>
    <n v="3.8666702062439655E-2"/>
    <s v="Profit"/>
    <x v="0"/>
    <n v="0.05"/>
    <s v="Cash"/>
    <s v="Online"/>
    <s v="North-Eve"/>
  </r>
  <r>
    <n v="1008"/>
    <x v="71"/>
    <x v="4"/>
    <x v="2"/>
    <n v="27"/>
    <x v="3"/>
    <n v="1"/>
    <n v="68.989999999999995"/>
    <n v="429.29"/>
    <n v="352.01780000000002"/>
    <n v="9504.4806000000008"/>
    <n v="1862.7299999999998"/>
    <n v="7641.7506000000012"/>
    <n v="0.80401559239333931"/>
    <s v="Profit"/>
    <x v="0"/>
    <n v="0.18"/>
    <s v="Credit Card"/>
    <s v="Retail"/>
    <s v="East-Charlie"/>
  </r>
  <r>
    <n v="1008"/>
    <x v="72"/>
    <x v="3"/>
    <x v="3"/>
    <n v="49"/>
    <x v="3"/>
    <n v="1"/>
    <n v="2907.22"/>
    <n v="3385.61"/>
    <n v="2945.4807000000001"/>
    <n v="144328.55430000002"/>
    <n v="142453.78"/>
    <n v="1874.7743000000191"/>
    <n v="1.298962848407066E-2"/>
    <s v="Profit"/>
    <x v="1"/>
    <n v="0.13"/>
    <s v="Cash"/>
    <s v="Online"/>
    <s v="South-Alice"/>
  </r>
  <r>
    <n v="1008"/>
    <x v="73"/>
    <x v="3"/>
    <x v="2"/>
    <n v="32"/>
    <x v="0"/>
    <n v="1"/>
    <n v="4298.12"/>
    <n v="4446.8999999999996"/>
    <n v="4002.2099999999996"/>
    <n v="128070.71999999999"/>
    <n v="137539.84"/>
    <n v="-9469.1200000000099"/>
    <n v="-7.3936650000874599E-2"/>
    <s v="Loss"/>
    <x v="1"/>
    <n v="0.1"/>
    <s v="Bank Transfer"/>
    <s v="Online"/>
    <s v="East-Alice"/>
  </r>
  <r>
    <n v="1008"/>
    <x v="74"/>
    <x v="4"/>
    <x v="3"/>
    <n v="24"/>
    <x v="1"/>
    <n v="1"/>
    <n v="4739.13"/>
    <n v="4868.95"/>
    <n v="4187.2969999999996"/>
    <n v="100495.12799999998"/>
    <n v="113739.12"/>
    <n v="-13243.992000000013"/>
    <n v="-0.13178740366398672"/>
    <s v="Loss"/>
    <x v="1"/>
    <n v="0.14000000000000001"/>
    <s v="Credit Card"/>
    <s v="Retail"/>
    <s v="South-Charlie"/>
  </r>
  <r>
    <n v="1008"/>
    <x v="75"/>
    <x v="2"/>
    <x v="0"/>
    <n v="24"/>
    <x v="3"/>
    <n v="1"/>
    <n v="1542.24"/>
    <n v="1739.45"/>
    <n v="1374.1655000000001"/>
    <n v="32979.972000000002"/>
    <n v="37013.760000000002"/>
    <n v="-4033.7880000000005"/>
    <n v="-0.12231023119122116"/>
    <s v="Loss"/>
    <x v="0"/>
    <n v="0.21"/>
    <s v="Bank Transfer"/>
    <s v="Retail"/>
    <s v="West-Eve"/>
  </r>
  <r>
    <n v="1008"/>
    <x v="66"/>
    <x v="2"/>
    <x v="1"/>
    <n v="24"/>
    <x v="2"/>
    <n v="1"/>
    <n v="1394.17"/>
    <n v="1891.02"/>
    <n v="1493.9058"/>
    <n v="35853.739199999996"/>
    <n v="33460.080000000002"/>
    <n v="2393.6591999999946"/>
    <n v="6.6761773064941438E-2"/>
    <s v="Profit"/>
    <x v="1"/>
    <n v="0.21"/>
    <s v="Credit Card"/>
    <s v="Online"/>
    <s v="North-Eve"/>
  </r>
  <r>
    <n v="1008"/>
    <x v="59"/>
    <x v="4"/>
    <x v="3"/>
    <n v="32"/>
    <x v="0"/>
    <n v="1"/>
    <n v="921.32"/>
    <n v="1236.0999999999999"/>
    <n v="1087.768"/>
    <n v="34808.576000000001"/>
    <n v="29482.240000000002"/>
    <n v="5326.3359999999993"/>
    <n v="0.1530179229394503"/>
    <s v="Profit"/>
    <x v="1"/>
    <n v="0.12"/>
    <s v="Credit Card"/>
    <s v="Online"/>
    <s v="South-Charlie"/>
  </r>
  <r>
    <n v="1008"/>
    <x v="76"/>
    <x v="4"/>
    <x v="0"/>
    <n v="23"/>
    <x v="2"/>
    <n v="1"/>
    <n v="2296.9299999999998"/>
    <n v="2319.62"/>
    <n v="1786.1073999999999"/>
    <n v="41080.470199999996"/>
    <n v="52829.39"/>
    <n v="-11748.919800000003"/>
    <n v="-0.28599769532336083"/>
    <s v="Loss"/>
    <x v="0"/>
    <n v="0.23"/>
    <s v="Bank Transfer"/>
    <s v="Retail"/>
    <s v="West-Charlie"/>
  </r>
  <r>
    <n v="1008"/>
    <x v="22"/>
    <x v="1"/>
    <x v="2"/>
    <n v="37"/>
    <x v="1"/>
    <n v="1"/>
    <n v="1712.43"/>
    <n v="1980.06"/>
    <n v="1465.2444"/>
    <n v="54214.042800000003"/>
    <n v="63359.91"/>
    <n v="-9145.8672000000006"/>
    <n v="-0.16869922860650416"/>
    <s v="Loss"/>
    <x v="1"/>
    <n v="0.26"/>
    <s v="Cash"/>
    <s v="Online"/>
    <s v="East-David"/>
  </r>
  <r>
    <n v="1008"/>
    <x v="77"/>
    <x v="2"/>
    <x v="1"/>
    <n v="35"/>
    <x v="2"/>
    <n v="1"/>
    <n v="600.20000000000005"/>
    <n v="1059.82"/>
    <n v="752.47219999999993"/>
    <n v="26336.526999999998"/>
    <n v="21007"/>
    <n v="5329.5269999999982"/>
    <n v="0.20236255904204828"/>
    <s v="Profit"/>
    <x v="0"/>
    <n v="0.28999999999999998"/>
    <s v="Bank Transfer"/>
    <s v="Retail"/>
    <s v="North-Eve"/>
  </r>
  <r>
    <n v="1008"/>
    <x v="78"/>
    <x v="2"/>
    <x v="0"/>
    <n v="22"/>
    <x v="3"/>
    <n v="1"/>
    <n v="2269.3200000000002"/>
    <n v="2365.35"/>
    <n v="2294.3894999999998"/>
    <n v="50476.568999999996"/>
    <n v="49925.04"/>
    <n v="551.52899999999499"/>
    <n v="1.0926435986566263E-2"/>
    <s v="Profit"/>
    <x v="1"/>
    <n v="0.03"/>
    <s v="Cash"/>
    <s v="Retail"/>
    <s v="West-Eve"/>
  </r>
  <r>
    <n v="1008"/>
    <x v="79"/>
    <x v="1"/>
    <x v="3"/>
    <n v="40"/>
    <x v="2"/>
    <n v="1"/>
    <n v="2687.49"/>
    <n v="3001.56"/>
    <n v="2221.1543999999999"/>
    <n v="88846.175999999992"/>
    <n v="107499.59999999999"/>
    <n v="-18653.423999999999"/>
    <n v="-0.20995190608991435"/>
    <s v="Loss"/>
    <x v="0"/>
    <n v="0.26"/>
    <s v="Bank Transfer"/>
    <s v="Online"/>
    <s v="South-David"/>
  </r>
  <r>
    <n v="1009"/>
    <x v="80"/>
    <x v="0"/>
    <x v="3"/>
    <n v="14"/>
    <x v="0"/>
    <n v="1"/>
    <n v="547.79"/>
    <n v="958.76"/>
    <n v="891.64679999999998"/>
    <n v="12483.055199999999"/>
    <n v="7669.0599999999995"/>
    <n v="4813.9951999999994"/>
    <n v="0.38564238664906325"/>
    <s v="Profit"/>
    <x v="0"/>
    <n v="7.0000000000000007E-2"/>
    <s v="Credit Card"/>
    <s v="Retail"/>
    <s v="South-Bob"/>
  </r>
  <r>
    <n v="1009"/>
    <x v="81"/>
    <x v="1"/>
    <x v="2"/>
    <n v="1"/>
    <x v="2"/>
    <n v="1"/>
    <n v="3223.07"/>
    <n v="3590.83"/>
    <n v="2908.5723000000003"/>
    <n v="2908.5723000000003"/>
    <n v="3223.07"/>
    <n v="-314.4976999999999"/>
    <n v="-0.10812786053143664"/>
    <s v="Loss"/>
    <x v="1"/>
    <n v="0.19"/>
    <s v="Bank Transfer"/>
    <s v="Retail"/>
    <s v="East-David"/>
  </r>
  <r>
    <n v="1009"/>
    <x v="65"/>
    <x v="4"/>
    <x v="3"/>
    <n v="32"/>
    <x v="2"/>
    <n v="1"/>
    <n v="3219.88"/>
    <n v="3384.5"/>
    <n v="2910.67"/>
    <n v="93141.440000000002"/>
    <n v="103036.16"/>
    <n v="-9894.7200000000012"/>
    <n v="-0.10623327275163451"/>
    <s v="Loss"/>
    <x v="0"/>
    <n v="0.14000000000000001"/>
    <s v="Cash"/>
    <s v="Retail"/>
    <s v="South-Charlie"/>
  </r>
  <r>
    <n v="1009"/>
    <x v="9"/>
    <x v="1"/>
    <x v="0"/>
    <n v="40"/>
    <x v="1"/>
    <n v="1"/>
    <n v="2799.71"/>
    <n v="3231.08"/>
    <n v="2294.0668000000001"/>
    <n v="91762.671999999991"/>
    <n v="111988.4"/>
    <n v="-20225.728000000003"/>
    <n v="-0.22041345962550005"/>
    <s v="Loss"/>
    <x v="0"/>
    <n v="0.28999999999999998"/>
    <s v="Credit Card"/>
    <s v="Retail"/>
    <s v="West-David"/>
  </r>
  <r>
    <n v="1009"/>
    <x v="82"/>
    <x v="1"/>
    <x v="0"/>
    <n v="12"/>
    <x v="1"/>
    <n v="1"/>
    <n v="2278.67"/>
    <n v="2476.8000000000002"/>
    <n v="2253.8880000000004"/>
    <n v="27046.656000000003"/>
    <n v="27344.04"/>
    <n v="-297.3839999999982"/>
    <n v="-1.099522247778055E-2"/>
    <s v="Loss"/>
    <x v="1"/>
    <n v="0.09"/>
    <s v="Cash"/>
    <s v="Retail"/>
    <s v="West-David"/>
  </r>
  <r>
    <n v="1009"/>
    <x v="67"/>
    <x v="0"/>
    <x v="0"/>
    <n v="33"/>
    <x v="2"/>
    <n v="1"/>
    <n v="450.72"/>
    <n v="918.17"/>
    <n v="817.17129999999997"/>
    <n v="26966.652899999997"/>
    <n v="14873.76"/>
    <n v="12092.892899999997"/>
    <n v="0.44843877899285001"/>
    <s v="Profit"/>
    <x v="0"/>
    <n v="0.11"/>
    <s v="Cash"/>
    <s v="Online"/>
    <s v="West-Bob"/>
  </r>
  <r>
    <n v="1009"/>
    <x v="83"/>
    <x v="2"/>
    <x v="1"/>
    <n v="47"/>
    <x v="2"/>
    <n v="1"/>
    <n v="359.41"/>
    <n v="733"/>
    <n v="586.4"/>
    <n v="27560.800000000003"/>
    <n v="16892.27"/>
    <n v="10668.530000000002"/>
    <n v="0.38709072305593456"/>
    <s v="Profit"/>
    <x v="0"/>
    <n v="0.2"/>
    <s v="Bank Transfer"/>
    <s v="Retail"/>
    <s v="North-Eve"/>
  </r>
  <r>
    <n v="1009"/>
    <x v="33"/>
    <x v="3"/>
    <x v="1"/>
    <n v="33"/>
    <x v="2"/>
    <n v="1"/>
    <n v="2278.9"/>
    <n v="2626.9"/>
    <n v="2495.5549999999998"/>
    <n v="82353.314999999988"/>
    <n v="75203.7"/>
    <n v="7149.6149999999907"/>
    <n v="8.6816359487168079E-2"/>
    <s v="Profit"/>
    <x v="1"/>
    <n v="0.05"/>
    <s v="Credit Card"/>
    <s v="Online"/>
    <s v="North-Alice"/>
  </r>
  <r>
    <n v="1009"/>
    <x v="69"/>
    <x v="2"/>
    <x v="0"/>
    <n v="16"/>
    <x v="2"/>
    <n v="1"/>
    <n v="3745.69"/>
    <n v="3883.77"/>
    <n v="3184.6914000000002"/>
    <n v="50955.062400000003"/>
    <n v="59931.040000000001"/>
    <n v="-8975.9775999999983"/>
    <n v="-0.17615477593841583"/>
    <s v="Loss"/>
    <x v="0"/>
    <n v="0.18"/>
    <s v="Bank Transfer"/>
    <s v="Retail"/>
    <s v="West-Eve"/>
  </r>
  <r>
    <n v="1009"/>
    <x v="55"/>
    <x v="4"/>
    <x v="3"/>
    <n v="10"/>
    <x v="2"/>
    <n v="1"/>
    <n v="4364.3500000000004"/>
    <n v="4710.1000000000004"/>
    <n v="4380.393"/>
    <n v="43803.93"/>
    <n v="43643.5"/>
    <n v="160.43000000000029"/>
    <n v="3.6624567704313356E-3"/>
    <s v="Profit"/>
    <x v="1"/>
    <n v="7.0000000000000007E-2"/>
    <s v="Credit Card"/>
    <s v="Online"/>
    <s v="South-Charlie"/>
  </r>
  <r>
    <n v="1010"/>
    <x v="84"/>
    <x v="4"/>
    <x v="1"/>
    <n v="20"/>
    <x v="1"/>
    <n v="1"/>
    <n v="4298.74"/>
    <n v="4475.1899999999996"/>
    <n v="3759.1595999999995"/>
    <n v="75183.191999999981"/>
    <n v="85974.799999999988"/>
    <n v="-10791.608000000007"/>
    <n v="-0.14353750769187892"/>
    <s v="Loss"/>
    <x v="0"/>
    <n v="0.16"/>
    <s v="Cash"/>
    <s v="Online"/>
    <s v="North-Charlie"/>
  </r>
  <r>
    <n v="1010"/>
    <x v="85"/>
    <x v="4"/>
    <x v="1"/>
    <n v="4"/>
    <x v="0"/>
    <n v="1"/>
    <n v="4943.03"/>
    <n v="5442.15"/>
    <n v="3863.9264999999996"/>
    <n v="15455.705999999998"/>
    <n v="19772.12"/>
    <n v="-4316.4140000000007"/>
    <n v="-0.27927640445541607"/>
    <s v="Loss"/>
    <x v="0"/>
    <n v="0.28999999999999998"/>
    <s v="Cash"/>
    <s v="Online"/>
    <s v="North-Charlie"/>
  </r>
  <r>
    <n v="1010"/>
    <x v="86"/>
    <x v="1"/>
    <x v="2"/>
    <n v="47"/>
    <x v="1"/>
    <n v="1"/>
    <n v="2265.38"/>
    <n v="2429.9299999999998"/>
    <n v="2284.1341999999995"/>
    <n v="107354.30739999999"/>
    <n v="106472.86"/>
    <n v="881.44739999999001"/>
    <n v="8.2106384117009365E-3"/>
    <s v="Profit"/>
    <x v="0"/>
    <n v="0.06"/>
    <s v="Bank Transfer"/>
    <s v="Online"/>
    <s v="East-David"/>
  </r>
  <r>
    <n v="1010"/>
    <x v="53"/>
    <x v="1"/>
    <x v="3"/>
    <n v="30"/>
    <x v="0"/>
    <n v="1"/>
    <n v="3289.01"/>
    <n v="3508.14"/>
    <n v="2911.7561999999998"/>
    <n v="87352.685999999987"/>
    <n v="98670.3"/>
    <n v="-11317.614000000016"/>
    <n v="-0.12956228959004212"/>
    <s v="Loss"/>
    <x v="1"/>
    <n v="0.17"/>
    <s v="Bank Transfer"/>
    <s v="Retail"/>
    <s v="South-David"/>
  </r>
  <r>
    <n v="1010"/>
    <x v="87"/>
    <x v="2"/>
    <x v="3"/>
    <n v="37"/>
    <x v="2"/>
    <n v="1"/>
    <n v="4354.92"/>
    <n v="4495.88"/>
    <n v="4450.9211999999998"/>
    <n v="164684.08439999999"/>
    <n v="161132.04"/>
    <n v="3552.0443999999843"/>
    <n v="2.1568838378895491E-2"/>
    <s v="Profit"/>
    <x v="0"/>
    <n v="0.01"/>
    <s v="Bank Transfer"/>
    <s v="Online"/>
    <s v="South-Eve"/>
  </r>
  <r>
    <n v="1010"/>
    <x v="88"/>
    <x v="3"/>
    <x v="3"/>
    <n v="49"/>
    <x v="0"/>
    <n v="1"/>
    <n v="1150.3"/>
    <n v="1306.02"/>
    <n v="1227.6587999999999"/>
    <n v="60155.28119999999"/>
    <n v="56364.7"/>
    <n v="3790.5811999999933"/>
    <n v="6.3013273720678636E-2"/>
    <s v="Profit"/>
    <x v="1"/>
    <n v="0.06"/>
    <s v="Credit Card"/>
    <s v="Retail"/>
    <s v="South-Alice"/>
  </r>
  <r>
    <n v="1011"/>
    <x v="89"/>
    <x v="0"/>
    <x v="2"/>
    <n v="13"/>
    <x v="3"/>
    <n v="1"/>
    <n v="1442.69"/>
    <n v="1882.57"/>
    <n v="1355.4503999999999"/>
    <n v="17620.855199999998"/>
    <n v="18754.97"/>
    <n v="-1134.114800000003"/>
    <n v="-6.4362074776030342E-2"/>
    <s v="Loss"/>
    <x v="0"/>
    <n v="0.28000000000000003"/>
    <s v="Cash"/>
    <s v="Online"/>
    <s v="East-Bob"/>
  </r>
  <r>
    <n v="1011"/>
    <x v="66"/>
    <x v="3"/>
    <x v="3"/>
    <n v="38"/>
    <x v="1"/>
    <n v="1"/>
    <n v="4456.67"/>
    <n v="4642.46"/>
    <n v="4363.9124000000002"/>
    <n v="165828.67120000001"/>
    <n v="169353.46"/>
    <n v="-3524.7887999999803"/>
    <n v="-2.1255605405827917E-2"/>
    <s v="Loss"/>
    <x v="1"/>
    <n v="0.06"/>
    <s v="Bank Transfer"/>
    <s v="Online"/>
    <s v="South-Alice"/>
  </r>
  <r>
    <n v="1011"/>
    <x v="90"/>
    <x v="0"/>
    <x v="2"/>
    <n v="2"/>
    <x v="1"/>
    <n v="1"/>
    <n v="4906.17"/>
    <n v="5107.43"/>
    <n v="4596.6870000000008"/>
    <n v="9193.3740000000016"/>
    <n v="9812.34"/>
    <n v="-618.96599999999853"/>
    <n v="-6.7327403410325573E-2"/>
    <s v="Loss"/>
    <x v="0"/>
    <n v="0.1"/>
    <s v="Cash"/>
    <s v="Online"/>
    <s v="East-Bob"/>
  </r>
  <r>
    <n v="1011"/>
    <x v="91"/>
    <x v="2"/>
    <x v="1"/>
    <n v="22"/>
    <x v="3"/>
    <n v="1"/>
    <n v="1324.52"/>
    <n v="1510.3"/>
    <n v="1283.7549999999999"/>
    <n v="28242.609999999997"/>
    <n v="29139.439999999999"/>
    <n v="-896.83000000000175"/>
    <n v="-3.1754501443032421E-2"/>
    <s v="Loss"/>
    <x v="0"/>
    <n v="0.15"/>
    <s v="Cash"/>
    <s v="Retail"/>
    <s v="North-Eve"/>
  </r>
  <r>
    <n v="1012"/>
    <x v="92"/>
    <x v="0"/>
    <x v="2"/>
    <n v="19"/>
    <x v="1"/>
    <n v="1"/>
    <n v="3457.28"/>
    <n v="3598.72"/>
    <n v="2627.0655999999999"/>
    <n v="49914.246399999996"/>
    <n v="65688.320000000007"/>
    <n v="-15774.073600000011"/>
    <n v="-0.31602347501333833"/>
    <s v="Loss"/>
    <x v="1"/>
    <n v="0.27"/>
    <s v="Bank Transfer"/>
    <s v="Online"/>
    <s v="East-Bob"/>
  </r>
  <r>
    <n v="1012"/>
    <x v="93"/>
    <x v="1"/>
    <x v="0"/>
    <n v="13"/>
    <x v="0"/>
    <n v="1"/>
    <n v="1311.01"/>
    <n v="1538.79"/>
    <n v="1400.2989"/>
    <n v="18203.885700000003"/>
    <n v="17043.13"/>
    <n v="1160.7557000000015"/>
    <n v="6.3764172063550215E-2"/>
    <s v="Profit"/>
    <x v="0"/>
    <n v="0.09"/>
    <s v="Bank Transfer"/>
    <s v="Retail"/>
    <s v="West-David"/>
  </r>
  <r>
    <n v="1012"/>
    <x v="94"/>
    <x v="3"/>
    <x v="2"/>
    <n v="39"/>
    <x v="1"/>
    <n v="1"/>
    <n v="3126.52"/>
    <n v="3465.79"/>
    <n v="3188.5268000000001"/>
    <n v="124352.54520000001"/>
    <n v="121934.28"/>
    <n v="2418.2652000000089"/>
    <n v="1.9446849247119462E-2"/>
    <s v="Profit"/>
    <x v="1"/>
    <n v="0.08"/>
    <s v="Cash"/>
    <s v="Online"/>
    <s v="East-Alice"/>
  </r>
  <r>
    <n v="1012"/>
    <x v="11"/>
    <x v="2"/>
    <x v="1"/>
    <n v="6"/>
    <x v="2"/>
    <n v="1"/>
    <n v="3609.42"/>
    <n v="4082.62"/>
    <n v="2857.8339999999998"/>
    <n v="17147.004000000001"/>
    <n v="21656.52"/>
    <n v="-4509.5159999999996"/>
    <n v="-0.26299148236041697"/>
    <s v="Loss"/>
    <x v="0"/>
    <n v="0.3"/>
    <s v="Bank Transfer"/>
    <s v="Retail"/>
    <s v="North-Eve"/>
  </r>
  <r>
    <n v="1012"/>
    <x v="11"/>
    <x v="1"/>
    <x v="1"/>
    <n v="14"/>
    <x v="3"/>
    <n v="1"/>
    <n v="1185.5"/>
    <n v="1271.45"/>
    <n v="1233.3064999999999"/>
    <n v="17266.290999999997"/>
    <n v="16597"/>
    <n v="669.29099999999744"/>
    <n v="3.8762870381368969E-2"/>
    <s v="Profit"/>
    <x v="0"/>
    <n v="0.03"/>
    <s v="Bank Transfer"/>
    <s v="Retail"/>
    <s v="North-David"/>
  </r>
  <r>
    <n v="1012"/>
    <x v="95"/>
    <x v="0"/>
    <x v="0"/>
    <n v="13"/>
    <x v="3"/>
    <n v="1"/>
    <n v="2231.66"/>
    <n v="2596.61"/>
    <n v="2362.9151000000002"/>
    <n v="30717.8963"/>
    <n v="29011.579999999998"/>
    <n v="1706.3163000000022"/>
    <n v="5.5547954304409911E-2"/>
    <s v="Profit"/>
    <x v="0"/>
    <n v="0.09"/>
    <s v="Bank Transfer"/>
    <s v="Retail"/>
    <s v="West-Bob"/>
  </r>
  <r>
    <n v="1012"/>
    <x v="58"/>
    <x v="1"/>
    <x v="3"/>
    <n v="19"/>
    <x v="3"/>
    <n v="1"/>
    <n v="1427.42"/>
    <n v="1763.69"/>
    <n v="1710.7792999999999"/>
    <n v="32504.806700000001"/>
    <n v="27120.980000000003"/>
    <n v="5383.8266999999978"/>
    <n v="0.16563170947883218"/>
    <s v="Profit"/>
    <x v="1"/>
    <n v="0.03"/>
    <s v="Cash"/>
    <s v="Retail"/>
    <s v="South-David"/>
  </r>
  <r>
    <n v="1012"/>
    <x v="96"/>
    <x v="3"/>
    <x v="3"/>
    <n v="9"/>
    <x v="3"/>
    <n v="1"/>
    <n v="709.97"/>
    <n v="1029.71"/>
    <n v="895.84770000000003"/>
    <n v="8062.6292999999996"/>
    <n v="6389.7300000000005"/>
    <n v="1672.8992999999991"/>
    <n v="0.20748805851708935"/>
    <s v="Profit"/>
    <x v="0"/>
    <n v="0.13"/>
    <s v="Bank Transfer"/>
    <s v="Retail"/>
    <s v="South-Alice"/>
  </r>
  <r>
    <n v="1012"/>
    <x v="97"/>
    <x v="0"/>
    <x v="1"/>
    <n v="16"/>
    <x v="0"/>
    <n v="1"/>
    <n v="3466.11"/>
    <n v="3799.67"/>
    <n v="3761.6732999999999"/>
    <n v="60186.772799999999"/>
    <n v="55457.760000000002"/>
    <n v="4729.0127999999968"/>
    <n v="7.8572293877833516E-2"/>
    <s v="Profit"/>
    <x v="0"/>
    <n v="0.01"/>
    <s v="Cash"/>
    <s v="Retail"/>
    <s v="North-Bob"/>
  </r>
  <r>
    <n v="1012"/>
    <x v="98"/>
    <x v="3"/>
    <x v="3"/>
    <n v="47"/>
    <x v="2"/>
    <n v="1"/>
    <n v="325.75"/>
    <n v="803.71"/>
    <n v="707.26480000000004"/>
    <n v="33241.445599999999"/>
    <n v="15310.25"/>
    <n v="17931.195599999999"/>
    <n v="0.53942285831275638"/>
    <s v="Profit"/>
    <x v="1"/>
    <n v="0.12"/>
    <s v="Bank Transfer"/>
    <s v="Retail"/>
    <s v="South-Alice"/>
  </r>
  <r>
    <n v="1012"/>
    <x v="99"/>
    <x v="0"/>
    <x v="1"/>
    <n v="1"/>
    <x v="0"/>
    <n v="1"/>
    <n v="4190.83"/>
    <n v="4528.7700000000004"/>
    <n v="3532.4406000000004"/>
    <n v="3532.4406000000004"/>
    <n v="4190.83"/>
    <n v="-658.38939999999957"/>
    <n v="-0.18638371442112842"/>
    <s v="Loss"/>
    <x v="0"/>
    <n v="0.22"/>
    <s v="Bank Transfer"/>
    <s v="Online"/>
    <s v="North-Bob"/>
  </r>
  <r>
    <n v="1012"/>
    <x v="100"/>
    <x v="1"/>
    <x v="1"/>
    <n v="34"/>
    <x v="1"/>
    <n v="1"/>
    <n v="2462.5500000000002"/>
    <n v="2521.77"/>
    <n v="1992.1983"/>
    <n v="67734.742199999993"/>
    <n v="83726.700000000012"/>
    <n v="-15991.957800000018"/>
    <n v="-0.23609682831272399"/>
    <s v="Loss"/>
    <x v="1"/>
    <n v="0.21"/>
    <s v="Bank Transfer"/>
    <s v="Retail"/>
    <s v="North-David"/>
  </r>
  <r>
    <n v="1012"/>
    <x v="68"/>
    <x v="1"/>
    <x v="2"/>
    <n v="33"/>
    <x v="0"/>
    <n v="1"/>
    <n v="3831.09"/>
    <n v="3908.37"/>
    <n v="2774.9426999999996"/>
    <n v="91573.109099999987"/>
    <n v="126425.97"/>
    <n v="-34852.860900000014"/>
    <n v="-0.38060148052786841"/>
    <s v="Loss"/>
    <x v="1"/>
    <n v="0.28999999999999998"/>
    <s v="Cash"/>
    <s v="Retail"/>
    <s v="East-David"/>
  </r>
  <r>
    <n v="1013"/>
    <x v="101"/>
    <x v="4"/>
    <x v="2"/>
    <n v="16"/>
    <x v="1"/>
    <n v="1"/>
    <n v="1222.1500000000001"/>
    <n v="1284.3599999999999"/>
    <n v="1245.8291999999999"/>
    <n v="19933.267199999998"/>
    <n v="19554.400000000001"/>
    <n v="378.86719999999696"/>
    <n v="1.9006778778342819E-2"/>
    <s v="Profit"/>
    <x v="0"/>
    <n v="0.03"/>
    <s v="Credit Card"/>
    <s v="Retail"/>
    <s v="East-Charlie"/>
  </r>
  <r>
    <n v="1013"/>
    <x v="102"/>
    <x v="0"/>
    <x v="1"/>
    <n v="42"/>
    <x v="2"/>
    <n v="1"/>
    <n v="4625.33"/>
    <n v="4642.83"/>
    <n v="3760.6923000000002"/>
    <n v="157949.0766"/>
    <n v="194263.86"/>
    <n v="-36314.783399999986"/>
    <n v="-0.22991450271004615"/>
    <s v="Loss"/>
    <x v="1"/>
    <n v="0.19"/>
    <s v="Credit Card"/>
    <s v="Online"/>
    <s v="North-Bob"/>
  </r>
  <r>
    <n v="1013"/>
    <x v="103"/>
    <x v="3"/>
    <x v="0"/>
    <n v="16"/>
    <x v="1"/>
    <n v="1"/>
    <n v="919.58"/>
    <n v="1258.3"/>
    <n v="1082.1379999999999"/>
    <n v="17314.207999999999"/>
    <n v="14713.28"/>
    <n v="2600.9279999999981"/>
    <n v="0.15021928811297625"/>
    <s v="Profit"/>
    <x v="0"/>
    <n v="0.14000000000000001"/>
    <s v="Bank Transfer"/>
    <s v="Online"/>
    <s v="West-Alice"/>
  </r>
  <r>
    <n v="1013"/>
    <x v="104"/>
    <x v="3"/>
    <x v="0"/>
    <n v="35"/>
    <x v="3"/>
    <n v="1"/>
    <n v="1312.71"/>
    <n v="1352.11"/>
    <n v="1054.6458"/>
    <n v="36912.603000000003"/>
    <n v="45944.85"/>
    <n v="-9032.2469999999958"/>
    <n v="-0.2446927679416159"/>
    <s v="Loss"/>
    <x v="0"/>
    <n v="0.22"/>
    <s v="Bank Transfer"/>
    <s v="Retail"/>
    <s v="West-Alice"/>
  </r>
  <r>
    <n v="1013"/>
    <x v="105"/>
    <x v="3"/>
    <x v="2"/>
    <n v="26"/>
    <x v="2"/>
    <n v="1"/>
    <n v="3749.12"/>
    <n v="4138.83"/>
    <n v="3600.7820999999999"/>
    <n v="93620.334600000002"/>
    <n v="97477.119999999995"/>
    <n v="-3856.7853999999934"/>
    <n v="-4.1196022386358715E-2"/>
    <s v="Loss"/>
    <x v="1"/>
    <n v="0.13"/>
    <s v="Credit Card"/>
    <s v="Online"/>
    <s v="East-Alice"/>
  </r>
  <r>
    <n v="1013"/>
    <x v="85"/>
    <x v="2"/>
    <x v="1"/>
    <n v="42"/>
    <x v="1"/>
    <n v="1"/>
    <n v="1375.57"/>
    <n v="1729.71"/>
    <n v="1660.5216"/>
    <n v="69741.907200000001"/>
    <n v="57773.939999999995"/>
    <n v="11967.967200000006"/>
    <n v="0.17160366959393972"/>
    <s v="Profit"/>
    <x v="1"/>
    <n v="0.04"/>
    <s v="Cash"/>
    <s v="Online"/>
    <s v="North-Eve"/>
  </r>
  <r>
    <n v="1013"/>
    <x v="106"/>
    <x v="2"/>
    <x v="2"/>
    <n v="20"/>
    <x v="2"/>
    <n v="1"/>
    <n v="3356.62"/>
    <n v="3759.01"/>
    <n v="3571.0594999999998"/>
    <n v="71421.19"/>
    <n v="67132.399999999994"/>
    <n v="4288.7900000000081"/>
    <n v="6.004926549109596E-2"/>
    <s v="Profit"/>
    <x v="0"/>
    <n v="0.05"/>
    <s v="Credit Card"/>
    <s v="Retail"/>
    <s v="East-Eve"/>
  </r>
  <r>
    <n v="1013"/>
    <x v="21"/>
    <x v="1"/>
    <x v="2"/>
    <n v="46"/>
    <x v="3"/>
    <n v="1"/>
    <n v="1648.8"/>
    <n v="1670.36"/>
    <n v="1520.0275999999999"/>
    <n v="69921.2696"/>
    <n v="75844.800000000003"/>
    <n v="-5923.5304000000033"/>
    <n v="-8.4717145925508247E-2"/>
    <s v="Loss"/>
    <x v="0"/>
    <n v="0.09"/>
    <s v="Credit Card"/>
    <s v="Retail"/>
    <s v="East-David"/>
  </r>
  <r>
    <n v="1013"/>
    <x v="107"/>
    <x v="1"/>
    <x v="2"/>
    <n v="20"/>
    <x v="3"/>
    <n v="1"/>
    <n v="1533.36"/>
    <n v="1649.74"/>
    <n v="1484.7660000000001"/>
    <n v="29695.320000000003"/>
    <n v="30667.199999999997"/>
    <n v="-971.87999999999374"/>
    <n v="-3.2728389524005586E-2"/>
    <s v="Loss"/>
    <x v="0"/>
    <n v="0.1"/>
    <s v="Bank Transfer"/>
    <s v="Online"/>
    <s v="East-David"/>
  </r>
  <r>
    <n v="1013"/>
    <x v="108"/>
    <x v="2"/>
    <x v="2"/>
    <n v="31"/>
    <x v="0"/>
    <n v="1"/>
    <n v="2757.06"/>
    <n v="3023.97"/>
    <n v="2388.9362999999998"/>
    <n v="74057.025299999994"/>
    <n v="85468.86"/>
    <n v="-11411.834700000007"/>
    <n v="-0.15409523477038725"/>
    <s v="Loss"/>
    <x v="0"/>
    <n v="0.21"/>
    <s v="Cash"/>
    <s v="Online"/>
    <s v="East-Eve"/>
  </r>
  <r>
    <n v="1014"/>
    <x v="109"/>
    <x v="1"/>
    <x v="2"/>
    <n v="7"/>
    <x v="2"/>
    <n v="1"/>
    <n v="4705.46"/>
    <n v="4747.07"/>
    <n v="3465.3610999999996"/>
    <n v="24257.527699999999"/>
    <n v="32938.22"/>
    <n v="-8680.6923000000024"/>
    <n v="-0.35785560702461872"/>
    <s v="Loss"/>
    <x v="1"/>
    <n v="0.27"/>
    <s v="Bank Transfer"/>
    <s v="Retail"/>
    <s v="East-David"/>
  </r>
  <r>
    <n v="1014"/>
    <x v="110"/>
    <x v="0"/>
    <x v="0"/>
    <n v="49"/>
    <x v="1"/>
    <n v="1"/>
    <n v="493.35"/>
    <n v="799.27"/>
    <n v="719.34299999999996"/>
    <n v="35247.807000000001"/>
    <n v="24174.15"/>
    <n v="11073.656999999999"/>
    <n v="0.31416584299840267"/>
    <s v="Profit"/>
    <x v="1"/>
    <n v="0.1"/>
    <s v="Bank Transfer"/>
    <s v="Online"/>
    <s v="West-Bob"/>
  </r>
  <r>
    <n v="1014"/>
    <x v="111"/>
    <x v="3"/>
    <x v="1"/>
    <n v="3"/>
    <x v="3"/>
    <n v="1"/>
    <n v="2468.29"/>
    <n v="2723.13"/>
    <n v="2505.2796000000003"/>
    <n v="7515.8388000000004"/>
    <n v="7404.87"/>
    <n v="110.96880000000056"/>
    <n v="1.4764659401689209E-2"/>
    <s v="Profit"/>
    <x v="0"/>
    <n v="0.08"/>
    <s v="Cash"/>
    <s v="Retail"/>
    <s v="North-Alice"/>
  </r>
  <r>
    <n v="1014"/>
    <x v="112"/>
    <x v="1"/>
    <x v="1"/>
    <n v="9"/>
    <x v="3"/>
    <n v="1"/>
    <n v="132.47"/>
    <n v="316.39"/>
    <n v="272.09539999999998"/>
    <n v="2448.8585999999996"/>
    <n v="1192.23"/>
    <n v="1256.6285999999996"/>
    <n v="0.51314869711138067"/>
    <s v="Profit"/>
    <x v="1"/>
    <n v="0.14000000000000001"/>
    <s v="Credit Card"/>
    <s v="Online"/>
    <s v="North-David"/>
  </r>
  <r>
    <n v="1014"/>
    <x v="113"/>
    <x v="1"/>
    <x v="0"/>
    <n v="44"/>
    <x v="0"/>
    <n v="1"/>
    <n v="2257.48"/>
    <n v="2747.81"/>
    <n v="2005.9013"/>
    <n v="88259.657200000001"/>
    <n v="99329.12"/>
    <n v="-11069.462799999994"/>
    <n v="-0.12541928159675647"/>
    <s v="Loss"/>
    <x v="0"/>
    <n v="0.27"/>
    <s v="Cash"/>
    <s v="Online"/>
    <s v="West-David"/>
  </r>
  <r>
    <n v="1014"/>
    <x v="17"/>
    <x v="3"/>
    <x v="3"/>
    <n v="38"/>
    <x v="0"/>
    <n v="1"/>
    <n v="2091.21"/>
    <n v="2527"/>
    <n v="2501.73"/>
    <n v="95065.74"/>
    <n v="79465.98"/>
    <n v="15599.760000000009"/>
    <n v="0.16409444664292319"/>
    <s v="Profit"/>
    <x v="0"/>
    <n v="0.01"/>
    <s v="Credit Card"/>
    <s v="Online"/>
    <s v="South-Alice"/>
  </r>
  <r>
    <n v="1014"/>
    <x v="114"/>
    <x v="4"/>
    <x v="2"/>
    <n v="48"/>
    <x v="1"/>
    <n v="1"/>
    <n v="556.72"/>
    <n v="665.07"/>
    <n v="658.41930000000002"/>
    <n v="31604.126400000001"/>
    <n v="26722.560000000001"/>
    <n v="4881.5663999999997"/>
    <n v="0.15445977965712729"/>
    <s v="Profit"/>
    <x v="0"/>
    <n v="0.01"/>
    <s v="Bank Transfer"/>
    <s v="Retail"/>
    <s v="East-Charlie"/>
  </r>
  <r>
    <n v="1014"/>
    <x v="115"/>
    <x v="1"/>
    <x v="3"/>
    <n v="26"/>
    <x v="1"/>
    <n v="1"/>
    <n v="433.19"/>
    <n v="800.6"/>
    <n v="640.48"/>
    <n v="16652.480000000003"/>
    <n v="11262.94"/>
    <n v="5389.5400000000027"/>
    <n v="0.3236478890831877"/>
    <s v="Profit"/>
    <x v="0"/>
    <n v="0.2"/>
    <s v="Cash"/>
    <s v="Online"/>
    <s v="South-David"/>
  </r>
  <r>
    <n v="1014"/>
    <x v="116"/>
    <x v="1"/>
    <x v="2"/>
    <n v="4"/>
    <x v="1"/>
    <n v="1"/>
    <n v="854.68"/>
    <n v="1115.24"/>
    <n v="847.58240000000001"/>
    <n v="3390.3296"/>
    <n v="3418.72"/>
    <n v="-28.390399999999772"/>
    <n v="-8.3739350887889405E-3"/>
    <s v="Loss"/>
    <x v="1"/>
    <n v="0.24"/>
    <s v="Credit Card"/>
    <s v="Retail"/>
    <s v="East-David"/>
  </r>
  <r>
    <n v="1014"/>
    <x v="117"/>
    <x v="1"/>
    <x v="0"/>
    <n v="17"/>
    <x v="0"/>
    <n v="1"/>
    <n v="3184.65"/>
    <n v="3204.01"/>
    <n v="2563.2080000000005"/>
    <n v="43574.536000000007"/>
    <n v="54139.05"/>
    <n v="-10564.513999999996"/>
    <n v="-0.24244696489711318"/>
    <s v="Loss"/>
    <x v="1"/>
    <n v="0.2"/>
    <s v="Bank Transfer"/>
    <s v="Online"/>
    <s v="West-David"/>
  </r>
  <r>
    <n v="1015"/>
    <x v="118"/>
    <x v="1"/>
    <x v="3"/>
    <n v="30"/>
    <x v="0"/>
    <n v="1"/>
    <n v="2680.22"/>
    <n v="3027.92"/>
    <n v="2270.94"/>
    <n v="68128.200000000012"/>
    <n v="80406.599999999991"/>
    <n v="-12278.39999999998"/>
    <n v="-0.1802249288840741"/>
    <s v="Loss"/>
    <x v="0"/>
    <n v="0.25"/>
    <s v="Bank Transfer"/>
    <s v="Online"/>
    <s v="South-David"/>
  </r>
  <r>
    <n v="1015"/>
    <x v="119"/>
    <x v="3"/>
    <x v="2"/>
    <n v="19"/>
    <x v="2"/>
    <n v="1"/>
    <n v="433.54"/>
    <n v="445.48"/>
    <n v="316.29079999999999"/>
    <n v="6009.5252"/>
    <n v="8237.26"/>
    <n v="-2227.7348000000002"/>
    <n v="-0.37070063372061407"/>
    <s v="Loss"/>
    <x v="1"/>
    <n v="0.28999999999999998"/>
    <s v="Bank Transfer"/>
    <s v="Retail"/>
    <s v="East-Alice"/>
  </r>
  <r>
    <n v="1015"/>
    <x v="120"/>
    <x v="4"/>
    <x v="2"/>
    <n v="23"/>
    <x v="3"/>
    <n v="1"/>
    <n v="2644.77"/>
    <n v="2684.83"/>
    <n v="2040.4708000000001"/>
    <n v="46930.828399999999"/>
    <n v="60829.71"/>
    <n v="-13898.881600000001"/>
    <n v="-0.29615674970697942"/>
    <s v="Loss"/>
    <x v="1"/>
    <n v="0.24"/>
    <s v="Cash"/>
    <s v="Online"/>
    <s v="East-Charlie"/>
  </r>
  <r>
    <n v="1015"/>
    <x v="121"/>
    <x v="2"/>
    <x v="2"/>
    <n v="32"/>
    <x v="1"/>
    <n v="1"/>
    <n v="970.51"/>
    <n v="1330.84"/>
    <n v="1250.9895999999999"/>
    <n v="40031.667199999996"/>
    <n v="31056.32"/>
    <n v="8975.3471999999965"/>
    <n v="0.22420618045106044"/>
    <s v="Profit"/>
    <x v="0"/>
    <n v="0.06"/>
    <s v="Cash"/>
    <s v="Retail"/>
    <s v="East-Eve"/>
  </r>
  <r>
    <n v="1015"/>
    <x v="122"/>
    <x v="4"/>
    <x v="1"/>
    <n v="23"/>
    <x v="0"/>
    <n v="1"/>
    <n v="2937.94"/>
    <n v="3007.53"/>
    <n v="2917.3041000000003"/>
    <n v="67097.994300000006"/>
    <n v="67572.62"/>
    <n v="-474.62569999998959"/>
    <n v="-7.0736197847867648E-3"/>
    <s v="Loss"/>
    <x v="0"/>
    <n v="0.03"/>
    <s v="Cash"/>
    <s v="Retail"/>
    <s v="North-Charlie"/>
  </r>
  <r>
    <n v="1015"/>
    <x v="123"/>
    <x v="2"/>
    <x v="2"/>
    <n v="1"/>
    <x v="1"/>
    <n v="1"/>
    <n v="2928.74"/>
    <n v="3027.74"/>
    <n v="2573.5789999999997"/>
    <n v="2573.5789999999997"/>
    <n v="2928.74"/>
    <n v="-355.16100000000006"/>
    <n v="-0.1380027580268568"/>
    <s v="Loss"/>
    <x v="1"/>
    <n v="0.15"/>
    <s v="Bank Transfer"/>
    <s v="Retail"/>
    <s v="East-Eve"/>
  </r>
  <r>
    <n v="1015"/>
    <x v="124"/>
    <x v="1"/>
    <x v="3"/>
    <n v="30"/>
    <x v="0"/>
    <n v="1"/>
    <n v="261.56"/>
    <n v="371.4"/>
    <n v="297.12"/>
    <n v="8913.6"/>
    <n v="7846.8"/>
    <n v="1066.8000000000002"/>
    <n v="0.11968228325255791"/>
    <s v="Profit"/>
    <x v="0"/>
    <n v="0.2"/>
    <s v="Bank Transfer"/>
    <s v="Retail"/>
    <s v="South-David"/>
  </r>
  <r>
    <n v="1015"/>
    <x v="125"/>
    <x v="1"/>
    <x v="3"/>
    <n v="22"/>
    <x v="3"/>
    <n v="1"/>
    <n v="4275.59"/>
    <n v="4576.72"/>
    <n v="4485.1855999999998"/>
    <n v="98674.083200000008"/>
    <n v="94062.98000000001"/>
    <n v="4611.1031999999977"/>
    <n v="4.6730641425407206E-2"/>
    <s v="Profit"/>
    <x v="0"/>
    <n v="0.02"/>
    <s v="Cash"/>
    <s v="Retail"/>
    <s v="South-David"/>
  </r>
  <r>
    <n v="1015"/>
    <x v="50"/>
    <x v="0"/>
    <x v="2"/>
    <n v="35"/>
    <x v="2"/>
    <n v="1"/>
    <n v="3461.15"/>
    <n v="3631.75"/>
    <n v="2651.1774999999998"/>
    <n v="92791.212499999994"/>
    <n v="121140.25"/>
    <n v="-28349.037500000006"/>
    <n v="-0.30551424791437021"/>
    <s v="Loss"/>
    <x v="0"/>
    <n v="0.27"/>
    <s v="Credit Card"/>
    <s v="Online"/>
    <s v="East-Bob"/>
  </r>
  <r>
    <n v="1015"/>
    <x v="126"/>
    <x v="1"/>
    <x v="1"/>
    <n v="9"/>
    <x v="3"/>
    <n v="1"/>
    <n v="4680.3500000000004"/>
    <n v="4758.1099999999997"/>
    <n v="4520.2044999999998"/>
    <n v="40681.840499999998"/>
    <n v="42123.15"/>
    <n v="-1441.309500000003"/>
    <n v="-3.5428817435140453E-2"/>
    <s v="Loss"/>
    <x v="0"/>
    <n v="0.05"/>
    <s v="Bank Transfer"/>
    <s v="Online"/>
    <s v="North-David"/>
  </r>
  <r>
    <n v="1016"/>
    <x v="127"/>
    <x v="1"/>
    <x v="0"/>
    <n v="46"/>
    <x v="2"/>
    <n v="1"/>
    <n v="1023.5"/>
    <n v="1164.4100000000001"/>
    <n v="838.37520000000006"/>
    <n v="38565.2592"/>
    <n v="47081"/>
    <n v="-8515.7407999999996"/>
    <n v="-0.22081378361382825"/>
    <s v="Loss"/>
    <x v="0"/>
    <n v="0.28000000000000003"/>
    <s v="Credit Card"/>
    <s v="Retail"/>
    <s v="West-David"/>
  </r>
  <r>
    <n v="1016"/>
    <x v="0"/>
    <x v="3"/>
    <x v="0"/>
    <n v="16"/>
    <x v="1"/>
    <n v="1"/>
    <n v="4457.68"/>
    <n v="4743.03"/>
    <n v="3841.8543"/>
    <n v="61469.668799999999"/>
    <n v="71322.880000000005"/>
    <n v="-9853.2112000000052"/>
    <n v="-0.16029387163380984"/>
    <s v="Loss"/>
    <x v="0"/>
    <n v="0.19"/>
    <s v="Cash"/>
    <s v="Online"/>
    <s v="West-Alice"/>
  </r>
  <r>
    <n v="1016"/>
    <x v="112"/>
    <x v="4"/>
    <x v="3"/>
    <n v="24"/>
    <x v="1"/>
    <n v="1"/>
    <n v="88.44"/>
    <n v="338.94"/>
    <n v="240.64739999999998"/>
    <n v="5775.5375999999997"/>
    <n v="2122.56"/>
    <n v="3652.9775999999997"/>
    <n v="0.63249135457104455"/>
    <s v="Profit"/>
    <x v="1"/>
    <n v="0.28999999999999998"/>
    <s v="Cash"/>
    <s v="Online"/>
    <s v="South-Charlie"/>
  </r>
  <r>
    <n v="1016"/>
    <x v="122"/>
    <x v="2"/>
    <x v="0"/>
    <n v="11"/>
    <x v="3"/>
    <n v="1"/>
    <n v="3094.57"/>
    <n v="3565.6"/>
    <n v="3209.04"/>
    <n v="35299.440000000002"/>
    <n v="34040.270000000004"/>
    <n v="1259.1699999999983"/>
    <n v="3.5671104130830356E-2"/>
    <s v="Profit"/>
    <x v="0"/>
    <n v="0.1"/>
    <s v="Credit Card"/>
    <s v="Retail"/>
    <s v="West-Eve"/>
  </r>
  <r>
    <n v="1016"/>
    <x v="82"/>
    <x v="2"/>
    <x v="0"/>
    <n v="21"/>
    <x v="3"/>
    <n v="1"/>
    <n v="2863.74"/>
    <n v="2953.91"/>
    <n v="2658.5189999999998"/>
    <n v="55828.899000000005"/>
    <n v="60138.539999999994"/>
    <n v="-4309.6409999999887"/>
    <n v="-7.719373079522826E-2"/>
    <s v="Loss"/>
    <x v="1"/>
    <n v="0.1"/>
    <s v="Bank Transfer"/>
    <s v="Retail"/>
    <s v="West-Eve"/>
  </r>
  <r>
    <n v="1016"/>
    <x v="67"/>
    <x v="2"/>
    <x v="0"/>
    <n v="7"/>
    <x v="0"/>
    <n v="1"/>
    <n v="282.94"/>
    <n v="779.33"/>
    <n v="561.11760000000004"/>
    <n v="3927.8232000000003"/>
    <n v="1980.58"/>
    <n v="1947.2432000000003"/>
    <n v="0.49575632630307803"/>
    <s v="Profit"/>
    <x v="0"/>
    <n v="0.28000000000000003"/>
    <s v="Credit Card"/>
    <s v="Online"/>
    <s v="West-Eve"/>
  </r>
  <r>
    <n v="1016"/>
    <x v="128"/>
    <x v="1"/>
    <x v="3"/>
    <n v="4"/>
    <x v="0"/>
    <n v="1"/>
    <n v="688.98"/>
    <n v="863.81"/>
    <n v="630.58129999999994"/>
    <n v="2522.3251999999998"/>
    <n v="2755.92"/>
    <n v="-233.5948000000003"/>
    <n v="-9.2610897278431956E-2"/>
    <s v="Loss"/>
    <x v="1"/>
    <n v="0.27"/>
    <s v="Credit Card"/>
    <s v="Retail"/>
    <s v="South-David"/>
  </r>
  <r>
    <n v="1016"/>
    <x v="77"/>
    <x v="1"/>
    <x v="3"/>
    <n v="6"/>
    <x v="1"/>
    <n v="1"/>
    <n v="4502.09"/>
    <n v="4879.72"/>
    <n v="4245.3564000000006"/>
    <n v="25472.1384"/>
    <n v="27012.54"/>
    <n v="-1540.4016000000011"/>
    <n v="-6.0473980464867488E-2"/>
    <s v="Loss"/>
    <x v="1"/>
    <n v="0.13"/>
    <s v="Credit Card"/>
    <s v="Online"/>
    <s v="South-David"/>
  </r>
  <r>
    <n v="1016"/>
    <x v="129"/>
    <x v="2"/>
    <x v="2"/>
    <n v="26"/>
    <x v="2"/>
    <n v="1"/>
    <n v="4906.8500000000004"/>
    <n v="4954.3900000000003"/>
    <n v="3715.7925000000005"/>
    <n v="96610.60500000001"/>
    <n v="127578.1"/>
    <n v="-30967.494999999995"/>
    <n v="-0.32053929276190735"/>
    <s v="Loss"/>
    <x v="1"/>
    <n v="0.25"/>
    <s v="Bank Transfer"/>
    <s v="Online"/>
    <s v="East-Eve"/>
  </r>
  <r>
    <n v="1016"/>
    <x v="130"/>
    <x v="3"/>
    <x v="0"/>
    <n v="2"/>
    <x v="3"/>
    <n v="1"/>
    <n v="3144.82"/>
    <n v="3480.58"/>
    <n v="3062.9103999999998"/>
    <n v="6125.8207999999995"/>
    <n v="6289.64"/>
    <n v="-163.81920000000082"/>
    <n v="-2.6742408135739269E-2"/>
    <s v="Loss"/>
    <x v="0"/>
    <n v="0.12"/>
    <s v="Cash"/>
    <s v="Retail"/>
    <s v="West-Alice"/>
  </r>
  <r>
    <n v="1016"/>
    <x v="131"/>
    <x v="4"/>
    <x v="1"/>
    <n v="3"/>
    <x v="3"/>
    <n v="1"/>
    <n v="3401.87"/>
    <n v="3733.71"/>
    <n v="3509.6873999999998"/>
    <n v="10529.0622"/>
    <n v="10205.61"/>
    <n v="323.45219999999972"/>
    <n v="3.0719943890159536E-2"/>
    <s v="Profit"/>
    <x v="0"/>
    <n v="0.06"/>
    <s v="Bank Transfer"/>
    <s v="Retail"/>
    <s v="North-Charlie"/>
  </r>
  <r>
    <n v="1016"/>
    <x v="132"/>
    <x v="2"/>
    <x v="1"/>
    <n v="41"/>
    <x v="0"/>
    <n v="1"/>
    <n v="3386.49"/>
    <n v="3430.99"/>
    <n v="2710.4821000000002"/>
    <n v="111129.76610000001"/>
    <n v="138846.09"/>
    <n v="-27716.323899999988"/>
    <n v="-0.24940504126553711"/>
    <s v="Loss"/>
    <x v="1"/>
    <n v="0.21"/>
    <s v="Bank Transfer"/>
    <s v="Retail"/>
    <s v="North-Eve"/>
  </r>
  <r>
    <n v="1016"/>
    <x v="45"/>
    <x v="2"/>
    <x v="2"/>
    <n v="38"/>
    <x v="3"/>
    <n v="1"/>
    <n v="3883.38"/>
    <n v="4152.72"/>
    <n v="3073.0128"/>
    <n v="116774.48640000001"/>
    <n v="147568.44"/>
    <n v="-30793.953599999993"/>
    <n v="-0.26370446618380494"/>
    <s v="Loss"/>
    <x v="0"/>
    <n v="0.26"/>
    <s v="Cash"/>
    <s v="Online"/>
    <s v="East-Eve"/>
  </r>
  <r>
    <n v="1017"/>
    <x v="133"/>
    <x v="4"/>
    <x v="0"/>
    <n v="2"/>
    <x v="0"/>
    <n v="1"/>
    <n v="728.41"/>
    <n v="1094.92"/>
    <n v="832.13920000000007"/>
    <n v="1664.2784000000001"/>
    <n v="1456.82"/>
    <n v="207.45840000000021"/>
    <n v="0.12465366371395567"/>
    <s v="Profit"/>
    <x v="1"/>
    <n v="0.24"/>
    <s v="Cash"/>
    <s v="Retail"/>
    <s v="West-Charlie"/>
  </r>
  <r>
    <n v="1017"/>
    <x v="134"/>
    <x v="4"/>
    <x v="2"/>
    <n v="35"/>
    <x v="1"/>
    <n v="1"/>
    <n v="4480.63"/>
    <n v="4884.12"/>
    <n v="4688.7551999999996"/>
    <n v="164106.43199999997"/>
    <n v="156822.05000000002"/>
    <n v="7284.3819999999541"/>
    <n v="4.4388156583649051E-2"/>
    <s v="Profit"/>
    <x v="1"/>
    <n v="0.04"/>
    <s v="Cash"/>
    <s v="Online"/>
    <s v="East-Charlie"/>
  </r>
  <r>
    <n v="1017"/>
    <x v="135"/>
    <x v="3"/>
    <x v="1"/>
    <n v="43"/>
    <x v="1"/>
    <n v="1"/>
    <n v="1454.8"/>
    <n v="1674.97"/>
    <n v="1624.7209"/>
    <n v="69862.998700000011"/>
    <n v="62556.4"/>
    <n v="7306.5987000000096"/>
    <n v="0.10458467051171694"/>
    <s v="Profit"/>
    <x v="1"/>
    <n v="0.03"/>
    <s v="Credit Card"/>
    <s v="Online"/>
    <s v="North-Alice"/>
  </r>
  <r>
    <n v="1017"/>
    <x v="136"/>
    <x v="2"/>
    <x v="1"/>
    <n v="6"/>
    <x v="1"/>
    <n v="1"/>
    <n v="2594.42"/>
    <n v="3081.04"/>
    <n v="2772.9360000000001"/>
    <n v="16637.615999999998"/>
    <n v="15566.52"/>
    <n v="1071.0959999999977"/>
    <n v="6.4377973382724898E-2"/>
    <s v="Profit"/>
    <x v="0"/>
    <n v="0.1"/>
    <s v="Bank Transfer"/>
    <s v="Retail"/>
    <s v="North-Eve"/>
  </r>
  <r>
    <n v="1017"/>
    <x v="137"/>
    <x v="1"/>
    <x v="1"/>
    <n v="23"/>
    <x v="3"/>
    <n v="1"/>
    <n v="1771.52"/>
    <n v="2147.8000000000002"/>
    <n v="1997.454"/>
    <n v="45941.441999999995"/>
    <n v="40744.959999999999"/>
    <n v="5196.4819999999963"/>
    <n v="0.11311099029063991"/>
    <s v="Profit"/>
    <x v="1"/>
    <n v="7.0000000000000007E-2"/>
    <s v="Bank Transfer"/>
    <s v="Online"/>
    <s v="North-David"/>
  </r>
  <r>
    <n v="1017"/>
    <x v="138"/>
    <x v="3"/>
    <x v="3"/>
    <n v="18"/>
    <x v="1"/>
    <n v="1"/>
    <n v="1069.73"/>
    <n v="1180.04"/>
    <n v="920.43119999999999"/>
    <n v="16567.761600000002"/>
    <n v="19255.14"/>
    <n v="-2687.3783999999978"/>
    <n v="-0.16220527943859342"/>
    <s v="Loss"/>
    <x v="0"/>
    <n v="0.22"/>
    <s v="Bank Transfer"/>
    <s v="Online"/>
    <s v="South-Alice"/>
  </r>
  <r>
    <n v="1017"/>
    <x v="139"/>
    <x v="0"/>
    <x v="1"/>
    <n v="28"/>
    <x v="2"/>
    <n v="1"/>
    <n v="3780.91"/>
    <n v="3892.73"/>
    <n v="3503.4569999999999"/>
    <n v="98096.796000000002"/>
    <n v="105865.48"/>
    <n v="-7768.6839999999938"/>
    <n v="-7.9194064605331183E-2"/>
    <s v="Loss"/>
    <x v="0"/>
    <n v="0.1"/>
    <s v="Cash"/>
    <s v="Retail"/>
    <s v="North-Bob"/>
  </r>
  <r>
    <n v="1017"/>
    <x v="140"/>
    <x v="0"/>
    <x v="2"/>
    <n v="29"/>
    <x v="2"/>
    <n v="1"/>
    <n v="3410.49"/>
    <n v="3481.72"/>
    <n v="2646.1071999999999"/>
    <n v="76737.108799999987"/>
    <n v="98904.209999999992"/>
    <n v="-22167.101200000005"/>
    <n v="-0.28887068520882309"/>
    <s v="Loss"/>
    <x v="1"/>
    <n v="0.24"/>
    <s v="Bank Transfer"/>
    <s v="Retail"/>
    <s v="East-Bob"/>
  </r>
  <r>
    <n v="1017"/>
    <x v="20"/>
    <x v="4"/>
    <x v="1"/>
    <n v="16"/>
    <x v="1"/>
    <n v="1"/>
    <n v="102.23"/>
    <n v="167.12"/>
    <n v="160.43520000000001"/>
    <n v="2566.9632000000001"/>
    <n v="1635.68"/>
    <n v="931.28320000000008"/>
    <n v="0.36279569570767511"/>
    <s v="Profit"/>
    <x v="1"/>
    <n v="0.04"/>
    <s v="Credit Card"/>
    <s v="Retail"/>
    <s v="North-Charlie"/>
  </r>
  <r>
    <n v="1017"/>
    <x v="141"/>
    <x v="1"/>
    <x v="2"/>
    <n v="1"/>
    <x v="0"/>
    <n v="1"/>
    <n v="172.59"/>
    <n v="404.69"/>
    <n v="287.32990000000001"/>
    <n v="287.32990000000001"/>
    <n v="172.59"/>
    <n v="114.73990000000001"/>
    <n v="0.39933156973917439"/>
    <s v="Profit"/>
    <x v="0"/>
    <n v="0.28999999999999998"/>
    <s v="Bank Transfer"/>
    <s v="Online"/>
    <s v="East-David"/>
  </r>
  <r>
    <n v="1017"/>
    <x v="142"/>
    <x v="3"/>
    <x v="2"/>
    <n v="33"/>
    <x v="0"/>
    <n v="1"/>
    <n v="1551.25"/>
    <n v="1994.01"/>
    <n v="1834.4892"/>
    <n v="60538.143600000003"/>
    <n v="51191.25"/>
    <n v="9346.8936000000031"/>
    <n v="0.15439676614067832"/>
    <s v="Profit"/>
    <x v="0"/>
    <n v="0.08"/>
    <s v="Cash"/>
    <s v="Online"/>
    <s v="East-Alice"/>
  </r>
  <r>
    <n v="1017"/>
    <x v="143"/>
    <x v="2"/>
    <x v="1"/>
    <n v="27"/>
    <x v="3"/>
    <n v="1"/>
    <n v="927.89"/>
    <n v="1399.09"/>
    <n v="1021.3356999999999"/>
    <n v="27576.063900000001"/>
    <n v="25053.03"/>
    <n v="2523.0339000000022"/>
    <n v="9.149361958071188E-2"/>
    <s v="Profit"/>
    <x v="0"/>
    <n v="0.27"/>
    <s v="Credit Card"/>
    <s v="Online"/>
    <s v="North-Eve"/>
  </r>
  <r>
    <n v="1017"/>
    <x v="62"/>
    <x v="1"/>
    <x v="2"/>
    <n v="35"/>
    <x v="3"/>
    <n v="1"/>
    <n v="4867.6400000000003"/>
    <n v="5287.05"/>
    <n v="3806.6759999999999"/>
    <n v="133233.66"/>
    <n v="170367.40000000002"/>
    <n v="-37133.74000000002"/>
    <n v="-0.27871140070759909"/>
    <s v="Loss"/>
    <x v="0"/>
    <n v="0.28000000000000003"/>
    <s v="Credit Card"/>
    <s v="Online"/>
    <s v="East-David"/>
  </r>
  <r>
    <n v="1017"/>
    <x v="69"/>
    <x v="4"/>
    <x v="3"/>
    <n v="19"/>
    <x v="3"/>
    <n v="1"/>
    <n v="1233.1199999999999"/>
    <n v="1697.19"/>
    <n v="1527.471"/>
    <n v="29021.949000000001"/>
    <n v="23429.279999999999"/>
    <n v="5592.6690000000017"/>
    <n v="0.19270480421559563"/>
    <s v="Profit"/>
    <x v="1"/>
    <n v="0.1"/>
    <s v="Credit Card"/>
    <s v="Online"/>
    <s v="South-Charlie"/>
  </r>
  <r>
    <n v="1017"/>
    <x v="144"/>
    <x v="2"/>
    <x v="2"/>
    <n v="1"/>
    <x v="1"/>
    <n v="1"/>
    <n v="641.67999999999995"/>
    <n v="752.24"/>
    <n v="586.74720000000002"/>
    <n v="586.74720000000002"/>
    <n v="641.67999999999995"/>
    <n v="-54.932799999999929"/>
    <n v="-9.3622602715445299E-2"/>
    <s v="Loss"/>
    <x v="1"/>
    <n v="0.22"/>
    <s v="Bank Transfer"/>
    <s v="Online"/>
    <s v="East-Eve"/>
  </r>
  <r>
    <n v="1018"/>
    <x v="145"/>
    <x v="4"/>
    <x v="1"/>
    <n v="9"/>
    <x v="3"/>
    <n v="1"/>
    <n v="3161.09"/>
    <n v="3216.42"/>
    <n v="2669.6286"/>
    <n v="24026.657399999996"/>
    <n v="28449.81"/>
    <n v="-4423.1526000000049"/>
    <n v="-0.18409354769423755"/>
    <s v="Loss"/>
    <x v="1"/>
    <n v="0.17"/>
    <s v="Bank Transfer"/>
    <s v="Online"/>
    <s v="North-Charlie"/>
  </r>
  <r>
    <n v="1018"/>
    <x v="146"/>
    <x v="3"/>
    <x v="0"/>
    <n v="24"/>
    <x v="3"/>
    <n v="1"/>
    <n v="1362.78"/>
    <n v="1729.81"/>
    <n v="1228.1650999999999"/>
    <n v="29475.9624"/>
    <n v="32706.720000000001"/>
    <n v="-3230.7576000000008"/>
    <n v="-0.10960651788590967"/>
    <s v="Loss"/>
    <x v="1"/>
    <n v="0.28999999999999998"/>
    <s v="Bank Transfer"/>
    <s v="Online"/>
    <s v="West-Alice"/>
  </r>
  <r>
    <n v="1018"/>
    <x v="147"/>
    <x v="2"/>
    <x v="1"/>
    <n v="28"/>
    <x v="2"/>
    <n v="1"/>
    <n v="1006.14"/>
    <n v="1043.45"/>
    <n v="886.9325"/>
    <n v="24834.11"/>
    <n v="28171.919999999998"/>
    <n v="-3337.8099999999977"/>
    <n v="-0.13440425286027957"/>
    <s v="Loss"/>
    <x v="1"/>
    <n v="0.15"/>
    <s v="Bank Transfer"/>
    <s v="Retail"/>
    <s v="North-Eve"/>
  </r>
  <r>
    <n v="1018"/>
    <x v="148"/>
    <x v="1"/>
    <x v="1"/>
    <n v="20"/>
    <x v="1"/>
    <n v="1"/>
    <n v="1140.6199999999999"/>
    <n v="1258.6300000000001"/>
    <n v="931.38620000000003"/>
    <n v="18627.724000000002"/>
    <n v="22812.399999999998"/>
    <n v="-4184.6759999999958"/>
    <n v="-0.22464773474204339"/>
    <s v="Loss"/>
    <x v="0"/>
    <n v="0.26"/>
    <s v="Bank Transfer"/>
    <s v="Online"/>
    <s v="North-David"/>
  </r>
  <r>
    <n v="1018"/>
    <x v="149"/>
    <x v="3"/>
    <x v="2"/>
    <n v="11"/>
    <x v="2"/>
    <n v="1"/>
    <n v="2414.8200000000002"/>
    <n v="2519.0700000000002"/>
    <n v="2519.0700000000002"/>
    <n v="27709.77"/>
    <n v="26563.02"/>
    <n v="1146.75"/>
    <n v="4.1384320403958605E-2"/>
    <s v="Profit"/>
    <x v="0"/>
    <n v="0"/>
    <s v="Cash"/>
    <s v="Online"/>
    <s v="East-Alice"/>
  </r>
  <r>
    <n v="1018"/>
    <x v="61"/>
    <x v="1"/>
    <x v="2"/>
    <n v="25"/>
    <x v="1"/>
    <n v="1"/>
    <n v="739.63"/>
    <n v="1103.03"/>
    <n v="816.24220000000003"/>
    <n v="20406.055"/>
    <n v="18490.75"/>
    <n v="1915.3050000000003"/>
    <n v="9.3859641170231101E-2"/>
    <s v="Profit"/>
    <x v="1"/>
    <n v="0.26"/>
    <s v="Bank Transfer"/>
    <s v="Retail"/>
    <s v="East-David"/>
  </r>
  <r>
    <n v="1018"/>
    <x v="14"/>
    <x v="1"/>
    <x v="3"/>
    <n v="17"/>
    <x v="2"/>
    <n v="1"/>
    <n v="355.72"/>
    <n v="438.27"/>
    <n v="411.97379999999998"/>
    <n v="7003.5545999999995"/>
    <n v="6047.2400000000007"/>
    <n v="956.31459999999879"/>
    <n v="0.13654703284529243"/>
    <s v="Profit"/>
    <x v="0"/>
    <n v="0.06"/>
    <s v="Bank Transfer"/>
    <s v="Online"/>
    <s v="South-David"/>
  </r>
  <r>
    <n v="1018"/>
    <x v="69"/>
    <x v="1"/>
    <x v="0"/>
    <n v="25"/>
    <x v="0"/>
    <n v="1"/>
    <n v="4660.82"/>
    <n v="5011.43"/>
    <n v="4660.6298999999999"/>
    <n v="116515.7475"/>
    <n v="116520.5"/>
    <n v="-4.7525000000023283"/>
    <n v="-4.0788477969489301E-5"/>
    <s v="Loss"/>
    <x v="1"/>
    <n v="7.0000000000000007E-2"/>
    <s v="Bank Transfer"/>
    <s v="Online"/>
    <s v="West-David"/>
  </r>
  <r>
    <n v="1018"/>
    <x v="150"/>
    <x v="3"/>
    <x v="2"/>
    <n v="1"/>
    <x v="3"/>
    <n v="1"/>
    <n v="2315.83"/>
    <n v="2333.19"/>
    <n v="2309.8580999999999"/>
    <n v="2309.8580999999999"/>
    <n v="2315.83"/>
    <n v="-5.9719000000000051"/>
    <n v="-2.5853969124770069E-3"/>
    <s v="Loss"/>
    <x v="1"/>
    <n v="0.01"/>
    <s v="Cash"/>
    <s v="Retail"/>
    <s v="East-Alice"/>
  </r>
  <r>
    <n v="1019"/>
    <x v="101"/>
    <x v="0"/>
    <x v="2"/>
    <n v="38"/>
    <x v="2"/>
    <n v="1"/>
    <n v="3637.25"/>
    <n v="4096.96"/>
    <n v="3728.2336"/>
    <n v="141672.87680000003"/>
    <n v="138215.5"/>
    <n v="3457.3768000000273"/>
    <n v="2.4403942928898206E-2"/>
    <s v="Profit"/>
    <x v="0"/>
    <n v="0.09"/>
    <s v="Bank Transfer"/>
    <s v="Online"/>
    <s v="East-Bob"/>
  </r>
  <r>
    <n v="1019"/>
    <x v="151"/>
    <x v="1"/>
    <x v="0"/>
    <n v="16"/>
    <x v="2"/>
    <n v="1"/>
    <n v="97.24"/>
    <n v="487.03"/>
    <n v="379.88339999999999"/>
    <n v="6078.1343999999999"/>
    <n v="1555.84"/>
    <n v="4522.2943999999998"/>
    <n v="0.74402671977770019"/>
    <s v="Profit"/>
    <x v="1"/>
    <n v="0.22"/>
    <s v="Bank Transfer"/>
    <s v="Retail"/>
    <s v="West-David"/>
  </r>
  <r>
    <n v="1019"/>
    <x v="103"/>
    <x v="0"/>
    <x v="0"/>
    <n v="27"/>
    <x v="3"/>
    <n v="1"/>
    <n v="2387.52"/>
    <n v="2604.06"/>
    <n v="2187.4103999999998"/>
    <n v="59060.080799999996"/>
    <n v="64463.040000000001"/>
    <n v="-5402.9592000000048"/>
    <n v="-9.1482421405695152E-2"/>
    <s v="Loss"/>
    <x v="0"/>
    <n v="0.16"/>
    <s v="Cash"/>
    <s v="Online"/>
    <s v="West-Bob"/>
  </r>
  <r>
    <n v="1019"/>
    <x v="152"/>
    <x v="0"/>
    <x v="2"/>
    <n v="33"/>
    <x v="1"/>
    <n v="1"/>
    <n v="1362.31"/>
    <n v="1486.29"/>
    <n v="1218.7578000000001"/>
    <n v="40219.007400000002"/>
    <n v="44956.229999999996"/>
    <n v="-4737.2225999999937"/>
    <n v="-0.11778566668455356"/>
    <s v="Loss"/>
    <x v="0"/>
    <n v="0.18"/>
    <s v="Credit Card"/>
    <s v="Retail"/>
    <s v="East-Bob"/>
  </r>
  <r>
    <n v="1019"/>
    <x v="153"/>
    <x v="2"/>
    <x v="3"/>
    <n v="32"/>
    <x v="3"/>
    <n v="1"/>
    <n v="2866.47"/>
    <n v="3286.47"/>
    <n v="2990.6876999999999"/>
    <n v="95702.006399999998"/>
    <n v="91727.039999999994"/>
    <n v="3974.9664000000048"/>
    <n v="4.1534828260403167E-2"/>
    <s v="Profit"/>
    <x v="1"/>
    <n v="0.09"/>
    <s v="Credit Card"/>
    <s v="Online"/>
    <s v="South-Eve"/>
  </r>
  <r>
    <n v="1019"/>
    <x v="84"/>
    <x v="4"/>
    <x v="0"/>
    <n v="16"/>
    <x v="2"/>
    <n v="1"/>
    <n v="4977.78"/>
    <n v="4995.55"/>
    <n v="3746.6625000000004"/>
    <n v="59946.600000000006"/>
    <n v="79644.479999999996"/>
    <n v="-19697.87999999999"/>
    <n v="-0.32859044549649169"/>
    <s v="Loss"/>
    <x v="1"/>
    <n v="0.25"/>
    <s v="Credit Card"/>
    <s v="Online"/>
    <s v="West-Charlie"/>
  </r>
  <r>
    <n v="1019"/>
    <x v="95"/>
    <x v="1"/>
    <x v="2"/>
    <n v="36"/>
    <x v="2"/>
    <n v="1"/>
    <n v="1340.51"/>
    <n v="1567.92"/>
    <n v="1113.2231999999999"/>
    <n v="40076.035199999998"/>
    <n v="48258.36"/>
    <n v="-8182.3248000000021"/>
    <n v="-0.20417001729751955"/>
    <s v="Loss"/>
    <x v="1"/>
    <n v="0.28999999999999998"/>
    <s v="Cash"/>
    <s v="Online"/>
    <s v="East-David"/>
  </r>
  <r>
    <n v="1019"/>
    <x v="28"/>
    <x v="1"/>
    <x v="3"/>
    <n v="14"/>
    <x v="2"/>
    <n v="1"/>
    <n v="1614.19"/>
    <n v="1882.79"/>
    <n v="1412.0925"/>
    <n v="19769.294999999998"/>
    <n v="22598.66"/>
    <n v="-2829.3650000000016"/>
    <n v="-0.14311916535212824"/>
    <s v="Loss"/>
    <x v="1"/>
    <n v="0.25"/>
    <s v="Credit Card"/>
    <s v="Retail"/>
    <s v="South-David"/>
  </r>
  <r>
    <n v="1019"/>
    <x v="154"/>
    <x v="3"/>
    <x v="1"/>
    <n v="12"/>
    <x v="2"/>
    <n v="1"/>
    <n v="4745.18"/>
    <n v="5145.88"/>
    <n v="4168.1628000000001"/>
    <n v="50017.953600000001"/>
    <n v="56942.16"/>
    <n v="-6924.2064000000028"/>
    <n v="-0.13843442007591455"/>
    <s v="Loss"/>
    <x v="0"/>
    <n v="0.19"/>
    <s v="Credit Card"/>
    <s v="Online"/>
    <s v="North-Alice"/>
  </r>
  <r>
    <n v="1019"/>
    <x v="155"/>
    <x v="4"/>
    <x v="0"/>
    <n v="45"/>
    <x v="2"/>
    <n v="1"/>
    <n v="2590.64"/>
    <n v="3036.18"/>
    <n v="2884.3709999999996"/>
    <n v="129796.69499999999"/>
    <n v="116578.79999999999"/>
    <n v="13217.895000000004"/>
    <n v="0.10183537415956551"/>
    <s v="Profit"/>
    <x v="1"/>
    <n v="0.05"/>
    <s v="Bank Transfer"/>
    <s v="Retail"/>
    <s v="West-Charlie"/>
  </r>
  <r>
    <n v="1019"/>
    <x v="156"/>
    <x v="2"/>
    <x v="3"/>
    <n v="13"/>
    <x v="0"/>
    <n v="1"/>
    <n v="3102.73"/>
    <n v="3202.68"/>
    <n v="2914.4387999999999"/>
    <n v="37887.704399999995"/>
    <n v="40335.49"/>
    <n v="-2447.7856000000029"/>
    <n v="-6.4606331757592658E-2"/>
    <s v="Loss"/>
    <x v="1"/>
    <n v="0.09"/>
    <s v="Cash"/>
    <s v="Online"/>
    <s v="South-Eve"/>
  </r>
  <r>
    <n v="1019"/>
    <x v="79"/>
    <x v="4"/>
    <x v="1"/>
    <n v="18"/>
    <x v="0"/>
    <n v="1"/>
    <n v="3591.14"/>
    <n v="3822.99"/>
    <n v="3478.9209000000001"/>
    <n v="62620.576199999996"/>
    <n v="64640.52"/>
    <n v="-2019.9438000000009"/>
    <n v="-3.2256870226626898E-2"/>
    <s v="Loss"/>
    <x v="0"/>
    <n v="0.09"/>
    <s v="Credit Card"/>
    <s v="Online"/>
    <s v="North-Charlie"/>
  </r>
  <r>
    <n v="1019"/>
    <x v="62"/>
    <x v="3"/>
    <x v="2"/>
    <n v="28"/>
    <x v="1"/>
    <n v="1"/>
    <n v="3907.86"/>
    <n v="4205.37"/>
    <n v="3826.8867"/>
    <n v="107152.8276"/>
    <n v="109420.08"/>
    <n v="-2267.2523999999976"/>
    <n v="-2.1159053389273298E-2"/>
    <s v="Loss"/>
    <x v="1"/>
    <n v="0.09"/>
    <s v="Credit Card"/>
    <s v="Online"/>
    <s v="East-Alice"/>
  </r>
  <r>
    <n v="1019"/>
    <x v="144"/>
    <x v="1"/>
    <x v="0"/>
    <n v="31"/>
    <x v="0"/>
    <n v="1"/>
    <n v="333.69"/>
    <n v="685.1"/>
    <n v="657.69600000000003"/>
    <n v="20388.576000000001"/>
    <n v="10344.39"/>
    <n v="10044.186000000002"/>
    <n v="0.49263793606772738"/>
    <s v="Profit"/>
    <x v="1"/>
    <n v="0.04"/>
    <s v="Bank Transfer"/>
    <s v="Online"/>
    <s v="West-David"/>
  </r>
  <r>
    <n v="1020"/>
    <x v="157"/>
    <x v="4"/>
    <x v="2"/>
    <n v="4"/>
    <x v="2"/>
    <n v="1"/>
    <n v="3730"/>
    <n v="3893.6"/>
    <n v="2920.2"/>
    <n v="11680.8"/>
    <n v="14920"/>
    <n v="-3239.2000000000007"/>
    <n v="-0.2773097733031985"/>
    <s v="Loss"/>
    <x v="1"/>
    <n v="0.25"/>
    <s v="Bank Transfer"/>
    <s v="Retail"/>
    <s v="East-Charlie"/>
  </r>
  <r>
    <n v="1020"/>
    <x v="157"/>
    <x v="0"/>
    <x v="2"/>
    <n v="45"/>
    <x v="2"/>
    <n v="1"/>
    <n v="2188.4499999999998"/>
    <n v="2255.0500000000002"/>
    <n v="2006.9945000000002"/>
    <n v="90314.752500000017"/>
    <n v="98480.249999999985"/>
    <n v="-8165.4974999999686"/>
    <n v="-9.0411558178161058E-2"/>
    <s v="Loss"/>
    <x v="1"/>
    <n v="0.11"/>
    <s v="Bank Transfer"/>
    <s v="Retail"/>
    <s v="East-Bob"/>
  </r>
  <r>
    <n v="1020"/>
    <x v="48"/>
    <x v="2"/>
    <x v="1"/>
    <n v="26"/>
    <x v="2"/>
    <n v="1"/>
    <n v="4472.3500000000004"/>
    <n v="4770.42"/>
    <n v="4722.7157999999999"/>
    <n v="122790.61079999999"/>
    <n v="116281.1"/>
    <n v="6509.5107999999891"/>
    <n v="5.3013098946161359E-2"/>
    <s v="Profit"/>
    <x v="1"/>
    <n v="0.01"/>
    <s v="Credit Card"/>
    <s v="Retail"/>
    <s v="North-Eve"/>
  </r>
  <r>
    <n v="1020"/>
    <x v="158"/>
    <x v="4"/>
    <x v="2"/>
    <n v="29"/>
    <x v="3"/>
    <n v="1"/>
    <n v="184.05"/>
    <n v="675.91"/>
    <n v="608.31899999999996"/>
    <n v="17641.251"/>
    <n v="5337.4500000000007"/>
    <n v="12303.800999999999"/>
    <n v="0.6974449260996286"/>
    <s v="Profit"/>
    <x v="0"/>
    <n v="0.1"/>
    <s v="Cash"/>
    <s v="Retail"/>
    <s v="East-Charlie"/>
  </r>
  <r>
    <n v="1020"/>
    <x v="159"/>
    <x v="0"/>
    <x v="1"/>
    <n v="45"/>
    <x v="3"/>
    <n v="1"/>
    <n v="4268.45"/>
    <n v="4551.6000000000004"/>
    <n v="4187.4720000000007"/>
    <n v="188436.24000000005"/>
    <n v="192080.25"/>
    <n v="-3644.0099999999511"/>
    <n v="-1.9338159156646037E-2"/>
    <s v="Loss"/>
    <x v="1"/>
    <n v="0.08"/>
    <s v="Bank Transfer"/>
    <s v="Online"/>
    <s v="North-Bob"/>
  </r>
  <r>
    <n v="1020"/>
    <x v="160"/>
    <x v="2"/>
    <x v="0"/>
    <n v="19"/>
    <x v="0"/>
    <n v="1"/>
    <n v="1783.48"/>
    <n v="1931.56"/>
    <n v="1410.0388"/>
    <n v="26790.7372"/>
    <n v="33886.120000000003"/>
    <n v="-7095.382800000003"/>
    <n v="-0.26484462697054872"/>
    <s v="Loss"/>
    <x v="0"/>
    <n v="0.27"/>
    <s v="Bank Transfer"/>
    <s v="Retail"/>
    <s v="West-Eve"/>
  </r>
  <r>
    <n v="1020"/>
    <x v="14"/>
    <x v="3"/>
    <x v="3"/>
    <n v="33"/>
    <x v="1"/>
    <n v="1"/>
    <n v="4772.03"/>
    <n v="4805.17"/>
    <n v="3459.7224000000001"/>
    <n v="114170.8392"/>
    <n v="157476.99"/>
    <n v="-43306.150799999989"/>
    <n v="-0.37931008568779956"/>
    <s v="Loss"/>
    <x v="0"/>
    <n v="0.28000000000000003"/>
    <s v="Bank Transfer"/>
    <s v="Online"/>
    <s v="South-Alice"/>
  </r>
  <r>
    <n v="1021"/>
    <x v="161"/>
    <x v="2"/>
    <x v="1"/>
    <n v="22"/>
    <x v="3"/>
    <n v="1"/>
    <n v="1296.44"/>
    <n v="1751.24"/>
    <n v="1365.9672"/>
    <n v="30051.278399999999"/>
    <n v="28521.68"/>
    <n v="1529.5983999999989"/>
    <n v="5.0899611645140494E-2"/>
    <s v="Profit"/>
    <x v="1"/>
    <n v="0.22"/>
    <s v="Cash"/>
    <s v="Online"/>
    <s v="North-Eve"/>
  </r>
  <r>
    <n v="1021"/>
    <x v="162"/>
    <x v="0"/>
    <x v="1"/>
    <n v="9"/>
    <x v="1"/>
    <n v="1"/>
    <n v="3365.28"/>
    <n v="3730.43"/>
    <n v="3096.2568999999999"/>
    <n v="27866.312099999996"/>
    <n v="30287.52"/>
    <n v="-2421.2079000000049"/>
    <n v="-8.688655647404471E-2"/>
    <s v="Loss"/>
    <x v="1"/>
    <n v="0.17"/>
    <s v="Bank Transfer"/>
    <s v="Online"/>
    <s v="North-Bob"/>
  </r>
  <r>
    <n v="1021"/>
    <x v="113"/>
    <x v="4"/>
    <x v="0"/>
    <n v="32"/>
    <x v="0"/>
    <n v="1"/>
    <n v="900.79"/>
    <n v="1106.51"/>
    <n v="874.14290000000005"/>
    <n v="27972.572800000002"/>
    <n v="28825.279999999999"/>
    <n v="-852.7071999999971"/>
    <n v="-3.0483688650905828E-2"/>
    <s v="Loss"/>
    <x v="1"/>
    <n v="0.21"/>
    <s v="Cash"/>
    <s v="Online"/>
    <s v="West-Charlie"/>
  </r>
  <r>
    <n v="1021"/>
    <x v="37"/>
    <x v="0"/>
    <x v="0"/>
    <n v="43"/>
    <x v="1"/>
    <n v="1"/>
    <n v="4154.3"/>
    <n v="4469.07"/>
    <n v="3441.1839"/>
    <n v="147970.90769999998"/>
    <n v="178634.9"/>
    <n v="-30663.992300000013"/>
    <n v="-0.20722987225413916"/>
    <s v="Loss"/>
    <x v="0"/>
    <n v="0.23"/>
    <s v="Cash"/>
    <s v="Retail"/>
    <s v="West-Bob"/>
  </r>
  <r>
    <n v="1021"/>
    <x v="163"/>
    <x v="1"/>
    <x v="3"/>
    <n v="23"/>
    <x v="0"/>
    <n v="1"/>
    <n v="580.75"/>
    <n v="956.16"/>
    <n v="889.22879999999986"/>
    <n v="20452.2624"/>
    <n v="13357.25"/>
    <n v="7095.0123999999996"/>
    <n v="0.34690599314822013"/>
    <s v="Profit"/>
    <x v="0"/>
    <n v="7.0000000000000007E-2"/>
    <s v="Cash"/>
    <s v="Retail"/>
    <s v="South-David"/>
  </r>
  <r>
    <n v="1021"/>
    <x v="164"/>
    <x v="3"/>
    <x v="0"/>
    <n v="24"/>
    <x v="3"/>
    <n v="1"/>
    <n v="4916.17"/>
    <n v="5309.32"/>
    <n v="4300.5492000000004"/>
    <n v="103213.1808"/>
    <n v="117988.08"/>
    <n v="-14774.8992"/>
    <n v="-0.14314934473950444"/>
    <s v="Loss"/>
    <x v="0"/>
    <n v="0.19"/>
    <s v="Credit Card"/>
    <s v="Online"/>
    <s v="West-Alice"/>
  </r>
  <r>
    <n v="1021"/>
    <x v="31"/>
    <x v="2"/>
    <x v="1"/>
    <n v="15"/>
    <x v="0"/>
    <n v="1"/>
    <n v="3771.27"/>
    <n v="4212.55"/>
    <n v="3538.5419999999999"/>
    <n v="53078.13"/>
    <n v="56569.05"/>
    <n v="-3490.9200000000055"/>
    <n v="-6.5769460981387362E-2"/>
    <s v="Loss"/>
    <x v="0"/>
    <n v="0.16"/>
    <s v="Credit Card"/>
    <s v="Retail"/>
    <s v="North-Eve"/>
  </r>
  <r>
    <n v="1021"/>
    <x v="42"/>
    <x v="4"/>
    <x v="1"/>
    <n v="19"/>
    <x v="3"/>
    <n v="1"/>
    <n v="1222.4000000000001"/>
    <n v="1464.71"/>
    <n v="1464.71"/>
    <n v="27829.49"/>
    <n v="23225.600000000002"/>
    <n v="4603.8899999999994"/>
    <n v="0.16543206505041952"/>
    <s v="Profit"/>
    <x v="1"/>
    <n v="0"/>
    <s v="Credit Card"/>
    <s v="Retail"/>
    <s v="North-Charlie"/>
  </r>
  <r>
    <n v="1021"/>
    <x v="79"/>
    <x v="2"/>
    <x v="1"/>
    <n v="19"/>
    <x v="2"/>
    <n v="1"/>
    <n v="444.05"/>
    <n v="584.44000000000005"/>
    <n v="420.79680000000002"/>
    <n v="7995.1392000000005"/>
    <n v="8436.9500000000007"/>
    <n v="-441.8108000000002"/>
    <n v="-5.5259925930995692E-2"/>
    <s v="Loss"/>
    <x v="0"/>
    <n v="0.28000000000000003"/>
    <s v="Cash"/>
    <s v="Retail"/>
    <s v="North-Eve"/>
  </r>
  <r>
    <n v="1021"/>
    <x v="165"/>
    <x v="3"/>
    <x v="3"/>
    <n v="31"/>
    <x v="1"/>
    <n v="1"/>
    <n v="2254.9899999999998"/>
    <n v="2441.79"/>
    <n v="1855.7603999999999"/>
    <n v="57528.572400000005"/>
    <n v="69904.689999999988"/>
    <n v="-12376.117599999983"/>
    <n v="-0.2151299273332912"/>
    <s v="Loss"/>
    <x v="0"/>
    <n v="0.24"/>
    <s v="Bank Transfer"/>
    <s v="Online"/>
    <s v="South-Alice"/>
  </r>
  <r>
    <n v="1022"/>
    <x v="101"/>
    <x v="1"/>
    <x v="2"/>
    <n v="9"/>
    <x v="3"/>
    <n v="1"/>
    <n v="2263.65"/>
    <n v="2558.9499999999998"/>
    <n v="2482.1814999999997"/>
    <n v="22339.6335"/>
    <n v="20372.850000000002"/>
    <n v="1966.7834999999977"/>
    <n v="8.8040096987266947E-2"/>
    <s v="Profit"/>
    <x v="1"/>
    <n v="0.03"/>
    <s v="Cash"/>
    <s v="Online"/>
    <s v="East-David"/>
  </r>
  <r>
    <n v="1022"/>
    <x v="104"/>
    <x v="2"/>
    <x v="2"/>
    <n v="13"/>
    <x v="0"/>
    <n v="1"/>
    <n v="2312.4499999999998"/>
    <n v="2504.6"/>
    <n v="2354.3239999999996"/>
    <n v="30606.211999999996"/>
    <n v="30061.85"/>
    <n v="544.36199999999735"/>
    <n v="1.7785997169463424E-2"/>
    <s v="Profit"/>
    <x v="0"/>
    <n v="0.06"/>
    <s v="Bank Transfer"/>
    <s v="Online"/>
    <s v="East-Eve"/>
  </r>
  <r>
    <n v="1022"/>
    <x v="67"/>
    <x v="4"/>
    <x v="3"/>
    <n v="21"/>
    <x v="0"/>
    <n v="1"/>
    <n v="2537.1999999999998"/>
    <n v="2869.6"/>
    <n v="2037.4159999999999"/>
    <n v="42785.735999999997"/>
    <n v="53281.2"/>
    <n v="-10495.464"/>
    <n v="-0.24530287383627106"/>
    <s v="Loss"/>
    <x v="1"/>
    <n v="0.28999999999999998"/>
    <s v="Bank Transfer"/>
    <s v="Retail"/>
    <s v="South-Charlie"/>
  </r>
  <r>
    <n v="1022"/>
    <x v="31"/>
    <x v="2"/>
    <x v="0"/>
    <n v="29"/>
    <x v="1"/>
    <n v="1"/>
    <n v="479.58"/>
    <n v="909.88"/>
    <n v="791.59559999999999"/>
    <n v="22956.272400000002"/>
    <n v="13907.82"/>
    <n v="9048.4524000000019"/>
    <n v="0.39416035157345497"/>
    <s v="Profit"/>
    <x v="0"/>
    <n v="0.13"/>
    <s v="Credit Card"/>
    <s v="Retail"/>
    <s v="West-Eve"/>
  </r>
  <r>
    <n v="1022"/>
    <x v="88"/>
    <x v="0"/>
    <x v="0"/>
    <n v="45"/>
    <x v="1"/>
    <n v="1"/>
    <n v="4020.09"/>
    <n v="4087.91"/>
    <n v="3842.6353999999997"/>
    <n v="172918.59299999996"/>
    <n v="180904.05000000002"/>
    <n v="-7985.4570000000531"/>
    <n v="-4.6180441683330457E-2"/>
    <s v="Loss"/>
    <x v="0"/>
    <n v="0.06"/>
    <s v="Bank Transfer"/>
    <s v="Online"/>
    <s v="West-Bob"/>
  </r>
  <r>
    <n v="1022"/>
    <x v="166"/>
    <x v="1"/>
    <x v="1"/>
    <n v="10"/>
    <x v="1"/>
    <n v="1"/>
    <n v="1830.61"/>
    <n v="2044.04"/>
    <n v="1819.1956"/>
    <n v="18191.956000000002"/>
    <n v="18306.099999999999"/>
    <n v="-114.14399999999659"/>
    <n v="-6.2744215080553509E-3"/>
    <s v="Loss"/>
    <x v="1"/>
    <n v="0.11"/>
    <s v="Cash"/>
    <s v="Online"/>
    <s v="North-David"/>
  </r>
  <r>
    <n v="1023"/>
    <x v="167"/>
    <x v="1"/>
    <x v="0"/>
    <n v="39"/>
    <x v="0"/>
    <n v="1"/>
    <n v="4450.6099999999997"/>
    <n v="4663.34"/>
    <n v="3544.1384000000003"/>
    <n v="138221.3976"/>
    <n v="173573.78999999998"/>
    <n v="-35352.392399999982"/>
    <n v="-0.25576642266566102"/>
    <s v="Loss"/>
    <x v="1"/>
    <n v="0.24"/>
    <s v="Cash"/>
    <s v="Retail"/>
    <s v="West-David"/>
  </r>
  <r>
    <n v="1023"/>
    <x v="0"/>
    <x v="1"/>
    <x v="0"/>
    <n v="45"/>
    <x v="0"/>
    <n v="1"/>
    <n v="4692.24"/>
    <n v="4825.92"/>
    <n v="3908.9952000000003"/>
    <n v="175904.78400000001"/>
    <n v="211150.8"/>
    <n v="-35246.015999999974"/>
    <n v="-0.20036985463681289"/>
    <s v="Loss"/>
    <x v="0"/>
    <n v="0.19"/>
    <s v="Bank Transfer"/>
    <s v="Retail"/>
    <s v="West-David"/>
  </r>
  <r>
    <n v="1023"/>
    <x v="168"/>
    <x v="1"/>
    <x v="3"/>
    <n v="32"/>
    <x v="3"/>
    <n v="1"/>
    <n v="4775.04"/>
    <n v="4785.66"/>
    <n v="4642.0901999999996"/>
    <n v="148546.88639999999"/>
    <n v="152801.28"/>
    <n v="-4254.3936000000103"/>
    <n v="-2.8640072525949696E-2"/>
    <s v="Loss"/>
    <x v="1"/>
    <n v="0.03"/>
    <s v="Cash"/>
    <s v="Online"/>
    <s v="South-David"/>
  </r>
  <r>
    <n v="1023"/>
    <x v="169"/>
    <x v="3"/>
    <x v="2"/>
    <n v="2"/>
    <x v="2"/>
    <n v="1"/>
    <n v="575.32000000000005"/>
    <n v="914.77"/>
    <n v="676.9298"/>
    <n v="1353.8596"/>
    <n v="1150.6400000000001"/>
    <n v="203.2195999999999"/>
    <n v="0.15010389555903722"/>
    <s v="Profit"/>
    <x v="0"/>
    <n v="0.26"/>
    <s v="Bank Transfer"/>
    <s v="Online"/>
    <s v="East-Alice"/>
  </r>
  <r>
    <n v="1023"/>
    <x v="170"/>
    <x v="3"/>
    <x v="1"/>
    <n v="2"/>
    <x v="0"/>
    <n v="1"/>
    <n v="665.89"/>
    <n v="944.79"/>
    <n v="850.31100000000004"/>
    <n v="1700.6220000000001"/>
    <n v="1331.78"/>
    <n v="368.8420000000001"/>
    <n v="0.21688652739997488"/>
    <s v="Profit"/>
    <x v="1"/>
    <n v="0.1"/>
    <s v="Credit Card"/>
    <s v="Retail"/>
    <s v="North-Alice"/>
  </r>
  <r>
    <n v="1023"/>
    <x v="171"/>
    <x v="0"/>
    <x v="2"/>
    <n v="38"/>
    <x v="2"/>
    <n v="1"/>
    <n v="324.45"/>
    <n v="336.37"/>
    <n v="242.18639999999999"/>
    <n v="9203.0831999999991"/>
    <n v="12329.1"/>
    <n v="-3126.0168000000012"/>
    <n v="-0.33967060082647099"/>
    <s v="Loss"/>
    <x v="1"/>
    <n v="0.28000000000000003"/>
    <s v="Credit Card"/>
    <s v="Retail"/>
    <s v="East-Bob"/>
  </r>
  <r>
    <n v="1023"/>
    <x v="141"/>
    <x v="2"/>
    <x v="1"/>
    <n v="4"/>
    <x v="2"/>
    <n v="1"/>
    <n v="1532.8"/>
    <n v="1619.69"/>
    <n v="1538.7055"/>
    <n v="6154.8220000000001"/>
    <n v="6131.2"/>
    <n v="23.622000000000298"/>
    <n v="3.837966394479044E-3"/>
    <s v="Profit"/>
    <x v="0"/>
    <n v="0.05"/>
    <s v="Bank Transfer"/>
    <s v="Retail"/>
    <s v="North-Eve"/>
  </r>
  <r>
    <n v="1023"/>
    <x v="172"/>
    <x v="1"/>
    <x v="3"/>
    <n v="42"/>
    <x v="0"/>
    <n v="1"/>
    <n v="309.77999999999997"/>
    <n v="350.38"/>
    <n v="283.80780000000004"/>
    <n v="11919.927600000001"/>
    <n v="13010.759999999998"/>
    <n v="-1090.8323999999975"/>
    <n v="-9.151334107096401E-2"/>
    <s v="Loss"/>
    <x v="0"/>
    <n v="0.19"/>
    <s v="Credit Card"/>
    <s v="Retail"/>
    <s v="South-David"/>
  </r>
  <r>
    <n v="1023"/>
    <x v="142"/>
    <x v="0"/>
    <x v="2"/>
    <n v="47"/>
    <x v="3"/>
    <n v="1"/>
    <n v="3374.72"/>
    <n v="3483.15"/>
    <n v="2856.1830000000004"/>
    <n v="134240.60100000002"/>
    <n v="158611.84"/>
    <n v="-24371.238999999972"/>
    <n v="-0.18154894136685196"/>
    <s v="Loss"/>
    <x v="0"/>
    <n v="0.18"/>
    <s v="Cash"/>
    <s v="Online"/>
    <s v="East-Bob"/>
  </r>
  <r>
    <n v="1023"/>
    <x v="149"/>
    <x v="1"/>
    <x v="1"/>
    <n v="36"/>
    <x v="2"/>
    <n v="1"/>
    <n v="1991.72"/>
    <n v="2329.37"/>
    <n v="1677.1463999999999"/>
    <n v="60377.270399999994"/>
    <n v="71701.919999999998"/>
    <n v="-11324.649600000004"/>
    <n v="-0.18756478265701798"/>
    <s v="Loss"/>
    <x v="1"/>
    <n v="0.28000000000000003"/>
    <s v="Credit Card"/>
    <s v="Retail"/>
    <s v="North-David"/>
  </r>
  <r>
    <n v="1023"/>
    <x v="33"/>
    <x v="4"/>
    <x v="1"/>
    <n v="5"/>
    <x v="3"/>
    <n v="1"/>
    <n v="2311.25"/>
    <n v="2482.34"/>
    <n v="1936.2252000000001"/>
    <n v="9681.1260000000002"/>
    <n v="11556.25"/>
    <n v="-1875.1239999999998"/>
    <n v="-0.19368862671552872"/>
    <s v="Loss"/>
    <x v="0"/>
    <n v="0.22"/>
    <s v="Credit Card"/>
    <s v="Retail"/>
    <s v="North-Charlie"/>
  </r>
  <r>
    <n v="1023"/>
    <x v="43"/>
    <x v="2"/>
    <x v="2"/>
    <n v="9"/>
    <x v="2"/>
    <n v="1"/>
    <n v="4155.46"/>
    <n v="4273.6000000000004"/>
    <n v="3205.2000000000003"/>
    <n v="28846.800000000003"/>
    <n v="37399.14"/>
    <n v="-8552.3399999999965"/>
    <n v="-0.2964744789716709"/>
    <s v="Loss"/>
    <x v="0"/>
    <n v="0.25"/>
    <s v="Cash"/>
    <s v="Retail"/>
    <s v="East-Eve"/>
  </r>
  <r>
    <n v="1023"/>
    <x v="173"/>
    <x v="4"/>
    <x v="1"/>
    <n v="8"/>
    <x v="1"/>
    <n v="1"/>
    <n v="1563.78"/>
    <n v="1829.16"/>
    <n v="1554.7860000000001"/>
    <n v="12438.288"/>
    <n v="12510.24"/>
    <n v="-71.951999999999316"/>
    <n v="-5.7847189259485959E-3"/>
    <s v="Loss"/>
    <x v="0"/>
    <n v="0.15"/>
    <s v="Cash"/>
    <s v="Online"/>
    <s v="North-Charlie"/>
  </r>
  <r>
    <n v="1024"/>
    <x v="174"/>
    <x v="3"/>
    <x v="0"/>
    <n v="2"/>
    <x v="1"/>
    <n v="1"/>
    <n v="3604.93"/>
    <n v="3830.71"/>
    <n v="3371.0248000000001"/>
    <n v="6742.0496000000003"/>
    <n v="7209.86"/>
    <n v="-467.81039999999939"/>
    <n v="-6.9386970988762731E-2"/>
    <s v="Loss"/>
    <x v="0"/>
    <n v="0.12"/>
    <s v="Credit Card"/>
    <s v="Online"/>
    <s v="West-Alice"/>
  </r>
  <r>
    <n v="1024"/>
    <x v="175"/>
    <x v="3"/>
    <x v="3"/>
    <n v="35"/>
    <x v="3"/>
    <n v="1"/>
    <n v="1258.53"/>
    <n v="1624.89"/>
    <n v="1494.8988000000002"/>
    <n v="52321.458000000006"/>
    <n v="44048.549999999996"/>
    <n v="8272.9080000000104"/>
    <n v="0.15811692403525929"/>
    <s v="Profit"/>
    <x v="1"/>
    <n v="0.08"/>
    <s v="Credit Card"/>
    <s v="Online"/>
    <s v="South-Alice"/>
  </r>
  <r>
    <n v="1024"/>
    <x v="176"/>
    <x v="1"/>
    <x v="2"/>
    <n v="13"/>
    <x v="2"/>
    <n v="1"/>
    <n v="1493.88"/>
    <n v="1781.09"/>
    <n v="1709.8463999999999"/>
    <n v="22228.003199999999"/>
    <n v="19420.440000000002"/>
    <n v="2807.5631999999969"/>
    <n v="0.12630748586539689"/>
    <s v="Profit"/>
    <x v="1"/>
    <n v="0.04"/>
    <s v="Cash"/>
    <s v="Retail"/>
    <s v="East-David"/>
  </r>
  <r>
    <n v="1024"/>
    <x v="135"/>
    <x v="2"/>
    <x v="3"/>
    <n v="30"/>
    <x v="0"/>
    <n v="1"/>
    <n v="1543.96"/>
    <n v="1558.87"/>
    <n v="1122.3863999999999"/>
    <n v="33671.591999999997"/>
    <n v="46318.8"/>
    <n v="-12647.208000000006"/>
    <n v="-0.37560469371332389"/>
    <s v="Loss"/>
    <x v="0"/>
    <n v="0.28000000000000003"/>
    <s v="Credit Card"/>
    <s v="Online"/>
    <s v="South-Eve"/>
  </r>
  <r>
    <n v="1024"/>
    <x v="177"/>
    <x v="2"/>
    <x v="0"/>
    <n v="21"/>
    <x v="0"/>
    <n v="1"/>
    <n v="622.01"/>
    <n v="641.09"/>
    <n v="641.09"/>
    <n v="13462.890000000001"/>
    <n v="13062.21"/>
    <n v="400.68000000000211"/>
    <n v="2.9761811914083981E-2"/>
    <s v="Profit"/>
    <x v="0"/>
    <n v="0"/>
    <s v="Bank Transfer"/>
    <s v="Retail"/>
    <s v="West-Eve"/>
  </r>
  <r>
    <n v="1024"/>
    <x v="178"/>
    <x v="0"/>
    <x v="3"/>
    <n v="45"/>
    <x v="2"/>
    <n v="1"/>
    <n v="2693.99"/>
    <n v="3045.94"/>
    <n v="3015.4805999999999"/>
    <n v="135696.62699999998"/>
    <n v="121229.54999999999"/>
    <n v="14467.07699999999"/>
    <n v="0.10661338693407606"/>
    <s v="Profit"/>
    <x v="1"/>
    <n v="0.01"/>
    <s v="Cash"/>
    <s v="Retail"/>
    <s v="South-Bob"/>
  </r>
  <r>
    <n v="1024"/>
    <x v="139"/>
    <x v="2"/>
    <x v="3"/>
    <n v="46"/>
    <x v="3"/>
    <n v="1"/>
    <n v="2016.49"/>
    <n v="2338.66"/>
    <n v="1894.3145999999999"/>
    <n v="87138.47159999999"/>
    <n v="92758.54"/>
    <n v="-5620.0684000000037"/>
    <n v="-6.4495834007719785E-2"/>
    <s v="Loss"/>
    <x v="0"/>
    <n v="0.19"/>
    <s v="Bank Transfer"/>
    <s v="Retail"/>
    <s v="South-Eve"/>
  </r>
  <r>
    <n v="1024"/>
    <x v="179"/>
    <x v="1"/>
    <x v="1"/>
    <n v="35"/>
    <x v="1"/>
    <n v="1"/>
    <n v="2051"/>
    <n v="2121.5500000000002"/>
    <n v="1569.9470000000001"/>
    <n v="54948.144999999997"/>
    <n v="71785"/>
    <n v="-16836.855000000003"/>
    <n v="-0.30641352860956461"/>
    <s v="Loss"/>
    <x v="0"/>
    <n v="0.26"/>
    <s v="Cash"/>
    <s v="Retail"/>
    <s v="North-David"/>
  </r>
  <r>
    <n v="1024"/>
    <x v="164"/>
    <x v="3"/>
    <x v="1"/>
    <n v="43"/>
    <x v="2"/>
    <n v="1"/>
    <n v="3105.24"/>
    <n v="3246.33"/>
    <n v="2434.7474999999999"/>
    <n v="104694.1425"/>
    <n v="133525.31999999998"/>
    <n v="-28831.177499999976"/>
    <n v="-0.27538481916502611"/>
    <s v="Loss"/>
    <x v="1"/>
    <n v="0.25"/>
    <s v="Cash"/>
    <s v="Online"/>
    <s v="North-Alice"/>
  </r>
  <r>
    <n v="1024"/>
    <x v="31"/>
    <x v="3"/>
    <x v="3"/>
    <n v="22"/>
    <x v="0"/>
    <n v="1"/>
    <n v="4691.32"/>
    <n v="4752.88"/>
    <n v="4420.1783999999998"/>
    <n v="97243.924799999993"/>
    <n v="103209.04"/>
    <n v="-5965.1152000000002"/>
    <n v="-6.134177751739614E-2"/>
    <s v="Loss"/>
    <x v="0"/>
    <n v="7.0000000000000007E-2"/>
    <s v="Bank Transfer"/>
    <s v="Retail"/>
    <s v="South-Alice"/>
  </r>
  <r>
    <n v="1024"/>
    <x v="180"/>
    <x v="1"/>
    <x v="3"/>
    <n v="42"/>
    <x v="3"/>
    <n v="1"/>
    <n v="1586.02"/>
    <n v="2047.13"/>
    <n v="1535.3475000000001"/>
    <n v="64484.595000000001"/>
    <n v="66612.84"/>
    <n v="-2128.2449999999953"/>
    <n v="-3.3003929077944825E-2"/>
    <s v="Loss"/>
    <x v="1"/>
    <n v="0.25"/>
    <s v="Cash"/>
    <s v="Retail"/>
    <s v="South-David"/>
  </r>
  <r>
    <n v="1024"/>
    <x v="181"/>
    <x v="1"/>
    <x v="1"/>
    <n v="17"/>
    <x v="1"/>
    <n v="1"/>
    <n v="4114.66"/>
    <n v="4269.0200000000004"/>
    <n v="3116.3846000000003"/>
    <n v="52978.53820000001"/>
    <n v="69949.22"/>
    <n v="-16970.681799999991"/>
    <n v="-0.32033125821504804"/>
    <s v="Loss"/>
    <x v="0"/>
    <n v="0.27"/>
    <s v="Bank Transfer"/>
    <s v="Retail"/>
    <s v="North-David"/>
  </r>
  <r>
    <n v="1024"/>
    <x v="14"/>
    <x v="3"/>
    <x v="0"/>
    <n v="42"/>
    <x v="0"/>
    <n v="1"/>
    <n v="2069.0500000000002"/>
    <n v="2363.9"/>
    <n v="2198.4270000000001"/>
    <n v="92333.933999999994"/>
    <n v="86900.1"/>
    <n v="5433.833999999988"/>
    <n v="5.884980488321865E-2"/>
    <s v="Profit"/>
    <x v="0"/>
    <n v="7.0000000000000007E-2"/>
    <s v="Cash"/>
    <s v="Online"/>
    <s v="West-Alice"/>
  </r>
  <r>
    <n v="1024"/>
    <x v="166"/>
    <x v="2"/>
    <x v="1"/>
    <n v="5"/>
    <x v="1"/>
    <n v="1"/>
    <n v="3417.9"/>
    <n v="3714.52"/>
    <n v="2711.5996"/>
    <n v="13557.997999999998"/>
    <n v="17089.5"/>
    <n v="-3531.5020000000022"/>
    <n v="-0.26047370710631484"/>
    <s v="Loss"/>
    <x v="0"/>
    <n v="0.27"/>
    <s v="Credit Card"/>
    <s v="Retail"/>
    <s v="North-Eve"/>
  </r>
  <r>
    <n v="1025"/>
    <x v="182"/>
    <x v="4"/>
    <x v="0"/>
    <n v="40"/>
    <x v="3"/>
    <n v="1"/>
    <n v="2983.85"/>
    <n v="3239.74"/>
    <n v="2365.0101999999997"/>
    <n v="94600.407999999996"/>
    <n v="119354"/>
    <n v="-24753.592000000004"/>
    <n v="-0.26166474884548074"/>
    <s v="Loss"/>
    <x v="1"/>
    <n v="0.27"/>
    <s v="Credit Card"/>
    <s v="Online"/>
    <s v="West-Charlie"/>
  </r>
  <r>
    <n v="1025"/>
    <x v="183"/>
    <x v="1"/>
    <x v="3"/>
    <n v="45"/>
    <x v="2"/>
    <n v="1"/>
    <n v="1588.04"/>
    <n v="1703.64"/>
    <n v="1362.9120000000003"/>
    <n v="61331.040000000008"/>
    <n v="71461.8"/>
    <n v="-10130.759999999995"/>
    <n v="-0.16518161113850333"/>
    <s v="Loss"/>
    <x v="1"/>
    <n v="0.2"/>
    <s v="Bank Transfer"/>
    <s v="Retail"/>
    <s v="South-David"/>
  </r>
  <r>
    <n v="1025"/>
    <x v="184"/>
    <x v="1"/>
    <x v="1"/>
    <n v="44"/>
    <x v="0"/>
    <n v="1"/>
    <n v="1485.72"/>
    <n v="1717.97"/>
    <n v="1683.6106"/>
    <n v="74078.866399999999"/>
    <n v="65371.68"/>
    <n v="8707.1863999999987"/>
    <n v="0.11753941202318396"/>
    <s v="Profit"/>
    <x v="1"/>
    <n v="0.02"/>
    <s v="Credit Card"/>
    <s v="Retail"/>
    <s v="North-David"/>
  </r>
  <r>
    <n v="1025"/>
    <x v="155"/>
    <x v="3"/>
    <x v="2"/>
    <n v="26"/>
    <x v="3"/>
    <n v="1"/>
    <n v="2007.32"/>
    <n v="2202.87"/>
    <n v="1960.5543"/>
    <n v="50974.411799999994"/>
    <n v="52190.32"/>
    <n v="-1215.9082000000053"/>
    <n v="-2.3853305159668471E-2"/>
    <s v="Loss"/>
    <x v="0"/>
    <n v="0.11"/>
    <s v="Cash"/>
    <s v="Online"/>
    <s v="East-Alice"/>
  </r>
  <r>
    <n v="1025"/>
    <x v="13"/>
    <x v="0"/>
    <x v="3"/>
    <n v="11"/>
    <x v="0"/>
    <n v="1"/>
    <n v="1250.5899999999999"/>
    <n v="1515.49"/>
    <n v="1197.2371000000001"/>
    <n v="13169.608099999999"/>
    <n v="13756.49"/>
    <n v="-586.88190000000031"/>
    <n v="-4.456335340760826E-2"/>
    <s v="Loss"/>
    <x v="0"/>
    <n v="0.21"/>
    <s v="Bank Transfer"/>
    <s v="Retail"/>
    <s v="South-Bob"/>
  </r>
  <r>
    <n v="1025"/>
    <x v="131"/>
    <x v="1"/>
    <x v="1"/>
    <n v="47"/>
    <x v="1"/>
    <n v="1"/>
    <n v="3861.61"/>
    <n v="3998.91"/>
    <n v="2999.1824999999999"/>
    <n v="140961.57749999998"/>
    <n v="181495.67"/>
    <n v="-40534.092500000028"/>
    <n v="-0.28755419185061287"/>
    <s v="Loss"/>
    <x v="1"/>
    <n v="0.25"/>
    <s v="Credit Card"/>
    <s v="Online"/>
    <s v="North-David"/>
  </r>
  <r>
    <n v="1025"/>
    <x v="68"/>
    <x v="0"/>
    <x v="2"/>
    <n v="14"/>
    <x v="3"/>
    <n v="1"/>
    <n v="859.59"/>
    <n v="884.51"/>
    <n v="778.36879999999996"/>
    <n v="10897.163199999999"/>
    <n v="12034.26"/>
    <n v="-1137.0968000000012"/>
    <n v="-0.10434796461523135"/>
    <s v="Loss"/>
    <x v="1"/>
    <n v="0.12"/>
    <s v="Bank Transfer"/>
    <s v="Online"/>
    <s v="East-Bob"/>
  </r>
  <r>
    <n v="1025"/>
    <x v="185"/>
    <x v="1"/>
    <x v="0"/>
    <n v="37"/>
    <x v="3"/>
    <n v="1"/>
    <n v="1115.02"/>
    <n v="1174.48"/>
    <n v="916.09440000000006"/>
    <n v="33895.4928"/>
    <n v="41255.74"/>
    <n v="-7360.247199999998"/>
    <n v="-0.21714530729584194"/>
    <s v="Loss"/>
    <x v="1"/>
    <n v="0.22"/>
    <s v="Credit Card"/>
    <s v="Online"/>
    <s v="West-David"/>
  </r>
  <r>
    <n v="1025"/>
    <x v="34"/>
    <x v="1"/>
    <x v="0"/>
    <n v="28"/>
    <x v="3"/>
    <n v="1"/>
    <n v="2097.84"/>
    <n v="2270.9899999999998"/>
    <n v="1975.7612999999999"/>
    <n v="55321.316399999996"/>
    <n v="58739.520000000004"/>
    <n v="-3418.203600000008"/>
    <n v="-6.1788182610925869E-2"/>
    <s v="Loss"/>
    <x v="1"/>
    <n v="0.13"/>
    <s v="Credit Card"/>
    <s v="Retail"/>
    <s v="West-David"/>
  </r>
  <r>
    <n v="1025"/>
    <x v="45"/>
    <x v="1"/>
    <x v="0"/>
    <n v="4"/>
    <x v="1"/>
    <n v="1"/>
    <n v="2751.06"/>
    <n v="2976.01"/>
    <n v="2142.7272000000003"/>
    <n v="8570.9088000000011"/>
    <n v="11004.24"/>
    <n v="-2433.3311999999987"/>
    <n v="-0.28390585605111074"/>
    <s v="Loss"/>
    <x v="0"/>
    <n v="0.28000000000000003"/>
    <s v="Credit Card"/>
    <s v="Online"/>
    <s v="West-David"/>
  </r>
  <r>
    <n v="1026"/>
    <x v="80"/>
    <x v="3"/>
    <x v="3"/>
    <n v="36"/>
    <x v="2"/>
    <n v="1"/>
    <n v="3067.05"/>
    <n v="3386.33"/>
    <n v="2709.0640000000003"/>
    <n v="97526.304000000004"/>
    <n v="110413.8"/>
    <n v="-12887.495999999999"/>
    <n v="-0.13214379579072327"/>
    <s v="Loss"/>
    <x v="1"/>
    <n v="0.2"/>
    <s v="Bank Transfer"/>
    <s v="Online"/>
    <s v="South-Alice"/>
  </r>
  <r>
    <n v="1026"/>
    <x v="186"/>
    <x v="3"/>
    <x v="0"/>
    <n v="19"/>
    <x v="3"/>
    <n v="1"/>
    <n v="1265.48"/>
    <n v="1715.83"/>
    <n v="1630.0384999999999"/>
    <n v="30970.731499999994"/>
    <n v="24044.12"/>
    <n v="6926.6114999999954"/>
    <n v="0.22365023893607411"/>
    <s v="Profit"/>
    <x v="1"/>
    <n v="0.05"/>
    <s v="Credit Card"/>
    <s v="Retail"/>
    <s v="West-Alice"/>
  </r>
  <r>
    <n v="1026"/>
    <x v="187"/>
    <x v="0"/>
    <x v="0"/>
    <n v="34"/>
    <x v="3"/>
    <n v="1"/>
    <n v="68.33"/>
    <n v="219.08"/>
    <n v="214.69840000000002"/>
    <n v="7299.7456000000002"/>
    <n v="2323.2199999999998"/>
    <n v="4976.5256000000008"/>
    <n v="0.68173959377433657"/>
    <s v="Profit"/>
    <x v="1"/>
    <n v="0.02"/>
    <s v="Credit Card"/>
    <s v="Online"/>
    <s v="West-Bob"/>
  </r>
  <r>
    <n v="1026"/>
    <x v="188"/>
    <x v="0"/>
    <x v="3"/>
    <n v="4"/>
    <x v="3"/>
    <n v="1"/>
    <n v="3993.39"/>
    <n v="4288.3"/>
    <n v="3730.8209999999999"/>
    <n v="14923.284"/>
    <n v="15973.56"/>
    <n v="-1050.2759999999998"/>
    <n v="-7.0378342997426027E-2"/>
    <s v="Loss"/>
    <x v="1"/>
    <n v="0.13"/>
    <s v="Credit Card"/>
    <s v="Online"/>
    <s v="South-Bob"/>
  </r>
  <r>
    <n v="1026"/>
    <x v="189"/>
    <x v="4"/>
    <x v="0"/>
    <n v="20"/>
    <x v="2"/>
    <n v="1"/>
    <n v="2985.63"/>
    <n v="3452.14"/>
    <n v="2865.2761999999998"/>
    <n v="57305.523999999998"/>
    <n v="59712.600000000006"/>
    <n v="-2407.0760000000082"/>
    <n v="-4.20042577396205E-2"/>
    <s v="Loss"/>
    <x v="1"/>
    <n v="0.17"/>
    <s v="Credit Card"/>
    <s v="Retail"/>
    <s v="West-Charlie"/>
  </r>
  <r>
    <n v="1026"/>
    <x v="90"/>
    <x v="0"/>
    <x v="2"/>
    <n v="19"/>
    <x v="3"/>
    <n v="1"/>
    <n v="4991.68"/>
    <n v="5296.65"/>
    <n v="4661.0519999999997"/>
    <n v="88559.987999999998"/>
    <n v="94841.920000000013"/>
    <n v="-6281.9320000000153"/>
    <n v="-7.0934201120262289E-2"/>
    <s v="Loss"/>
    <x v="1"/>
    <n v="0.12"/>
    <s v="Bank Transfer"/>
    <s v="Online"/>
    <s v="East-Bob"/>
  </r>
  <r>
    <n v="1026"/>
    <x v="190"/>
    <x v="1"/>
    <x v="2"/>
    <n v="45"/>
    <x v="0"/>
    <n v="1"/>
    <n v="1741.66"/>
    <n v="2169.86"/>
    <n v="1866.0796"/>
    <n v="83973.582000000009"/>
    <n v="78374.7"/>
    <n v="5598.8820000000123"/>
    <n v="6.6674326218452984E-2"/>
    <s v="Profit"/>
    <x v="0"/>
    <n v="0.14000000000000001"/>
    <s v="Credit Card"/>
    <s v="Online"/>
    <s v="East-David"/>
  </r>
  <r>
    <n v="1026"/>
    <x v="149"/>
    <x v="1"/>
    <x v="2"/>
    <n v="5"/>
    <x v="0"/>
    <n v="1"/>
    <n v="4093.61"/>
    <n v="4117.88"/>
    <n v="3623.7344000000003"/>
    <n v="18118.672000000002"/>
    <n v="20468.05"/>
    <n v="-2349.377999999997"/>
    <n v="-0.12966612564099603"/>
    <s v="Loss"/>
    <x v="0"/>
    <n v="0.12"/>
    <s v="Credit Card"/>
    <s v="Retail"/>
    <s v="East-David"/>
  </r>
  <r>
    <n v="1026"/>
    <x v="150"/>
    <x v="3"/>
    <x v="2"/>
    <n v="25"/>
    <x v="3"/>
    <n v="1"/>
    <n v="1156.8800000000001"/>
    <n v="1454.68"/>
    <n v="1367.3992000000001"/>
    <n v="34184.979999999996"/>
    <n v="28922.000000000004"/>
    <n v="5262.9799999999923"/>
    <n v="0.15395591865199257"/>
    <s v="Profit"/>
    <x v="0"/>
    <n v="0.06"/>
    <s v="Credit Card"/>
    <s v="Online"/>
    <s v="East-Alice"/>
  </r>
  <r>
    <n v="1027"/>
    <x v="191"/>
    <x v="2"/>
    <x v="1"/>
    <n v="15"/>
    <x v="2"/>
    <n v="1"/>
    <n v="1615.26"/>
    <n v="1710.95"/>
    <n v="1317.4315000000001"/>
    <n v="19761.4725"/>
    <n v="24228.9"/>
    <n v="-4467.4275000000016"/>
    <n v="-0.22606754127254441"/>
    <s v="Loss"/>
    <x v="1"/>
    <n v="0.23"/>
    <s v="Credit Card"/>
    <s v="Retail"/>
    <s v="North-Eve"/>
  </r>
  <r>
    <n v="1027"/>
    <x v="192"/>
    <x v="0"/>
    <x v="2"/>
    <n v="30"/>
    <x v="1"/>
    <n v="1"/>
    <n v="745.93"/>
    <n v="1143.02"/>
    <n v="914.41600000000005"/>
    <n v="27432.48"/>
    <n v="22377.899999999998"/>
    <n v="5054.5800000000017"/>
    <n v="0.18425530611887814"/>
    <s v="Profit"/>
    <x v="0"/>
    <n v="0.2"/>
    <s v="Credit Card"/>
    <s v="Online"/>
    <s v="East-Bob"/>
  </r>
  <r>
    <n v="1027"/>
    <x v="187"/>
    <x v="2"/>
    <x v="0"/>
    <n v="45"/>
    <x v="0"/>
    <n v="1"/>
    <n v="1153.9000000000001"/>
    <n v="1485.34"/>
    <n v="1114.0049999999999"/>
    <n v="50130.225000000006"/>
    <n v="51925.500000000007"/>
    <n v="-1795.2750000000015"/>
    <n v="-3.5812227054636228E-2"/>
    <s v="Loss"/>
    <x v="1"/>
    <n v="0.25"/>
    <s v="Credit Card"/>
    <s v="Retail"/>
    <s v="West-Eve"/>
  </r>
  <r>
    <n v="1027"/>
    <x v="133"/>
    <x v="0"/>
    <x v="0"/>
    <n v="3"/>
    <x v="0"/>
    <n v="1"/>
    <n v="999.09"/>
    <n v="1271.99"/>
    <n v="1081.1914999999999"/>
    <n v="3243.5745000000002"/>
    <n v="2997.27"/>
    <n v="246.30450000000019"/>
    <n v="7.5936131573361473E-2"/>
    <s v="Profit"/>
    <x v="1"/>
    <n v="0.15"/>
    <s v="Credit Card"/>
    <s v="Online"/>
    <s v="West-Bob"/>
  </r>
  <r>
    <n v="1027"/>
    <x v="120"/>
    <x v="3"/>
    <x v="0"/>
    <n v="20"/>
    <x v="3"/>
    <n v="1"/>
    <n v="1748.11"/>
    <n v="2220.9"/>
    <n v="1710.0930000000001"/>
    <n v="34201.86"/>
    <n v="34962.199999999997"/>
    <n v="-760.33999999999651"/>
    <n v="-2.2230954690768176E-2"/>
    <s v="Loss"/>
    <x v="1"/>
    <n v="0.23"/>
    <s v="Credit Card"/>
    <s v="Retail"/>
    <s v="West-Alice"/>
  </r>
  <r>
    <n v="1027"/>
    <x v="193"/>
    <x v="2"/>
    <x v="3"/>
    <n v="21"/>
    <x v="0"/>
    <n v="1"/>
    <n v="2511.41"/>
    <n v="2848.4"/>
    <n v="2677.4960000000001"/>
    <n v="56227.415999999997"/>
    <n v="52739.61"/>
    <n v="3487.8059999999969"/>
    <n v="6.2030344769889424E-2"/>
    <s v="Profit"/>
    <x v="0"/>
    <n v="0.06"/>
    <s v="Bank Transfer"/>
    <s v="Online"/>
    <s v="South-Eve"/>
  </r>
  <r>
    <n v="1027"/>
    <x v="121"/>
    <x v="2"/>
    <x v="1"/>
    <n v="43"/>
    <x v="2"/>
    <n v="1"/>
    <n v="4232.6099999999997"/>
    <n v="4572.21"/>
    <n v="4526.4879000000001"/>
    <n v="194638.9797"/>
    <n v="182002.22999999998"/>
    <n v="12636.749700000015"/>
    <n v="6.4924044091667701E-2"/>
    <s v="Profit"/>
    <x v="1"/>
    <n v="0.01"/>
    <s v="Cash"/>
    <s v="Retail"/>
    <s v="North-Eve"/>
  </r>
  <r>
    <n v="1027"/>
    <x v="194"/>
    <x v="0"/>
    <x v="3"/>
    <n v="22"/>
    <x v="0"/>
    <n v="1"/>
    <n v="3240.2"/>
    <n v="3606.09"/>
    <n v="3353.6637000000001"/>
    <n v="73780.6014"/>
    <n v="71284.399999999994"/>
    <n v="2496.2014000000054"/>
    <n v="3.3832760273488437E-2"/>
    <s v="Profit"/>
    <x v="1"/>
    <n v="7.0000000000000007E-2"/>
    <s v="Cash"/>
    <s v="Online"/>
    <s v="South-Bob"/>
  </r>
  <r>
    <n v="1027"/>
    <x v="136"/>
    <x v="0"/>
    <x v="0"/>
    <n v="26"/>
    <x v="0"/>
    <n v="1"/>
    <n v="149.11000000000001"/>
    <n v="477.67"/>
    <n v="410.7962"/>
    <n v="10680.7012"/>
    <n v="3876.8600000000006"/>
    <n v="6803.8411999999989"/>
    <n v="0.63702195882045642"/>
    <s v="Profit"/>
    <x v="0"/>
    <n v="0.14000000000000001"/>
    <s v="Cash"/>
    <s v="Retail"/>
    <s v="West-Bob"/>
  </r>
  <r>
    <n v="1027"/>
    <x v="195"/>
    <x v="3"/>
    <x v="2"/>
    <n v="7"/>
    <x v="0"/>
    <n v="1"/>
    <n v="2371.85"/>
    <n v="2457.29"/>
    <n v="2383.5713000000001"/>
    <n v="16684.999099999997"/>
    <n v="16602.95"/>
    <n v="82.049099999996542"/>
    <n v="4.9175369748744278E-3"/>
    <s v="Profit"/>
    <x v="1"/>
    <n v="0.03"/>
    <s v="Cash"/>
    <s v="Retail"/>
    <s v="East-Alice"/>
  </r>
  <r>
    <n v="1027"/>
    <x v="196"/>
    <x v="0"/>
    <x v="2"/>
    <n v="4"/>
    <x v="3"/>
    <n v="1"/>
    <n v="282.61"/>
    <n v="548.25"/>
    <n v="455.04749999999996"/>
    <n v="1820.1899999999998"/>
    <n v="1130.44"/>
    <n v="689.74999999999977"/>
    <n v="0.37894395640015593"/>
    <s v="Profit"/>
    <x v="1"/>
    <n v="0.17"/>
    <s v="Credit Card"/>
    <s v="Online"/>
    <s v="East-Bob"/>
  </r>
  <r>
    <n v="1028"/>
    <x v="80"/>
    <x v="0"/>
    <x v="2"/>
    <n v="24"/>
    <x v="0"/>
    <n v="1"/>
    <n v="911.11"/>
    <n v="1214.56"/>
    <n v="947.35680000000002"/>
    <n v="22736.563200000001"/>
    <n v="21866.639999999999"/>
    <n v="869.92320000000109"/>
    <n v="3.8260980445804629E-2"/>
    <s v="Profit"/>
    <x v="1"/>
    <n v="0.22"/>
    <s v="Bank Transfer"/>
    <s v="Online"/>
    <s v="East-Bob"/>
  </r>
  <r>
    <n v="1028"/>
    <x v="197"/>
    <x v="3"/>
    <x v="1"/>
    <n v="38"/>
    <x v="2"/>
    <n v="1"/>
    <n v="1234.69"/>
    <n v="1511.26"/>
    <n v="1360.134"/>
    <n v="51685.091999999997"/>
    <n v="46918.22"/>
    <n v="4766.8719999999958"/>
    <n v="9.222914801041654E-2"/>
    <s v="Profit"/>
    <x v="1"/>
    <n v="0.1"/>
    <s v="Bank Transfer"/>
    <s v="Online"/>
    <s v="North-Alice"/>
  </r>
  <r>
    <n v="1028"/>
    <x v="1"/>
    <x v="3"/>
    <x v="1"/>
    <n v="38"/>
    <x v="2"/>
    <n v="1"/>
    <n v="3350.32"/>
    <n v="3449.94"/>
    <n v="2552.9556000000002"/>
    <n v="97012.3128"/>
    <n v="127312.16"/>
    <n v="-30299.847200000004"/>
    <n v="-0.31232991282731282"/>
    <s v="Loss"/>
    <x v="1"/>
    <n v="0.26"/>
    <s v="Cash"/>
    <s v="Online"/>
    <s v="North-Alice"/>
  </r>
  <r>
    <n v="1028"/>
    <x v="198"/>
    <x v="3"/>
    <x v="1"/>
    <n v="2"/>
    <x v="1"/>
    <n v="1"/>
    <n v="3146.12"/>
    <n v="3255.53"/>
    <n v="3060.1981999999998"/>
    <n v="6120.3963999999996"/>
    <n v="6292.24"/>
    <n v="-171.84360000000015"/>
    <n v="-2.8077201012666461E-2"/>
    <s v="Loss"/>
    <x v="0"/>
    <n v="0.06"/>
    <s v="Bank Transfer"/>
    <s v="Online"/>
    <s v="North-Alice"/>
  </r>
  <r>
    <n v="1028"/>
    <x v="113"/>
    <x v="3"/>
    <x v="2"/>
    <n v="24"/>
    <x v="2"/>
    <n v="1"/>
    <n v="2521.0300000000002"/>
    <n v="2766.05"/>
    <n v="2323.482"/>
    <n v="55763.568000000007"/>
    <n v="60504.72"/>
    <n v="-4741.1519999999946"/>
    <n v="-8.5022393115160674E-2"/>
    <s v="Loss"/>
    <x v="0"/>
    <n v="0.16"/>
    <s v="Bank Transfer"/>
    <s v="Retail"/>
    <s v="East-Alice"/>
  </r>
  <r>
    <n v="1028"/>
    <x v="121"/>
    <x v="4"/>
    <x v="0"/>
    <n v="45"/>
    <x v="2"/>
    <n v="1"/>
    <n v="4848.9799999999996"/>
    <n v="4985.75"/>
    <n v="3988.6000000000004"/>
    <n v="179487"/>
    <n v="218204.09999999998"/>
    <n v="-38717.099999999977"/>
    <n v="-0.21570977285262988"/>
    <s v="Loss"/>
    <x v="0"/>
    <n v="0.2"/>
    <s v="Bank Transfer"/>
    <s v="Online"/>
    <s v="West-Charlie"/>
  </r>
  <r>
    <n v="1028"/>
    <x v="145"/>
    <x v="4"/>
    <x v="3"/>
    <n v="41"/>
    <x v="2"/>
    <n v="1"/>
    <n v="3956.03"/>
    <n v="4163.68"/>
    <n v="3664.0384000000004"/>
    <n v="150225.57440000001"/>
    <n v="162197.23000000001"/>
    <n v="-11971.655599999998"/>
    <n v="-7.969119537611831E-2"/>
    <s v="Loss"/>
    <x v="1"/>
    <n v="0.12"/>
    <s v="Bank Transfer"/>
    <s v="Retail"/>
    <s v="South-Charlie"/>
  </r>
  <r>
    <n v="1028"/>
    <x v="86"/>
    <x v="0"/>
    <x v="2"/>
    <n v="24"/>
    <x v="3"/>
    <n v="1"/>
    <n v="1969.09"/>
    <n v="2241.96"/>
    <n v="2197.1208000000001"/>
    <n v="52730.8992"/>
    <n v="47258.159999999996"/>
    <n v="5472.7392000000036"/>
    <n v="0.10378619145565421"/>
    <s v="Profit"/>
    <x v="0"/>
    <n v="0.02"/>
    <s v="Credit Card"/>
    <s v="Online"/>
    <s v="East-Bob"/>
  </r>
  <r>
    <n v="1028"/>
    <x v="99"/>
    <x v="3"/>
    <x v="2"/>
    <n v="5"/>
    <x v="0"/>
    <n v="1"/>
    <n v="734.92"/>
    <n v="991.21"/>
    <n v="783.05590000000007"/>
    <n v="3915.2795000000001"/>
    <n v="3674.6"/>
    <n v="240.67950000000019"/>
    <n v="6.1471856606916613E-2"/>
    <s v="Profit"/>
    <x v="0"/>
    <n v="0.21"/>
    <s v="Credit Card"/>
    <s v="Online"/>
    <s v="East-Alice"/>
  </r>
  <r>
    <n v="1028"/>
    <x v="150"/>
    <x v="2"/>
    <x v="1"/>
    <n v="28"/>
    <x v="1"/>
    <n v="1"/>
    <n v="2055.2800000000002"/>
    <n v="2449.64"/>
    <n v="1984.2084"/>
    <n v="55557.835200000001"/>
    <n v="57547.840000000004"/>
    <n v="-1990.0048000000024"/>
    <n v="-3.5818616633212563E-2"/>
    <s v="Loss"/>
    <x v="1"/>
    <n v="0.19"/>
    <s v="Credit Card"/>
    <s v="Online"/>
    <s v="North-Eve"/>
  </r>
  <r>
    <n v="1029"/>
    <x v="199"/>
    <x v="1"/>
    <x v="2"/>
    <n v="28"/>
    <x v="2"/>
    <n v="1"/>
    <n v="2873.53"/>
    <n v="3108.3"/>
    <n v="2642.0550000000003"/>
    <n v="73977.540000000008"/>
    <n v="80458.840000000011"/>
    <n v="-6481.3000000000029"/>
    <n v="-8.7611726478063506E-2"/>
    <s v="Loss"/>
    <x v="1"/>
    <n v="0.15"/>
    <s v="Credit Card"/>
    <s v="Retail"/>
    <s v="East-David"/>
  </r>
  <r>
    <n v="1029"/>
    <x v="200"/>
    <x v="2"/>
    <x v="3"/>
    <n v="46"/>
    <x v="1"/>
    <n v="1"/>
    <n v="4609.66"/>
    <n v="4879.1499999999996"/>
    <n v="3415.4049999999997"/>
    <n v="157108.62999999998"/>
    <n v="212044.36"/>
    <n v="-54935.73000000001"/>
    <n v="-0.34966716977927959"/>
    <s v="Loss"/>
    <x v="0"/>
    <n v="0.3"/>
    <s v="Cash"/>
    <s v="Retail"/>
    <s v="South-Eve"/>
  </r>
  <r>
    <n v="1029"/>
    <x v="201"/>
    <x v="4"/>
    <x v="1"/>
    <n v="31"/>
    <x v="1"/>
    <n v="1"/>
    <n v="951.21"/>
    <n v="1320.32"/>
    <n v="1122.2719999999999"/>
    <n v="34790.432000000001"/>
    <n v="29487.510000000002"/>
    <n v="5302.9219999999987"/>
    <n v="0.15242472413104841"/>
    <s v="Profit"/>
    <x v="1"/>
    <n v="0.15"/>
    <s v="Cash"/>
    <s v="Online"/>
    <s v="North-Charlie"/>
  </r>
  <r>
    <n v="1029"/>
    <x v="198"/>
    <x v="2"/>
    <x v="2"/>
    <n v="15"/>
    <x v="2"/>
    <n v="1"/>
    <n v="498.27"/>
    <n v="634.16"/>
    <n v="564.40239999999994"/>
    <n v="8466.0360000000001"/>
    <n v="7474.0499999999993"/>
    <n v="991.98600000000079"/>
    <n v="0.11717242874941718"/>
    <s v="Profit"/>
    <x v="0"/>
    <n v="0.11"/>
    <s v="Credit Card"/>
    <s v="Retail"/>
    <s v="East-Eve"/>
  </r>
  <r>
    <n v="1029"/>
    <x v="82"/>
    <x v="4"/>
    <x v="1"/>
    <n v="31"/>
    <x v="3"/>
    <n v="1"/>
    <n v="2719"/>
    <n v="3133.55"/>
    <n v="2600.8465000000001"/>
    <n v="80626.241500000004"/>
    <n v="84289"/>
    <n v="-3662.7584999999963"/>
    <n v="-4.5428863256635817E-2"/>
    <s v="Loss"/>
    <x v="0"/>
    <n v="0.17"/>
    <s v="Bank Transfer"/>
    <s v="Retail"/>
    <s v="North-Charlie"/>
  </r>
  <r>
    <n v="1029"/>
    <x v="19"/>
    <x v="2"/>
    <x v="3"/>
    <n v="27"/>
    <x v="0"/>
    <n v="1"/>
    <n v="3196.38"/>
    <n v="3596.64"/>
    <n v="3560.6735999999996"/>
    <n v="96138.1872"/>
    <n v="86302.260000000009"/>
    <n v="9835.927199999991"/>
    <n v="0.10231030443228485"/>
    <s v="Profit"/>
    <x v="1"/>
    <n v="0.01"/>
    <s v="Cash"/>
    <s v="Retail"/>
    <s v="South-Eve"/>
  </r>
  <r>
    <n v="1029"/>
    <x v="202"/>
    <x v="2"/>
    <x v="1"/>
    <n v="21"/>
    <x v="0"/>
    <n v="1"/>
    <n v="3085.1"/>
    <n v="3200.75"/>
    <n v="2528.5925000000002"/>
    <n v="53100.442500000005"/>
    <n v="64787.1"/>
    <n v="-11686.657499999994"/>
    <n v="-0.22008587781542485"/>
    <s v="Loss"/>
    <x v="1"/>
    <n v="0.21"/>
    <s v="Cash"/>
    <s v="Retail"/>
    <s v="North-Eve"/>
  </r>
  <r>
    <n v="1029"/>
    <x v="203"/>
    <x v="2"/>
    <x v="2"/>
    <n v="16"/>
    <x v="3"/>
    <n v="1"/>
    <n v="2572.8000000000002"/>
    <n v="2760.6"/>
    <n v="2346.5099999999998"/>
    <n v="37544.159999999996"/>
    <n v="41164.800000000003"/>
    <n v="-3620.6400000000067"/>
    <n v="-9.6436835981947841E-2"/>
    <s v="Loss"/>
    <x v="0"/>
    <n v="0.15"/>
    <s v="Credit Card"/>
    <s v="Retail"/>
    <s v="East-Eve"/>
  </r>
  <r>
    <n v="1030"/>
    <x v="204"/>
    <x v="1"/>
    <x v="2"/>
    <n v="49"/>
    <x v="1"/>
    <n v="1"/>
    <n v="2590.29"/>
    <n v="2925.86"/>
    <n v="2165.1363999999999"/>
    <n v="106091.6836"/>
    <n v="126924.20999999999"/>
    <n v="-20832.526399999988"/>
    <n v="-0.19636342541744703"/>
    <s v="Loss"/>
    <x v="0"/>
    <n v="0.26"/>
    <s v="Cash"/>
    <s v="Retail"/>
    <s v="East-David"/>
  </r>
  <r>
    <n v="1030"/>
    <x v="2"/>
    <x v="0"/>
    <x v="0"/>
    <n v="34"/>
    <x v="3"/>
    <n v="1"/>
    <n v="3125.07"/>
    <n v="3564.19"/>
    <n v="3243.4129000000003"/>
    <n v="110276.03860000001"/>
    <n v="106252.38"/>
    <n v="4023.6586000000098"/>
    <n v="3.6487152159997968E-2"/>
    <s v="Profit"/>
    <x v="0"/>
    <n v="0.09"/>
    <s v="Cash"/>
    <s v="Online"/>
    <s v="West-Bob"/>
  </r>
  <r>
    <n v="1030"/>
    <x v="4"/>
    <x v="0"/>
    <x v="3"/>
    <n v="43"/>
    <x v="2"/>
    <n v="1"/>
    <n v="4696.6400000000003"/>
    <n v="4713.68"/>
    <n v="3582.3968000000004"/>
    <n v="154043.06240000002"/>
    <n v="201955.52000000002"/>
    <n v="-47912.457599999994"/>
    <n v="-0.31103288167296256"/>
    <s v="Loss"/>
    <x v="0"/>
    <n v="0.24"/>
    <s v="Bank Transfer"/>
    <s v="Online"/>
    <s v="South-Bob"/>
  </r>
  <r>
    <n v="1030"/>
    <x v="205"/>
    <x v="3"/>
    <x v="1"/>
    <n v="39"/>
    <x v="0"/>
    <n v="1"/>
    <n v="2511.2800000000002"/>
    <n v="2658.06"/>
    <n v="2153.0286000000001"/>
    <n v="83968.11540000001"/>
    <n v="97939.920000000013"/>
    <n v="-13971.804600000003"/>
    <n v="-0.1663941668029863"/>
    <s v="Loss"/>
    <x v="1"/>
    <n v="0.19"/>
    <s v="Credit Card"/>
    <s v="Retail"/>
    <s v="North-Alice"/>
  </r>
  <r>
    <n v="1030"/>
    <x v="206"/>
    <x v="4"/>
    <x v="0"/>
    <n v="5"/>
    <x v="2"/>
    <n v="1"/>
    <n v="3932.14"/>
    <n v="4082.76"/>
    <n v="3021.2424000000001"/>
    <n v="15106.212000000001"/>
    <n v="19660.7"/>
    <n v="-4554.4879999999994"/>
    <n v="-0.30149768850059822"/>
    <s v="Loss"/>
    <x v="1"/>
    <n v="0.26"/>
    <s v="Credit Card"/>
    <s v="Online"/>
    <s v="West-Charlie"/>
  </r>
  <r>
    <n v="1030"/>
    <x v="194"/>
    <x v="0"/>
    <x v="2"/>
    <n v="39"/>
    <x v="2"/>
    <n v="1"/>
    <n v="4929.7299999999996"/>
    <n v="5088.0200000000004"/>
    <n v="3917.7754000000004"/>
    <n v="152793.24060000002"/>
    <n v="192259.46999999997"/>
    <n v="-39466.229399999953"/>
    <n v="-0.25829826794052529"/>
    <s v="Loss"/>
    <x v="1"/>
    <n v="0.23"/>
    <s v="Bank Transfer"/>
    <s v="Retail"/>
    <s v="East-Bob"/>
  </r>
  <r>
    <n v="1030"/>
    <x v="207"/>
    <x v="2"/>
    <x v="2"/>
    <n v="24"/>
    <x v="2"/>
    <n v="1"/>
    <n v="1370.52"/>
    <n v="1482.58"/>
    <n v="1186.0640000000001"/>
    <n v="28465.536"/>
    <n v="32892.479999999996"/>
    <n v="-4426.9439999999959"/>
    <n v="-0.15551943234091906"/>
    <s v="Loss"/>
    <x v="0"/>
    <n v="0.2"/>
    <s v="Credit Card"/>
    <s v="Retail"/>
    <s v="East-Eve"/>
  </r>
  <r>
    <n v="1030"/>
    <x v="28"/>
    <x v="1"/>
    <x v="0"/>
    <n v="19"/>
    <x v="2"/>
    <n v="1"/>
    <n v="3049.33"/>
    <n v="3209.22"/>
    <n v="2374.8227999999999"/>
    <n v="45121.633199999997"/>
    <n v="57937.27"/>
    <n v="-12815.6368"/>
    <n v="-0.28402422277569511"/>
    <s v="Loss"/>
    <x v="0"/>
    <n v="0.26"/>
    <s v="Cash"/>
    <s v="Online"/>
    <s v="West-David"/>
  </r>
  <r>
    <n v="1030"/>
    <x v="160"/>
    <x v="1"/>
    <x v="2"/>
    <n v="2"/>
    <x v="2"/>
    <n v="1"/>
    <n v="844.94"/>
    <n v="1225.6400000000001"/>
    <n v="943.7428000000001"/>
    <n v="1887.4856000000002"/>
    <n v="1689.88"/>
    <n v="197.60560000000009"/>
    <n v="0.10469250732296981"/>
    <s v="Profit"/>
    <x v="0"/>
    <n v="0.23"/>
    <s v="Credit Card"/>
    <s v="Online"/>
    <s v="East-David"/>
  </r>
  <r>
    <n v="1030"/>
    <x v="208"/>
    <x v="3"/>
    <x v="0"/>
    <n v="39"/>
    <x v="3"/>
    <n v="1"/>
    <n v="2041.75"/>
    <n v="2299.37"/>
    <n v="1747.5211999999999"/>
    <n v="68153.326799999995"/>
    <n v="79628.25"/>
    <n v="-11474.923200000005"/>
    <n v="-0.16836923065654377"/>
    <s v="Loss"/>
    <x v="0"/>
    <n v="0.24"/>
    <s v="Bank Transfer"/>
    <s v="Retail"/>
    <s v="West-Alice"/>
  </r>
  <r>
    <n v="1031"/>
    <x v="72"/>
    <x v="1"/>
    <x v="1"/>
    <n v="22"/>
    <x v="0"/>
    <n v="1"/>
    <n v="4236.05"/>
    <n v="4382.32"/>
    <n v="3505.8559999999998"/>
    <n v="77128.831999999995"/>
    <n v="93193.1"/>
    <n v="-16064.268000000011"/>
    <n v="-0.20827837766297319"/>
    <s v="Loss"/>
    <x v="1"/>
    <n v="0.2"/>
    <s v="Bank Transfer"/>
    <s v="Online"/>
    <s v="North-David"/>
  </r>
  <r>
    <n v="1031"/>
    <x v="209"/>
    <x v="2"/>
    <x v="2"/>
    <n v="32"/>
    <x v="2"/>
    <n v="1"/>
    <n v="3351.33"/>
    <n v="3711.47"/>
    <n v="3117.6347999999998"/>
    <n v="99764.313599999994"/>
    <n v="107242.56"/>
    <n v="-7478.2464000000036"/>
    <n v="-7.4959132480815302E-2"/>
    <s v="Loss"/>
    <x v="1"/>
    <n v="0.16"/>
    <s v="Cash"/>
    <s v="Retail"/>
    <s v="East-Eve"/>
  </r>
  <r>
    <n v="1031"/>
    <x v="130"/>
    <x v="3"/>
    <x v="0"/>
    <n v="10"/>
    <x v="3"/>
    <n v="1"/>
    <n v="566.86"/>
    <n v="818.14"/>
    <n v="613.60500000000002"/>
    <n v="6136.0499999999993"/>
    <n v="5668.6"/>
    <n v="467.44999999999891"/>
    <n v="7.618093072905191E-2"/>
    <s v="Profit"/>
    <x v="0"/>
    <n v="0.25"/>
    <s v="Credit Card"/>
    <s v="Retail"/>
    <s v="West-Alice"/>
  </r>
  <r>
    <n v="1032"/>
    <x v="92"/>
    <x v="2"/>
    <x v="0"/>
    <n v="49"/>
    <x v="3"/>
    <n v="1"/>
    <n v="4812.41"/>
    <n v="5088"/>
    <n v="4630.08"/>
    <n v="226873.92"/>
    <n v="235808.09"/>
    <n v="-8934.1699999999837"/>
    <n v="-3.9379449167184943E-2"/>
    <s v="Loss"/>
    <x v="0"/>
    <n v="0.09"/>
    <s v="Credit Card"/>
    <s v="Online"/>
    <s v="West-Eve"/>
  </r>
  <r>
    <n v="1032"/>
    <x v="3"/>
    <x v="2"/>
    <x v="2"/>
    <n v="11"/>
    <x v="0"/>
    <n v="1"/>
    <n v="2025.67"/>
    <n v="2081.5500000000002"/>
    <n v="1519.5315000000001"/>
    <n v="16714.846500000003"/>
    <n v="22282.370000000003"/>
    <n v="-5567.5234999999993"/>
    <n v="-0.33308852103427922"/>
    <s v="Loss"/>
    <x v="1"/>
    <n v="0.27"/>
    <s v="Bank Transfer"/>
    <s v="Online"/>
    <s v="East-Eve"/>
  </r>
  <r>
    <n v="1032"/>
    <x v="112"/>
    <x v="0"/>
    <x v="2"/>
    <n v="25"/>
    <x v="3"/>
    <n v="1"/>
    <n v="2934.3"/>
    <n v="3337.4"/>
    <n v="2503.0500000000002"/>
    <n v="62576.25"/>
    <n v="73357.5"/>
    <n v="-10781.25"/>
    <n v="-0.17228980643614791"/>
    <s v="Loss"/>
    <x v="0"/>
    <n v="0.25"/>
    <s v="Credit Card"/>
    <s v="Retail"/>
    <s v="East-Bob"/>
  </r>
  <r>
    <n v="1032"/>
    <x v="121"/>
    <x v="1"/>
    <x v="2"/>
    <n v="5"/>
    <x v="0"/>
    <n v="1"/>
    <n v="4714.74"/>
    <n v="5129.1099999999997"/>
    <n v="3846.8324999999995"/>
    <n v="19234.162499999999"/>
    <n v="23573.699999999997"/>
    <n v="-4339.5374999999985"/>
    <n v="-0.22561614003209127"/>
    <s v="Loss"/>
    <x v="1"/>
    <n v="0.25"/>
    <s v="Bank Transfer"/>
    <s v="Online"/>
    <s v="East-David"/>
  </r>
  <r>
    <n v="1032"/>
    <x v="84"/>
    <x v="3"/>
    <x v="1"/>
    <n v="17"/>
    <x v="2"/>
    <n v="1"/>
    <n v="1291.9100000000001"/>
    <n v="1528.59"/>
    <n v="1360.4450999999999"/>
    <n v="23127.566699999999"/>
    <n v="21962.47"/>
    <n v="1165.0966999999982"/>
    <n v="5.0376968537723353E-2"/>
    <s v="Profit"/>
    <x v="0"/>
    <n v="0.11"/>
    <s v="Credit Card"/>
    <s v="Retail"/>
    <s v="North-Alice"/>
  </r>
  <r>
    <n v="1032"/>
    <x v="205"/>
    <x v="3"/>
    <x v="1"/>
    <n v="20"/>
    <x v="3"/>
    <n v="1"/>
    <n v="4741.59"/>
    <n v="4975.2299999999996"/>
    <n v="4527.4592999999995"/>
    <n v="90549.186000000002"/>
    <n v="94831.8"/>
    <n v="-4282.6140000000014"/>
    <n v="-4.7295996675221372E-2"/>
    <s v="Loss"/>
    <x v="1"/>
    <n v="0.09"/>
    <s v="Credit Card"/>
    <s v="Online"/>
    <s v="North-Alice"/>
  </r>
  <r>
    <n v="1032"/>
    <x v="8"/>
    <x v="1"/>
    <x v="1"/>
    <n v="45"/>
    <x v="2"/>
    <n v="1"/>
    <n v="3712.35"/>
    <n v="3780.88"/>
    <n v="3516.2183999999997"/>
    <n v="158229.82800000001"/>
    <n v="167055.75"/>
    <n v="-8825.9219999999914"/>
    <n v="-5.5779129077988952E-2"/>
    <s v="Loss"/>
    <x v="1"/>
    <n v="7.0000000000000007E-2"/>
    <s v="Cash"/>
    <s v="Retail"/>
    <s v="North-David"/>
  </r>
  <r>
    <n v="1032"/>
    <x v="207"/>
    <x v="3"/>
    <x v="0"/>
    <n v="1"/>
    <x v="0"/>
    <n v="1"/>
    <n v="651"/>
    <n v="865.76"/>
    <n v="787.84159999999997"/>
    <n v="787.84159999999997"/>
    <n v="651"/>
    <n v="136.84159999999997"/>
    <n v="0.17369176748219436"/>
    <s v="Profit"/>
    <x v="0"/>
    <n v="0.09"/>
    <s v="Bank Transfer"/>
    <s v="Retail"/>
    <s v="West-Alice"/>
  </r>
  <r>
    <n v="1032"/>
    <x v="180"/>
    <x v="0"/>
    <x v="1"/>
    <n v="23"/>
    <x v="3"/>
    <n v="1"/>
    <n v="4673.1899999999996"/>
    <n v="4761.18"/>
    <n v="3951.7793999999999"/>
    <n v="90890.926200000002"/>
    <n v="107483.37"/>
    <n v="-16592.443799999994"/>
    <n v="-0.18255335811508094"/>
    <s v="Loss"/>
    <x v="0"/>
    <n v="0.17"/>
    <s v="Credit Card"/>
    <s v="Retail"/>
    <s v="North-Bob"/>
  </r>
  <r>
    <n v="1032"/>
    <x v="181"/>
    <x v="1"/>
    <x v="3"/>
    <n v="11"/>
    <x v="2"/>
    <n v="1"/>
    <n v="4100.62"/>
    <n v="4230"/>
    <n v="3003.2999999999997"/>
    <n v="33036.299999999996"/>
    <n v="45106.82"/>
    <n v="-12070.520000000004"/>
    <n v="-0.3653714247660908"/>
    <s v="Loss"/>
    <x v="1"/>
    <n v="0.28999999999999998"/>
    <s v="Bank Transfer"/>
    <s v="Online"/>
    <s v="South-David"/>
  </r>
  <r>
    <n v="1032"/>
    <x v="63"/>
    <x v="3"/>
    <x v="0"/>
    <n v="18"/>
    <x v="3"/>
    <n v="1"/>
    <n v="2466.1799999999998"/>
    <n v="2483.87"/>
    <n v="2285.1604000000002"/>
    <n v="41132.887199999997"/>
    <n v="44391.24"/>
    <n v="-3258.3528000000006"/>
    <n v="-7.9215270840506447E-2"/>
    <s v="Loss"/>
    <x v="0"/>
    <n v="0.08"/>
    <s v="Cash"/>
    <s v="Online"/>
    <s v="West-Alice"/>
  </r>
  <r>
    <n v="1032"/>
    <x v="210"/>
    <x v="2"/>
    <x v="1"/>
    <n v="6"/>
    <x v="2"/>
    <n v="1"/>
    <n v="2522.7600000000002"/>
    <n v="2840.14"/>
    <n v="2641.3301999999999"/>
    <n v="15847.981199999998"/>
    <n v="15136.560000000001"/>
    <n v="711.42119999999704"/>
    <n v="4.4890335937551283E-2"/>
    <s v="Profit"/>
    <x v="0"/>
    <n v="7.0000000000000007E-2"/>
    <s v="Credit Card"/>
    <s v="Retail"/>
    <s v="North-Eve"/>
  </r>
  <r>
    <n v="1033"/>
    <x v="0"/>
    <x v="3"/>
    <x v="0"/>
    <n v="40"/>
    <x v="0"/>
    <n v="1"/>
    <n v="541.19000000000005"/>
    <n v="595.20000000000005"/>
    <n v="482.11200000000008"/>
    <n v="19284.48"/>
    <n v="21647.600000000002"/>
    <n v="-2363.1200000000026"/>
    <n v="-0.12253999070755357"/>
    <s v="Loss"/>
    <x v="0"/>
    <n v="0.19"/>
    <s v="Credit Card"/>
    <s v="Online"/>
    <s v="West-Alice"/>
  </r>
  <r>
    <n v="1033"/>
    <x v="81"/>
    <x v="0"/>
    <x v="0"/>
    <n v="14"/>
    <x v="2"/>
    <n v="1"/>
    <n v="362.38"/>
    <n v="753.81"/>
    <n v="610.58609999999999"/>
    <n v="8548.2054000000007"/>
    <n v="5073.32"/>
    <n v="3474.885400000001"/>
    <n v="0.40650466821960091"/>
    <s v="Profit"/>
    <x v="0"/>
    <n v="0.19"/>
    <s v="Cash"/>
    <s v="Retail"/>
    <s v="West-Bob"/>
  </r>
  <r>
    <n v="1033"/>
    <x v="56"/>
    <x v="3"/>
    <x v="2"/>
    <n v="32"/>
    <x v="0"/>
    <n v="1"/>
    <n v="108.99"/>
    <n v="351.6"/>
    <n v="256.66800000000001"/>
    <n v="8213.3760000000002"/>
    <n v="3487.68"/>
    <n v="4725.6959999999999"/>
    <n v="0.57536584225536491"/>
    <s v="Profit"/>
    <x v="0"/>
    <n v="0.27"/>
    <s v="Credit Card"/>
    <s v="Retail"/>
    <s v="East-Alice"/>
  </r>
  <r>
    <n v="1033"/>
    <x v="211"/>
    <x v="0"/>
    <x v="2"/>
    <n v="4"/>
    <x v="0"/>
    <n v="1"/>
    <n v="2000.75"/>
    <n v="2426.9899999999998"/>
    <n v="2014.4016999999997"/>
    <n v="8057.6067999999987"/>
    <n v="8003"/>
    <n v="54.606799999998657"/>
    <n v="6.7770494832285269E-3"/>
    <s v="Profit"/>
    <x v="0"/>
    <n v="0.17"/>
    <s v="Bank Transfer"/>
    <s v="Online"/>
    <s v="East-Bob"/>
  </r>
  <r>
    <n v="1033"/>
    <x v="36"/>
    <x v="2"/>
    <x v="2"/>
    <n v="13"/>
    <x v="0"/>
    <n v="1"/>
    <n v="4342.53"/>
    <n v="4357.49"/>
    <n v="4008.8908000000001"/>
    <n v="52115.580399999999"/>
    <n v="56452.89"/>
    <n v="-4337.3096000000005"/>
    <n v="-8.3224816201029977E-2"/>
    <s v="Loss"/>
    <x v="1"/>
    <n v="0.08"/>
    <s v="Bank Transfer"/>
    <s v="Online"/>
    <s v="East-Eve"/>
  </r>
  <r>
    <n v="1033"/>
    <x v="120"/>
    <x v="2"/>
    <x v="1"/>
    <n v="39"/>
    <x v="3"/>
    <n v="1"/>
    <n v="4232.8100000000004"/>
    <n v="4345.25"/>
    <n v="3823.82"/>
    <n v="149128.98000000001"/>
    <n v="165079.59000000003"/>
    <n v="-15950.610000000015"/>
    <n v="-0.10695848653963846"/>
    <s v="Loss"/>
    <x v="0"/>
    <n v="0.12"/>
    <s v="Bank Transfer"/>
    <s v="Online"/>
    <s v="North-Eve"/>
  </r>
  <r>
    <n v="1033"/>
    <x v="112"/>
    <x v="1"/>
    <x v="2"/>
    <n v="6"/>
    <x v="2"/>
    <n v="1"/>
    <n v="1621.07"/>
    <n v="1687.5"/>
    <n v="1485"/>
    <n v="8910"/>
    <n v="9726.42"/>
    <n v="-816.42000000000007"/>
    <n v="-9.1629629629629644E-2"/>
    <s v="Loss"/>
    <x v="0"/>
    <n v="0.12"/>
    <s v="Credit Card"/>
    <s v="Online"/>
    <s v="East-David"/>
  </r>
  <r>
    <n v="1033"/>
    <x v="212"/>
    <x v="0"/>
    <x v="1"/>
    <n v="16"/>
    <x v="1"/>
    <n v="1"/>
    <n v="2915.88"/>
    <n v="3397.36"/>
    <n v="2717.8880000000004"/>
    <n v="43486.208000000006"/>
    <n v="46654.080000000002"/>
    <n v="-3167.8719999999958"/>
    <n v="-7.2847740598582317E-2"/>
    <s v="Loss"/>
    <x v="1"/>
    <n v="0.2"/>
    <s v="Bank Transfer"/>
    <s v="Retail"/>
    <s v="North-Bob"/>
  </r>
  <r>
    <n v="1033"/>
    <x v="178"/>
    <x v="3"/>
    <x v="0"/>
    <n v="24"/>
    <x v="2"/>
    <n v="1"/>
    <n v="1345.67"/>
    <n v="1367.76"/>
    <n v="1285.6943999999999"/>
    <n v="30856.665599999997"/>
    <n v="32296.080000000002"/>
    <n v="-1439.4144000000051"/>
    <n v="-4.6648410384303E-2"/>
    <s v="Loss"/>
    <x v="1"/>
    <n v="0.06"/>
    <s v="Bank Transfer"/>
    <s v="Online"/>
    <s v="West-Alice"/>
  </r>
  <r>
    <n v="1033"/>
    <x v="11"/>
    <x v="1"/>
    <x v="3"/>
    <n v="23"/>
    <x v="1"/>
    <n v="1"/>
    <n v="2981.5"/>
    <n v="3360.4"/>
    <n v="2621.1120000000001"/>
    <n v="60285.576000000001"/>
    <n v="68574.5"/>
    <n v="-8288.9239999999991"/>
    <n v="-0.137494315389804"/>
    <s v="Loss"/>
    <x v="0"/>
    <n v="0.22"/>
    <s v="Bank Transfer"/>
    <s v="Retail"/>
    <s v="South-David"/>
  </r>
  <r>
    <n v="1033"/>
    <x v="213"/>
    <x v="2"/>
    <x v="2"/>
    <n v="29"/>
    <x v="2"/>
    <n v="1"/>
    <n v="1412.09"/>
    <n v="1596.65"/>
    <n v="1484.8844999999999"/>
    <n v="43061.650500000003"/>
    <n v="40950.61"/>
    <n v="2111.0405000000028"/>
    <n v="4.9023678272619921E-2"/>
    <s v="Profit"/>
    <x v="0"/>
    <n v="7.0000000000000007E-2"/>
    <s v="Cash"/>
    <s v="Online"/>
    <s v="East-Eve"/>
  </r>
  <r>
    <n v="1033"/>
    <x v="214"/>
    <x v="0"/>
    <x v="3"/>
    <n v="5"/>
    <x v="1"/>
    <n v="1"/>
    <n v="3162.92"/>
    <n v="3409.93"/>
    <n v="3409.93"/>
    <n v="17049.649999999998"/>
    <n v="15814.6"/>
    <n v="1235.0499999999975"/>
    <n v="7.2438437152668678E-2"/>
    <s v="Profit"/>
    <x v="1"/>
    <n v="0"/>
    <s v="Cash"/>
    <s v="Online"/>
    <s v="South-Bob"/>
  </r>
  <r>
    <n v="1033"/>
    <x v="215"/>
    <x v="1"/>
    <x v="1"/>
    <n v="37"/>
    <x v="3"/>
    <n v="1"/>
    <n v="2600.7600000000002"/>
    <n v="2937.57"/>
    <n v="2438.1831000000002"/>
    <n v="90212.774700000009"/>
    <n v="96228.12000000001"/>
    <n v="-6015.3453000000009"/>
    <n v="-6.6679528703156049E-2"/>
    <s v="Loss"/>
    <x v="1"/>
    <n v="0.17"/>
    <s v="Credit Card"/>
    <s v="Retail"/>
    <s v="North-David"/>
  </r>
  <r>
    <n v="1033"/>
    <x v="77"/>
    <x v="4"/>
    <x v="2"/>
    <n v="44"/>
    <x v="3"/>
    <n v="1"/>
    <n v="1195.22"/>
    <n v="1320.06"/>
    <n v="1016.4462"/>
    <n v="44723.632799999999"/>
    <n v="52589.68"/>
    <n v="-7866.0472000000009"/>
    <n v="-0.1758812222427513"/>
    <s v="Loss"/>
    <x v="0"/>
    <n v="0.23"/>
    <s v="Bank Transfer"/>
    <s v="Retail"/>
    <s v="East-Charlie"/>
  </r>
  <r>
    <n v="1033"/>
    <x v="68"/>
    <x v="1"/>
    <x v="0"/>
    <n v="3"/>
    <x v="2"/>
    <n v="1"/>
    <n v="2958.75"/>
    <n v="3177.64"/>
    <n v="2637.4411999999998"/>
    <n v="7912.3235999999997"/>
    <n v="8876.25"/>
    <n v="-963.92640000000029"/>
    <n v="-0.12182595767443084"/>
    <s v="Loss"/>
    <x v="0"/>
    <n v="0.17"/>
    <s v="Cash"/>
    <s v="Online"/>
    <s v="West-David"/>
  </r>
  <r>
    <n v="1033"/>
    <x v="216"/>
    <x v="1"/>
    <x v="1"/>
    <n v="43"/>
    <x v="2"/>
    <n v="1"/>
    <n v="4781.42"/>
    <n v="4864.34"/>
    <n v="3648.2550000000001"/>
    <n v="156874.965"/>
    <n v="205601.06"/>
    <n v="-48726.095000000001"/>
    <n v="-0.31060465893968486"/>
    <s v="Loss"/>
    <x v="0"/>
    <n v="0.25"/>
    <s v="Bank Transfer"/>
    <s v="Online"/>
    <s v="North-David"/>
  </r>
  <r>
    <n v="1033"/>
    <x v="217"/>
    <x v="0"/>
    <x v="2"/>
    <n v="14"/>
    <x v="0"/>
    <n v="1"/>
    <n v="504.3"/>
    <n v="735.95"/>
    <n v="581.40050000000008"/>
    <n v="8139.6070000000009"/>
    <n v="7060.2"/>
    <n v="1079.4070000000011"/>
    <n v="0.13261168506047047"/>
    <s v="Profit"/>
    <x v="0"/>
    <n v="0.21"/>
    <s v="Cash"/>
    <s v="Retail"/>
    <s v="East-Bob"/>
  </r>
  <r>
    <n v="1033"/>
    <x v="218"/>
    <x v="2"/>
    <x v="2"/>
    <n v="18"/>
    <x v="1"/>
    <n v="1"/>
    <n v="3124.48"/>
    <n v="3553.27"/>
    <n v="3126.8775999999998"/>
    <n v="56283.796800000004"/>
    <n v="56240.639999999999"/>
    <n v="43.156800000004296"/>
    <n v="7.6677129926679523E-4"/>
    <s v="Profit"/>
    <x v="0"/>
    <n v="0.12"/>
    <s v="Cash"/>
    <s v="Retail"/>
    <s v="East-Eve"/>
  </r>
  <r>
    <n v="1034"/>
    <x v="199"/>
    <x v="4"/>
    <x v="0"/>
    <n v="45"/>
    <x v="0"/>
    <n v="1"/>
    <n v="2013.12"/>
    <n v="2321.87"/>
    <n v="1903.9334000000001"/>
    <n v="85677.002999999997"/>
    <n v="90590.399999999994"/>
    <n v="-4913.3969999999972"/>
    <n v="-5.7347909333383164E-2"/>
    <s v="Loss"/>
    <x v="1"/>
    <n v="0.18"/>
    <s v="Bank Transfer"/>
    <s v="Retail"/>
    <s v="West-Charlie"/>
  </r>
  <r>
    <n v="1034"/>
    <x v="46"/>
    <x v="4"/>
    <x v="0"/>
    <n v="7"/>
    <x v="3"/>
    <n v="1"/>
    <n v="2492.36"/>
    <n v="2738.68"/>
    <n v="2437.4251999999997"/>
    <n v="17061.9764"/>
    <n v="17446.52"/>
    <n v="-384.54360000000088"/>
    <n v="-2.2538045475200687E-2"/>
    <s v="Loss"/>
    <x v="0"/>
    <n v="0.11"/>
    <s v="Cash"/>
    <s v="Online"/>
    <s v="West-Charlie"/>
  </r>
  <r>
    <n v="1034"/>
    <x v="162"/>
    <x v="1"/>
    <x v="0"/>
    <n v="28"/>
    <x v="1"/>
    <n v="1"/>
    <n v="137.47"/>
    <n v="234.63"/>
    <n v="171.2799"/>
    <n v="4795.837199999999"/>
    <n v="3849.16"/>
    <n v="946.67719999999917"/>
    <n v="0.19739560800771122"/>
    <s v="Profit"/>
    <x v="1"/>
    <n v="0.27"/>
    <s v="Bank Transfer"/>
    <s v="Retail"/>
    <s v="West-David"/>
  </r>
  <r>
    <n v="1034"/>
    <x v="4"/>
    <x v="2"/>
    <x v="2"/>
    <n v="19"/>
    <x v="2"/>
    <n v="1"/>
    <n v="1922.21"/>
    <n v="2180.83"/>
    <n v="1810.0888999999997"/>
    <n v="34391.689099999996"/>
    <n v="36521.99"/>
    <n v="-2130.300900000002"/>
    <n v="-6.1942316755823498E-2"/>
    <s v="Loss"/>
    <x v="0"/>
    <n v="0.17"/>
    <s v="Credit Card"/>
    <s v="Retail"/>
    <s v="East-Eve"/>
  </r>
  <r>
    <n v="1034"/>
    <x v="113"/>
    <x v="2"/>
    <x v="3"/>
    <n v="26"/>
    <x v="3"/>
    <n v="1"/>
    <n v="667"/>
    <n v="718.72"/>
    <n v="574.976"/>
    <n v="14949.376000000002"/>
    <n v="17342"/>
    <n v="-2392.623999999998"/>
    <n v="-0.16004841941228837"/>
    <s v="Loss"/>
    <x v="1"/>
    <n v="0.2"/>
    <s v="Cash"/>
    <s v="Retail"/>
    <s v="South-Eve"/>
  </r>
  <r>
    <n v="1034"/>
    <x v="8"/>
    <x v="3"/>
    <x v="0"/>
    <n v="3"/>
    <x v="2"/>
    <n v="1"/>
    <n v="3472.51"/>
    <n v="3732"/>
    <n v="3508.08"/>
    <n v="10524.24"/>
    <n v="10417.530000000001"/>
    <n v="106.70999999999913"/>
    <n v="1.0139449499441207E-2"/>
    <s v="Profit"/>
    <x v="1"/>
    <n v="0.06"/>
    <s v="Cash"/>
    <s v="Online"/>
    <s v="West-Alice"/>
  </r>
  <r>
    <n v="1034"/>
    <x v="106"/>
    <x v="3"/>
    <x v="1"/>
    <n v="13"/>
    <x v="1"/>
    <n v="1"/>
    <n v="366.31"/>
    <n v="492.68"/>
    <n v="433.55840000000001"/>
    <n v="5636.2592000000004"/>
    <n v="4762.03"/>
    <n v="874.22920000000067"/>
    <n v="0.15510805464730945"/>
    <s v="Profit"/>
    <x v="1"/>
    <n v="0.12"/>
    <s v="Credit Card"/>
    <s v="Retail"/>
    <s v="North-Alice"/>
  </r>
  <r>
    <n v="1034"/>
    <x v="132"/>
    <x v="0"/>
    <x v="2"/>
    <n v="38"/>
    <x v="0"/>
    <n v="1"/>
    <n v="2729.75"/>
    <n v="3081.5"/>
    <n v="3050.6849999999999"/>
    <n v="115926.03"/>
    <n v="103730.5"/>
    <n v="12195.529999999999"/>
    <n v="0.10520096306239417"/>
    <s v="Profit"/>
    <x v="1"/>
    <n v="0.01"/>
    <s v="Bank Transfer"/>
    <s v="Online"/>
    <s v="East-Bob"/>
  </r>
  <r>
    <n v="1034"/>
    <x v="144"/>
    <x v="1"/>
    <x v="1"/>
    <n v="34"/>
    <x v="0"/>
    <n v="1"/>
    <n v="978.15"/>
    <n v="1040.21"/>
    <n v="915.38480000000004"/>
    <n v="31123.083200000001"/>
    <n v="33257.1"/>
    <n v="-2134.0167999999976"/>
    <n v="-6.8567011381442999E-2"/>
    <s v="Loss"/>
    <x v="1"/>
    <n v="0.12"/>
    <s v="Credit Card"/>
    <s v="Retail"/>
    <s v="North-David"/>
  </r>
  <r>
    <n v="1035"/>
    <x v="102"/>
    <x v="4"/>
    <x v="1"/>
    <n v="5"/>
    <x v="0"/>
    <n v="1"/>
    <n v="4483.8500000000004"/>
    <n v="4795.42"/>
    <n v="3692.4734000000003"/>
    <n v="18462.366999999998"/>
    <n v="22419.25"/>
    <n v="-3956.8830000000016"/>
    <n v="-0.21432154392770991"/>
    <s v="Loss"/>
    <x v="0"/>
    <n v="0.23"/>
    <s v="Cash"/>
    <s v="Online"/>
    <s v="North-Charlie"/>
  </r>
  <r>
    <n v="1035"/>
    <x v="64"/>
    <x v="0"/>
    <x v="0"/>
    <n v="47"/>
    <x v="3"/>
    <n v="1"/>
    <n v="2936.48"/>
    <n v="3096.64"/>
    <n v="2910.8415999999997"/>
    <n v="136809.55519999997"/>
    <n v="138014.56"/>
    <n v="-1205.0048000000243"/>
    <n v="-8.8078994061375655E-3"/>
    <s v="Loss"/>
    <x v="1"/>
    <n v="0.06"/>
    <s v="Bank Transfer"/>
    <s v="Online"/>
    <s v="West-Bob"/>
  </r>
  <r>
    <n v="1035"/>
    <x v="1"/>
    <x v="1"/>
    <x v="3"/>
    <n v="30"/>
    <x v="3"/>
    <n v="1"/>
    <n v="3813.62"/>
    <n v="3839.72"/>
    <n v="3033.3788"/>
    <n v="91001.364000000001"/>
    <n v="114408.59999999999"/>
    <n v="-23407.23599999999"/>
    <n v="-0.25721851817517799"/>
    <s v="Loss"/>
    <x v="1"/>
    <n v="0.21"/>
    <s v="Credit Card"/>
    <s v="Online"/>
    <s v="South-David"/>
  </r>
  <r>
    <n v="1035"/>
    <x v="171"/>
    <x v="3"/>
    <x v="0"/>
    <n v="5"/>
    <x v="2"/>
    <n v="1"/>
    <n v="3991.69"/>
    <n v="4454.97"/>
    <n v="3831.2742000000003"/>
    <n v="19156.371000000003"/>
    <n v="19958.45"/>
    <n v="-802.0789999999979"/>
    <n v="-4.1870091156618224E-2"/>
    <s v="Loss"/>
    <x v="1"/>
    <n v="0.14000000000000001"/>
    <s v="Credit Card"/>
    <s v="Retail"/>
    <s v="West-Alice"/>
  </r>
  <r>
    <n v="1035"/>
    <x v="184"/>
    <x v="1"/>
    <x v="1"/>
    <n v="1"/>
    <x v="1"/>
    <n v="1"/>
    <n v="610.83000000000004"/>
    <n v="808.69"/>
    <n v="630.77820000000008"/>
    <n v="630.77820000000008"/>
    <n v="610.83000000000004"/>
    <n v="19.948200000000043"/>
    <n v="3.1624745433497921E-2"/>
    <s v="Profit"/>
    <x v="1"/>
    <n v="0.22"/>
    <s v="Credit Card"/>
    <s v="Online"/>
    <s v="North-David"/>
  </r>
  <r>
    <n v="1035"/>
    <x v="96"/>
    <x v="1"/>
    <x v="3"/>
    <n v="34"/>
    <x v="0"/>
    <n v="1"/>
    <n v="1105.05"/>
    <n v="1200.96"/>
    <n v="972.77760000000012"/>
    <n v="33074.438399999999"/>
    <n v="37571.699999999997"/>
    <n v="-4497.261599999998"/>
    <n v="-0.13597393689986276"/>
    <s v="Loss"/>
    <x v="0"/>
    <n v="0.19"/>
    <s v="Cash"/>
    <s v="Online"/>
    <s v="South-David"/>
  </r>
  <r>
    <n v="1035"/>
    <x v="160"/>
    <x v="0"/>
    <x v="3"/>
    <n v="9"/>
    <x v="2"/>
    <n v="1"/>
    <n v="2534.94"/>
    <n v="2755.56"/>
    <n v="2397.3371999999999"/>
    <n v="21576.034800000001"/>
    <n v="22814.46"/>
    <n v="-1238.4251999999979"/>
    <n v="-5.7398183284353886E-2"/>
    <s v="Loss"/>
    <x v="0"/>
    <n v="0.13"/>
    <s v="Credit Card"/>
    <s v="Retail"/>
    <s v="South-Bob"/>
  </r>
  <r>
    <n v="1035"/>
    <x v="60"/>
    <x v="3"/>
    <x v="1"/>
    <n v="28"/>
    <x v="1"/>
    <n v="1"/>
    <n v="3771.38"/>
    <n v="4234.92"/>
    <n v="3049.1423999999997"/>
    <n v="85375.987200000003"/>
    <n v="105598.64"/>
    <n v="-20222.652799999996"/>
    <n v="-0.23686581512231106"/>
    <s v="Loss"/>
    <x v="1"/>
    <n v="0.28000000000000003"/>
    <s v="Credit Card"/>
    <s v="Retail"/>
    <s v="North-Alice"/>
  </r>
  <r>
    <n v="1035"/>
    <x v="219"/>
    <x v="3"/>
    <x v="3"/>
    <n v="45"/>
    <x v="0"/>
    <n v="1"/>
    <n v="4132.79"/>
    <n v="4624.1000000000004"/>
    <n v="3930.4850000000001"/>
    <n v="176871.82500000001"/>
    <n v="185975.55"/>
    <n v="-9103.7249999999767"/>
    <n v="-5.1470747248749067E-2"/>
    <s v="Loss"/>
    <x v="1"/>
    <n v="0.15"/>
    <s v="Credit Card"/>
    <s v="Retail"/>
    <s v="South-Alice"/>
  </r>
  <r>
    <n v="1035"/>
    <x v="209"/>
    <x v="1"/>
    <x v="2"/>
    <n v="30"/>
    <x v="2"/>
    <n v="1"/>
    <n v="1300.03"/>
    <n v="1745.52"/>
    <n v="1588.4232"/>
    <n v="47652.696000000004"/>
    <n v="39000.9"/>
    <n v="8651.7960000000021"/>
    <n v="0.18155942320661148"/>
    <s v="Profit"/>
    <x v="1"/>
    <n v="0.09"/>
    <s v="Cash"/>
    <s v="Retail"/>
    <s v="East-David"/>
  </r>
  <r>
    <n v="1036"/>
    <x v="191"/>
    <x v="3"/>
    <x v="0"/>
    <n v="17"/>
    <x v="1"/>
    <n v="1"/>
    <n v="1475"/>
    <n v="1840.77"/>
    <n v="1656.693"/>
    <n v="28163.780999999999"/>
    <n v="25075"/>
    <n v="3088.780999999999"/>
    <n v="0.10967209977950046"/>
    <s v="Profit"/>
    <x v="0"/>
    <n v="0.1"/>
    <s v="Credit Card"/>
    <s v="Online"/>
    <s v="West-Alice"/>
  </r>
  <r>
    <n v="1036"/>
    <x v="220"/>
    <x v="1"/>
    <x v="1"/>
    <n v="42"/>
    <x v="1"/>
    <n v="1"/>
    <n v="4292.63"/>
    <n v="4387.99"/>
    <n v="4080.8306999999995"/>
    <n v="171394.88939999999"/>
    <n v="180290.46"/>
    <n v="-8895.5706000000064"/>
    <n v="-5.1901025935724356E-2"/>
    <s v="Loss"/>
    <x v="1"/>
    <n v="7.0000000000000007E-2"/>
    <s v="Credit Card"/>
    <s v="Retail"/>
    <s v="North-David"/>
  </r>
  <r>
    <n v="1036"/>
    <x v="187"/>
    <x v="4"/>
    <x v="2"/>
    <n v="26"/>
    <x v="3"/>
    <n v="1"/>
    <n v="4266.3599999999997"/>
    <n v="4331.43"/>
    <n v="3725.0298000000003"/>
    <n v="96850.774799999999"/>
    <n v="110925.35999999999"/>
    <n v="-14074.585199999987"/>
    <n v="-0.14532238104511258"/>
    <s v="Loss"/>
    <x v="0"/>
    <n v="0.14000000000000001"/>
    <s v="Credit Card"/>
    <s v="Retail"/>
    <s v="East-Charlie"/>
  </r>
  <r>
    <n v="1036"/>
    <x v="159"/>
    <x v="1"/>
    <x v="1"/>
    <n v="7"/>
    <x v="0"/>
    <n v="1"/>
    <n v="2882.25"/>
    <n v="3163.7"/>
    <n v="3005.5149999999999"/>
    <n v="21038.604999999996"/>
    <n v="20175.75"/>
    <n v="862.85499999999593"/>
    <n v="4.1012937882525774E-2"/>
    <s v="Profit"/>
    <x v="0"/>
    <n v="0.05"/>
    <s v="Cash"/>
    <s v="Retail"/>
    <s v="North-David"/>
  </r>
  <r>
    <n v="1036"/>
    <x v="207"/>
    <x v="0"/>
    <x v="0"/>
    <n v="19"/>
    <x v="1"/>
    <n v="1"/>
    <n v="2844.97"/>
    <n v="3215"/>
    <n v="2925.65"/>
    <n v="55587.35"/>
    <n v="54054.429999999993"/>
    <n v="1532.9200000000055"/>
    <n v="2.7576777810059402E-2"/>
    <s v="Profit"/>
    <x v="0"/>
    <n v="0.09"/>
    <s v="Credit Card"/>
    <s v="Retail"/>
    <s v="West-Bob"/>
  </r>
  <r>
    <n v="1036"/>
    <x v="139"/>
    <x v="3"/>
    <x v="2"/>
    <n v="23"/>
    <x v="0"/>
    <n v="1"/>
    <n v="3335.53"/>
    <n v="3742.12"/>
    <n v="3629.8563999999997"/>
    <n v="83486.697199999995"/>
    <n v="76717.19"/>
    <n v="6769.5071999999927"/>
    <n v="8.1084860547100346E-2"/>
    <s v="Profit"/>
    <x v="1"/>
    <n v="0.03"/>
    <s v="Bank Transfer"/>
    <s v="Retail"/>
    <s v="East-Alice"/>
  </r>
  <r>
    <n v="1036"/>
    <x v="21"/>
    <x v="1"/>
    <x v="1"/>
    <n v="49"/>
    <x v="2"/>
    <n v="1"/>
    <n v="1247.0999999999999"/>
    <n v="1429.44"/>
    <n v="1200.7295999999999"/>
    <n v="58835.750399999997"/>
    <n v="61107.899999999994"/>
    <n v="-2272.149599999997"/>
    <n v="-3.8618519939876507E-2"/>
    <s v="Loss"/>
    <x v="1"/>
    <n v="0.16"/>
    <s v="Cash"/>
    <s v="Online"/>
    <s v="North-David"/>
  </r>
  <r>
    <n v="1036"/>
    <x v="99"/>
    <x v="3"/>
    <x v="2"/>
    <n v="32"/>
    <x v="2"/>
    <n v="1"/>
    <n v="700.49"/>
    <n v="1126.52"/>
    <n v="799.8291999999999"/>
    <n v="25594.534399999997"/>
    <n v="22415.68"/>
    <n v="3178.8543999999965"/>
    <n v="0.12420051681033889"/>
    <s v="Profit"/>
    <x v="1"/>
    <n v="0.28999999999999998"/>
    <s v="Credit Card"/>
    <s v="Retail"/>
    <s v="East-Alice"/>
  </r>
  <r>
    <n v="1036"/>
    <x v="196"/>
    <x v="1"/>
    <x v="2"/>
    <n v="25"/>
    <x v="0"/>
    <n v="1"/>
    <n v="2520.9699999999998"/>
    <n v="2707.11"/>
    <n v="2030.3325"/>
    <n v="50758.3125"/>
    <n v="63024.249999999993"/>
    <n v="-12265.937499999993"/>
    <n v="-0.24165376853298645"/>
    <s v="Loss"/>
    <x v="1"/>
    <n v="0.25"/>
    <s v="Cash"/>
    <s v="Retail"/>
    <s v="East-David"/>
  </r>
  <r>
    <n v="1036"/>
    <x v="221"/>
    <x v="0"/>
    <x v="1"/>
    <n v="42"/>
    <x v="1"/>
    <n v="1"/>
    <n v="3549.43"/>
    <n v="3967.69"/>
    <n v="3412.2134000000001"/>
    <n v="143312.96280000001"/>
    <n v="149076.06"/>
    <n v="-5763.0971999999892"/>
    <n v="-4.0213370007866373E-2"/>
    <s v="Loss"/>
    <x v="1"/>
    <n v="0.14000000000000001"/>
    <s v="Bank Transfer"/>
    <s v="Online"/>
    <s v="North-Bob"/>
  </r>
  <r>
    <n v="1036"/>
    <x v="33"/>
    <x v="4"/>
    <x v="0"/>
    <n v="25"/>
    <x v="1"/>
    <n v="1"/>
    <n v="4037.73"/>
    <n v="4446.45"/>
    <n v="4046.2694999999999"/>
    <n v="101156.7375"/>
    <n v="100943.25"/>
    <n v="213.48750000000291"/>
    <n v="2.1104624889667178E-3"/>
    <s v="Profit"/>
    <x v="0"/>
    <n v="0.09"/>
    <s v="Bank Transfer"/>
    <s v="Online"/>
    <s v="West-Charlie"/>
  </r>
  <r>
    <n v="1036"/>
    <x v="222"/>
    <x v="0"/>
    <x v="1"/>
    <n v="7"/>
    <x v="2"/>
    <n v="1"/>
    <n v="2588.67"/>
    <n v="2847.76"/>
    <n v="2221.2528000000002"/>
    <n v="15548.7696"/>
    <n v="18120.690000000002"/>
    <n v="-2571.9204000000027"/>
    <n v="-0.16540989841408435"/>
    <s v="Loss"/>
    <x v="1"/>
    <n v="0.22"/>
    <s v="Cash"/>
    <s v="Retail"/>
    <s v="North-Bob"/>
  </r>
  <r>
    <n v="1037"/>
    <x v="111"/>
    <x v="3"/>
    <x v="3"/>
    <n v="4"/>
    <x v="0"/>
    <n v="1"/>
    <n v="4721.7"/>
    <n v="5017.58"/>
    <n v="3813.3607999999999"/>
    <n v="15253.4432"/>
    <n v="18886.8"/>
    <n v="-3633.3567999999996"/>
    <n v="-0.23819912346085897"/>
    <s v="Loss"/>
    <x v="1"/>
    <n v="0.24"/>
    <s v="Cash"/>
    <s v="Retail"/>
    <s v="South-Alice"/>
  </r>
  <r>
    <n v="1037"/>
    <x v="223"/>
    <x v="4"/>
    <x v="1"/>
    <n v="41"/>
    <x v="2"/>
    <n v="1"/>
    <n v="4965.07"/>
    <n v="5243.13"/>
    <n v="5190.6986999999999"/>
    <n v="212818.64670000001"/>
    <n v="203567.87"/>
    <n v="9250.7767000000167"/>
    <n v="4.346788612484874E-2"/>
    <s v="Profit"/>
    <x v="1"/>
    <n v="0.01"/>
    <s v="Credit Card"/>
    <s v="Online"/>
    <s v="North-Charlie"/>
  </r>
  <r>
    <n v="1037"/>
    <x v="159"/>
    <x v="0"/>
    <x v="1"/>
    <n v="32"/>
    <x v="3"/>
    <n v="1"/>
    <n v="2594.08"/>
    <n v="3074.59"/>
    <n v="2644.1474000000003"/>
    <n v="84612.716800000009"/>
    <n v="83010.559999999998"/>
    <n v="1602.1568000000116"/>
    <n v="1.8935177365679522E-2"/>
    <s v="Profit"/>
    <x v="1"/>
    <n v="0.14000000000000001"/>
    <s v="Cash"/>
    <s v="Retail"/>
    <s v="North-Bob"/>
  </r>
  <r>
    <n v="1037"/>
    <x v="224"/>
    <x v="0"/>
    <x v="3"/>
    <n v="5"/>
    <x v="1"/>
    <n v="1"/>
    <n v="1941.56"/>
    <n v="2385.48"/>
    <n v="2027.6579999999999"/>
    <n v="10138.289999999999"/>
    <n v="9707.7999999999993"/>
    <n v="430.48999999999978"/>
    <n v="4.2461795825528746E-2"/>
    <s v="Profit"/>
    <x v="0"/>
    <n v="0.15"/>
    <s v="Credit Card"/>
    <s v="Online"/>
    <s v="South-Bob"/>
  </r>
  <r>
    <n v="1037"/>
    <x v="155"/>
    <x v="3"/>
    <x v="3"/>
    <n v="17"/>
    <x v="3"/>
    <n v="1"/>
    <n v="1308.58"/>
    <n v="1575.59"/>
    <n v="1102.9129999999998"/>
    <n v="18749.520999999997"/>
    <n v="22245.86"/>
    <n v="-3496.3390000000036"/>
    <n v="-0.18647617717807319"/>
    <s v="Loss"/>
    <x v="1"/>
    <n v="0.3"/>
    <s v="Cash"/>
    <s v="Online"/>
    <s v="South-Alice"/>
  </r>
  <r>
    <n v="1037"/>
    <x v="148"/>
    <x v="0"/>
    <x v="1"/>
    <n v="40"/>
    <x v="2"/>
    <n v="1"/>
    <n v="2790.11"/>
    <n v="3192.37"/>
    <n v="2362.3537999999999"/>
    <n v="94494.151999999987"/>
    <n v="111604.40000000001"/>
    <n v="-17110.248000000021"/>
    <n v="-0.18107203078556675"/>
    <s v="Loss"/>
    <x v="0"/>
    <n v="0.26"/>
    <s v="Bank Transfer"/>
    <s v="Online"/>
    <s v="North-Bob"/>
  </r>
  <r>
    <n v="1037"/>
    <x v="148"/>
    <x v="4"/>
    <x v="2"/>
    <n v="25"/>
    <x v="0"/>
    <n v="1"/>
    <n v="1074.6199999999999"/>
    <n v="1382.43"/>
    <n v="1050.6468"/>
    <n v="26266.170000000002"/>
    <n v="26865.499999999996"/>
    <n v="-599.32999999999447"/>
    <n v="-2.281756342854685E-2"/>
    <s v="Loss"/>
    <x v="0"/>
    <n v="0.24"/>
    <s v="Credit Card"/>
    <s v="Retail"/>
    <s v="East-Charlie"/>
  </r>
  <r>
    <n v="1038"/>
    <x v="200"/>
    <x v="3"/>
    <x v="2"/>
    <n v="43"/>
    <x v="1"/>
    <n v="1"/>
    <n v="3031.17"/>
    <n v="3231.32"/>
    <n v="2520.4296000000004"/>
    <n v="108378.47280000002"/>
    <n v="130340.31"/>
    <n v="-21961.83719999998"/>
    <n v="-0.20264021657260312"/>
    <s v="Loss"/>
    <x v="0"/>
    <n v="0.22"/>
    <s v="Cash"/>
    <s v="Retail"/>
    <s v="East-Alice"/>
  </r>
  <r>
    <n v="1038"/>
    <x v="186"/>
    <x v="4"/>
    <x v="1"/>
    <n v="7"/>
    <x v="1"/>
    <n v="1"/>
    <n v="523.02"/>
    <n v="686.25"/>
    <n v="658.8"/>
    <n v="4611.5999999999995"/>
    <n v="3661.14"/>
    <n v="950.45999999999958"/>
    <n v="0.20610200364298717"/>
    <s v="Profit"/>
    <x v="0"/>
    <n v="0.04"/>
    <s v="Cash"/>
    <s v="Online"/>
    <s v="North-Charlie"/>
  </r>
  <r>
    <n v="1038"/>
    <x v="158"/>
    <x v="3"/>
    <x v="2"/>
    <n v="16"/>
    <x v="1"/>
    <n v="1"/>
    <n v="3899.7"/>
    <n v="4228.18"/>
    <n v="3086.5714000000003"/>
    <n v="49385.142400000004"/>
    <n v="62395.199999999997"/>
    <n v="-13010.057599999993"/>
    <n v="-0.26344072260891144"/>
    <s v="Loss"/>
    <x v="1"/>
    <n v="0.27"/>
    <s v="Cash"/>
    <s v="Retail"/>
    <s v="East-Alice"/>
  </r>
  <r>
    <n v="1038"/>
    <x v="112"/>
    <x v="1"/>
    <x v="2"/>
    <n v="1"/>
    <x v="0"/>
    <n v="1"/>
    <n v="1281.6500000000001"/>
    <n v="1709.71"/>
    <n v="1470.3506"/>
    <n v="1470.3506"/>
    <n v="1281.6500000000001"/>
    <n v="188.70059999999989"/>
    <n v="0.12833714625613776"/>
    <s v="Profit"/>
    <x v="0"/>
    <n v="0.14000000000000001"/>
    <s v="Credit Card"/>
    <s v="Online"/>
    <s v="East-David"/>
  </r>
  <r>
    <n v="1038"/>
    <x v="225"/>
    <x v="0"/>
    <x v="3"/>
    <n v="15"/>
    <x v="2"/>
    <n v="1"/>
    <n v="2543.36"/>
    <n v="2790.1"/>
    <n v="2594.7929999999997"/>
    <n v="38921.894999999997"/>
    <n v="38150.400000000001"/>
    <n v="771.49499999999534"/>
    <n v="1.9821619682186476E-2"/>
    <s v="Profit"/>
    <x v="0"/>
    <n v="7.0000000000000007E-2"/>
    <s v="Cash"/>
    <s v="Online"/>
    <s v="South-Bob"/>
  </r>
  <r>
    <n v="1038"/>
    <x v="212"/>
    <x v="0"/>
    <x v="3"/>
    <n v="20"/>
    <x v="2"/>
    <n v="1"/>
    <n v="2607.31"/>
    <n v="2774.86"/>
    <n v="2025.6478"/>
    <n v="40512.956000000006"/>
    <n v="52146.2"/>
    <n v="-11633.243999999992"/>
    <n v="-0.28714873335828645"/>
    <s v="Loss"/>
    <x v="1"/>
    <n v="0.27"/>
    <s v="Credit Card"/>
    <s v="Retail"/>
    <s v="South-Bob"/>
  </r>
  <r>
    <n v="1038"/>
    <x v="205"/>
    <x v="1"/>
    <x v="1"/>
    <n v="9"/>
    <x v="2"/>
    <n v="1"/>
    <n v="400.42"/>
    <n v="446.11"/>
    <n v="441.64890000000003"/>
    <n v="3974.8401000000003"/>
    <n v="3603.78"/>
    <n v="371.06010000000015"/>
    <n v="9.33522080548599E-2"/>
    <s v="Profit"/>
    <x v="1"/>
    <n v="0.01"/>
    <s v="Bank Transfer"/>
    <s v="Retail"/>
    <s v="North-David"/>
  </r>
  <r>
    <n v="1038"/>
    <x v="38"/>
    <x v="3"/>
    <x v="0"/>
    <n v="42"/>
    <x v="0"/>
    <n v="1"/>
    <n v="1089.0899999999999"/>
    <n v="1355.44"/>
    <n v="1274.1135999999999"/>
    <n v="53512.771200000003"/>
    <n v="45741.78"/>
    <n v="7770.991200000004"/>
    <n v="0.14521750650805398"/>
    <s v="Profit"/>
    <x v="1"/>
    <n v="0.06"/>
    <s v="Cash"/>
    <s v="Retail"/>
    <s v="West-Alice"/>
  </r>
  <r>
    <n v="1038"/>
    <x v="184"/>
    <x v="1"/>
    <x v="0"/>
    <n v="31"/>
    <x v="2"/>
    <n v="1"/>
    <n v="2709.84"/>
    <n v="2766.51"/>
    <n v="2240.8731000000002"/>
    <n v="69467.066100000011"/>
    <n v="84005.040000000008"/>
    <n v="-14537.973899999997"/>
    <n v="-0.20927865125428113"/>
    <s v="Loss"/>
    <x v="1"/>
    <n v="0.19"/>
    <s v="Cash"/>
    <s v="Retail"/>
    <s v="West-David"/>
  </r>
  <r>
    <n v="1038"/>
    <x v="226"/>
    <x v="2"/>
    <x v="0"/>
    <n v="24"/>
    <x v="2"/>
    <n v="1"/>
    <n v="1543.91"/>
    <n v="1862.88"/>
    <n v="1695.2208000000001"/>
    <n v="40685.299200000001"/>
    <n v="37053.840000000004"/>
    <n v="3631.4591999999975"/>
    <n v="8.9257281411365352E-2"/>
    <s v="Profit"/>
    <x v="1"/>
    <n v="0.09"/>
    <s v="Bank Transfer"/>
    <s v="Online"/>
    <s v="West-Eve"/>
  </r>
  <r>
    <n v="1039"/>
    <x v="227"/>
    <x v="2"/>
    <x v="0"/>
    <n v="36"/>
    <x v="2"/>
    <n v="1"/>
    <n v="2919"/>
    <n v="3125.01"/>
    <n v="2375.0076000000004"/>
    <n v="85500.273600000015"/>
    <n v="105084"/>
    <n v="-19583.726399999985"/>
    <n v="-0.22904869862311156"/>
    <s v="Loss"/>
    <x v="1"/>
    <n v="0.24"/>
    <s v="Cash"/>
    <s v="Online"/>
    <s v="West-Eve"/>
  </r>
  <r>
    <n v="1039"/>
    <x v="127"/>
    <x v="0"/>
    <x v="3"/>
    <n v="8"/>
    <x v="2"/>
    <n v="1"/>
    <n v="3380.14"/>
    <n v="3609.34"/>
    <n v="3284.4994000000002"/>
    <n v="26275.995200000001"/>
    <n v="27041.119999999999"/>
    <n v="-765.12479999999778"/>
    <n v="-2.91187752995174E-2"/>
    <s v="Loss"/>
    <x v="0"/>
    <n v="0.09"/>
    <s v="Credit Card"/>
    <s v="Online"/>
    <s v="South-Bob"/>
  </r>
  <r>
    <n v="1039"/>
    <x v="228"/>
    <x v="2"/>
    <x v="3"/>
    <n v="4"/>
    <x v="3"/>
    <n v="1"/>
    <n v="1054.1199999999999"/>
    <n v="1175.22"/>
    <n v="1034.1936000000001"/>
    <n v="4136.7744000000002"/>
    <n v="4216.4799999999996"/>
    <n v="-79.705599999999322"/>
    <n v="-1.9267572338486555E-2"/>
    <s v="Loss"/>
    <x v="0"/>
    <n v="0.12"/>
    <s v="Bank Transfer"/>
    <s v="Retail"/>
    <s v="South-Eve"/>
  </r>
  <r>
    <n v="1039"/>
    <x v="158"/>
    <x v="1"/>
    <x v="3"/>
    <n v="20"/>
    <x v="0"/>
    <n v="1"/>
    <n v="2014.11"/>
    <n v="2056.35"/>
    <n v="1624.5165"/>
    <n v="32490.33"/>
    <n v="40282.199999999997"/>
    <n v="-7791.8699999999953"/>
    <n v="-0.23982120218538855"/>
    <s v="Loss"/>
    <x v="0"/>
    <n v="0.21"/>
    <s v="Bank Transfer"/>
    <s v="Retail"/>
    <s v="South-David"/>
  </r>
  <r>
    <n v="1039"/>
    <x v="229"/>
    <x v="3"/>
    <x v="1"/>
    <n v="3"/>
    <x v="0"/>
    <n v="1"/>
    <n v="391.19"/>
    <n v="471.75"/>
    <n v="344.3775"/>
    <n v="1033.1324999999999"/>
    <n v="1173.57"/>
    <n v="-140.4375"/>
    <n v="-0.13593367743246873"/>
    <s v="Loss"/>
    <x v="0"/>
    <n v="0.27"/>
    <s v="Cash"/>
    <s v="Online"/>
    <s v="North-Alice"/>
  </r>
  <r>
    <n v="1039"/>
    <x v="230"/>
    <x v="2"/>
    <x v="0"/>
    <n v="40"/>
    <x v="1"/>
    <n v="1"/>
    <n v="3536.46"/>
    <n v="3945.82"/>
    <n v="2998.8232000000003"/>
    <n v="119952.92800000001"/>
    <n v="141458.4"/>
    <n v="-21505.47199999998"/>
    <n v="-0.17928259325191276"/>
    <s v="Loss"/>
    <x v="1"/>
    <n v="0.24"/>
    <s v="Bank Transfer"/>
    <s v="Online"/>
    <s v="West-Eve"/>
  </r>
  <r>
    <n v="1039"/>
    <x v="231"/>
    <x v="2"/>
    <x v="1"/>
    <n v="35"/>
    <x v="1"/>
    <n v="1"/>
    <n v="2735.74"/>
    <n v="3181.23"/>
    <n v="2863.107"/>
    <n v="100208.74500000001"/>
    <n v="95750.9"/>
    <n v="4457.8450000000157"/>
    <n v="4.448558855816441E-2"/>
    <s v="Profit"/>
    <x v="1"/>
    <n v="0.1"/>
    <s v="Credit Card"/>
    <s v="Retail"/>
    <s v="North-Eve"/>
  </r>
  <r>
    <n v="1039"/>
    <x v="155"/>
    <x v="0"/>
    <x v="3"/>
    <n v="28"/>
    <x v="2"/>
    <n v="1"/>
    <n v="666.84"/>
    <n v="817.36"/>
    <n v="801.01279999999997"/>
    <n v="22428.358400000001"/>
    <n v="18671.52"/>
    <n v="3756.8384000000005"/>
    <n v="0.16750394001194491"/>
    <s v="Profit"/>
    <x v="0"/>
    <n v="0.02"/>
    <s v="Cash"/>
    <s v="Retail"/>
    <s v="South-Bob"/>
  </r>
  <r>
    <n v="1039"/>
    <x v="232"/>
    <x v="3"/>
    <x v="2"/>
    <n v="42"/>
    <x v="2"/>
    <n v="1"/>
    <n v="3120.19"/>
    <n v="3600.14"/>
    <n v="2916.1134000000002"/>
    <n v="122476.76280000001"/>
    <n v="131047.98"/>
    <n v="-8571.2171999999846"/>
    <n v="-6.9982395060493738E-2"/>
    <s v="Loss"/>
    <x v="0"/>
    <n v="0.19"/>
    <s v="Credit Card"/>
    <s v="Retail"/>
    <s v="East-Alice"/>
  </r>
  <r>
    <n v="1039"/>
    <x v="233"/>
    <x v="3"/>
    <x v="2"/>
    <n v="24"/>
    <x v="2"/>
    <n v="1"/>
    <n v="2615.48"/>
    <n v="3062.22"/>
    <n v="2480.3982000000001"/>
    <n v="59529.556800000006"/>
    <n v="62771.520000000004"/>
    <n v="-3241.9631999999983"/>
    <n v="-5.4459723442792339E-2"/>
    <s v="Loss"/>
    <x v="1"/>
    <n v="0.19"/>
    <s v="Bank Transfer"/>
    <s v="Retail"/>
    <s v="East-Alice"/>
  </r>
  <r>
    <n v="1039"/>
    <x v="234"/>
    <x v="2"/>
    <x v="0"/>
    <n v="37"/>
    <x v="3"/>
    <n v="1"/>
    <n v="4127.05"/>
    <n v="4313.45"/>
    <n v="3623.2979999999998"/>
    <n v="134062.02599999998"/>
    <n v="152700.85"/>
    <n v="-18638.824000000022"/>
    <n v="-0.13903134657982882"/>
    <s v="Loss"/>
    <x v="1"/>
    <n v="0.16"/>
    <s v="Cash"/>
    <s v="Online"/>
    <s v="West-Eve"/>
  </r>
  <r>
    <n v="1039"/>
    <x v="42"/>
    <x v="0"/>
    <x v="2"/>
    <n v="2"/>
    <x v="3"/>
    <n v="1"/>
    <n v="4394.58"/>
    <n v="4545.78"/>
    <n v="3636.6239999999998"/>
    <n v="7273.2479999999996"/>
    <n v="8789.16"/>
    <n v="-1515.9120000000003"/>
    <n v="-0.20842297691485295"/>
    <s v="Loss"/>
    <x v="0"/>
    <n v="0.2"/>
    <s v="Credit Card"/>
    <s v="Retail"/>
    <s v="East-Bob"/>
  </r>
  <r>
    <n v="1040"/>
    <x v="193"/>
    <x v="4"/>
    <x v="2"/>
    <n v="13"/>
    <x v="2"/>
    <n v="1"/>
    <n v="2750.18"/>
    <n v="2882.85"/>
    <n v="2190.9659999999999"/>
    <n v="28482.557999999997"/>
    <n v="35752.339999999997"/>
    <n v="-7269.7819999999992"/>
    <n v="-0.25523627477560124"/>
    <s v="Loss"/>
    <x v="0"/>
    <n v="0.24"/>
    <s v="Credit Card"/>
    <s v="Online"/>
    <s v="East-Charlie"/>
  </r>
  <r>
    <n v="1040"/>
    <x v="193"/>
    <x v="3"/>
    <x v="2"/>
    <n v="42"/>
    <x v="3"/>
    <n v="1"/>
    <n v="4205.29"/>
    <n v="4382.3500000000004"/>
    <n v="3286.7625000000003"/>
    <n v="138044.02500000002"/>
    <n v="176622.18"/>
    <n v="-38578.15499999997"/>
    <n v="-0.27946269315169536"/>
    <s v="Loss"/>
    <x v="1"/>
    <n v="0.25"/>
    <s v="Cash"/>
    <s v="Retail"/>
    <s v="East-Alice"/>
  </r>
  <r>
    <n v="1040"/>
    <x v="136"/>
    <x v="4"/>
    <x v="1"/>
    <n v="19"/>
    <x v="1"/>
    <n v="1"/>
    <n v="342.3"/>
    <n v="768.06"/>
    <n v="698.93459999999993"/>
    <n v="13279.7574"/>
    <n v="6503.7"/>
    <n v="6776.0574000000006"/>
    <n v="0.5102546075126343"/>
    <s v="Profit"/>
    <x v="0"/>
    <n v="0.09"/>
    <s v="Credit Card"/>
    <s v="Online"/>
    <s v="North-Charlie"/>
  </r>
  <r>
    <n v="1040"/>
    <x v="215"/>
    <x v="1"/>
    <x v="1"/>
    <n v="47"/>
    <x v="3"/>
    <n v="1"/>
    <n v="2189.54"/>
    <n v="2617"/>
    <n v="2590.83"/>
    <n v="121769.01"/>
    <n v="102908.38"/>
    <n v="18860.62999999999"/>
    <n v="0.15488858782706694"/>
    <s v="Profit"/>
    <x v="1"/>
    <n v="0.01"/>
    <s v="Bank Transfer"/>
    <s v="Online"/>
    <s v="North-David"/>
  </r>
  <r>
    <n v="1040"/>
    <x v="25"/>
    <x v="3"/>
    <x v="3"/>
    <n v="47"/>
    <x v="2"/>
    <n v="1"/>
    <n v="1656.82"/>
    <n v="1750.38"/>
    <n v="1382.8002000000001"/>
    <n v="64991.609400000001"/>
    <n v="77870.539999999994"/>
    <n v="-12878.930599999992"/>
    <n v="-0.19816297394229465"/>
    <s v="Loss"/>
    <x v="1"/>
    <n v="0.21"/>
    <s v="Credit Card"/>
    <s v="Online"/>
    <s v="South-Alice"/>
  </r>
  <r>
    <n v="1041"/>
    <x v="199"/>
    <x v="4"/>
    <x v="2"/>
    <n v="44"/>
    <x v="3"/>
    <n v="1"/>
    <n v="3288.39"/>
    <n v="3391.46"/>
    <n v="3221.8869999999997"/>
    <n v="141763.02799999999"/>
    <n v="144689.16"/>
    <n v="-2926.1320000000123"/>
    <n v="-2.0641009445706904E-2"/>
    <s v="Loss"/>
    <x v="1"/>
    <n v="0.05"/>
    <s v="Credit Card"/>
    <s v="Retail"/>
    <s v="East-Charlie"/>
  </r>
  <r>
    <n v="1041"/>
    <x v="228"/>
    <x v="1"/>
    <x v="2"/>
    <n v="36"/>
    <x v="0"/>
    <n v="1"/>
    <n v="864.77"/>
    <n v="1170.1600000000001"/>
    <n v="1041.4424000000001"/>
    <n v="37491.926400000004"/>
    <n v="31131.72"/>
    <n v="6360.2064000000028"/>
    <n v="0.16964202724989885"/>
    <s v="Profit"/>
    <x v="0"/>
    <n v="0.11"/>
    <s v="Cash"/>
    <s v="Retail"/>
    <s v="East-David"/>
  </r>
  <r>
    <n v="1041"/>
    <x v="123"/>
    <x v="1"/>
    <x v="3"/>
    <n v="40"/>
    <x v="0"/>
    <n v="1"/>
    <n v="601.86"/>
    <n v="1067.53"/>
    <n v="875.3746000000001"/>
    <n v="35014.983999999997"/>
    <n v="24074.400000000001"/>
    <n v="10940.583999999995"/>
    <n v="0.31245434811565231"/>
    <s v="Profit"/>
    <x v="1"/>
    <n v="0.18"/>
    <s v="Cash"/>
    <s v="Online"/>
    <s v="South-David"/>
  </r>
  <r>
    <n v="1041"/>
    <x v="180"/>
    <x v="0"/>
    <x v="3"/>
    <n v="31"/>
    <x v="0"/>
    <n v="1"/>
    <n v="1604.52"/>
    <n v="1756.34"/>
    <n v="1457.7621999999999"/>
    <n v="45190.628199999999"/>
    <n v="49740.12"/>
    <n v="-4549.4918000000034"/>
    <n v="-0.10067334713439552"/>
    <s v="Loss"/>
    <x v="0"/>
    <n v="0.17"/>
    <s v="Cash"/>
    <s v="Retail"/>
    <s v="South-Bob"/>
  </r>
  <r>
    <n v="1042"/>
    <x v="118"/>
    <x v="3"/>
    <x v="0"/>
    <n v="37"/>
    <x v="1"/>
    <n v="1"/>
    <n v="502.86"/>
    <n v="687.6"/>
    <n v="543.20400000000006"/>
    <n v="20098.548000000003"/>
    <n v="18605.82"/>
    <n v="1492.7280000000028"/>
    <n v="7.4270439834758339E-2"/>
    <s v="Profit"/>
    <x v="0"/>
    <n v="0.21"/>
    <s v="Cash"/>
    <s v="Online"/>
    <s v="West-Alice"/>
  </r>
  <r>
    <n v="1042"/>
    <x v="56"/>
    <x v="0"/>
    <x v="1"/>
    <n v="20"/>
    <x v="0"/>
    <n v="1"/>
    <n v="3115.06"/>
    <n v="3565.58"/>
    <n v="2495.9059999999999"/>
    <n v="49918.12"/>
    <n v="62301.2"/>
    <n v="-12383.079999999994"/>
    <n v="-0.24806783588805015"/>
    <s v="Loss"/>
    <x v="0"/>
    <n v="0.3"/>
    <s v="Credit Card"/>
    <s v="Retail"/>
    <s v="North-Bob"/>
  </r>
  <r>
    <n v="1042"/>
    <x v="235"/>
    <x v="3"/>
    <x v="2"/>
    <n v="23"/>
    <x v="3"/>
    <n v="1"/>
    <n v="1314"/>
    <n v="1567.78"/>
    <n v="1332.6129999999998"/>
    <n v="30650.099000000002"/>
    <n v="30222"/>
    <n v="428.09900000000198"/>
    <n v="1.396729583157307E-2"/>
    <s v="Profit"/>
    <x v="0"/>
    <n v="0.15"/>
    <s v="Credit Card"/>
    <s v="Retail"/>
    <s v="East-Alice"/>
  </r>
  <r>
    <n v="1042"/>
    <x v="136"/>
    <x v="1"/>
    <x v="3"/>
    <n v="46"/>
    <x v="1"/>
    <n v="1"/>
    <n v="2172.38"/>
    <n v="2367.11"/>
    <n v="1988.3724"/>
    <n v="91465.130400000009"/>
    <n v="99929.48000000001"/>
    <n v="-8464.3496000000014"/>
    <n v="-9.2541819630970537E-2"/>
    <s v="Loss"/>
    <x v="1"/>
    <n v="0.16"/>
    <s v="Cash"/>
    <s v="Retail"/>
    <s v="South-David"/>
  </r>
  <r>
    <n v="1042"/>
    <x v="236"/>
    <x v="4"/>
    <x v="0"/>
    <n v="26"/>
    <x v="3"/>
    <n v="1"/>
    <n v="4208.09"/>
    <n v="4226.5600000000004"/>
    <n v="3000.8576000000003"/>
    <n v="78022.297600000005"/>
    <n v="109410.34"/>
    <n v="-31388.042399999991"/>
    <n v="-0.4022957970414856"/>
    <s v="Loss"/>
    <x v="0"/>
    <n v="0.28999999999999998"/>
    <s v="Cash"/>
    <s v="Retail"/>
    <s v="West-Charlie"/>
  </r>
  <r>
    <n v="1042"/>
    <x v="237"/>
    <x v="0"/>
    <x v="2"/>
    <n v="1"/>
    <x v="3"/>
    <n v="1"/>
    <n v="1406.24"/>
    <n v="1535.57"/>
    <n v="1412.7244000000001"/>
    <n v="1412.7244000000001"/>
    <n v="1406.24"/>
    <n v="6.4844000000000506"/>
    <n v="4.5899964635707077E-3"/>
    <s v="Profit"/>
    <x v="1"/>
    <n v="0.08"/>
    <s v="Credit Card"/>
    <s v="Retail"/>
    <s v="East-Bob"/>
  </r>
  <r>
    <n v="1042"/>
    <x v="69"/>
    <x v="2"/>
    <x v="1"/>
    <n v="25"/>
    <x v="0"/>
    <n v="1"/>
    <n v="2403.54"/>
    <n v="2850.56"/>
    <n v="2479.9872"/>
    <n v="61999.68"/>
    <n v="60088.5"/>
    <n v="1911.1800000000003"/>
    <n v="3.08256429710605E-2"/>
    <s v="Profit"/>
    <x v="1"/>
    <n v="0.13"/>
    <s v="Bank Transfer"/>
    <s v="Online"/>
    <s v="North-Eve"/>
  </r>
  <r>
    <n v="1042"/>
    <x v="238"/>
    <x v="2"/>
    <x v="3"/>
    <n v="27"/>
    <x v="2"/>
    <n v="1"/>
    <n v="1139.45"/>
    <n v="1454.41"/>
    <n v="1018.087"/>
    <n v="27488.348999999998"/>
    <n v="30765.15"/>
    <n v="-3276.8010000000031"/>
    <n v="-0.11920690471443023"/>
    <s v="Loss"/>
    <x v="0"/>
    <n v="0.3"/>
    <s v="Bank Transfer"/>
    <s v="Online"/>
    <s v="South-Eve"/>
  </r>
  <r>
    <n v="1042"/>
    <x v="239"/>
    <x v="3"/>
    <x v="1"/>
    <n v="11"/>
    <x v="0"/>
    <n v="1"/>
    <n v="635.20000000000005"/>
    <n v="814.14"/>
    <n v="797.85719999999992"/>
    <n v="8776.4291999999987"/>
    <n v="6987.2000000000007"/>
    <n v="1789.2291999999979"/>
    <n v="0.20386755925747094"/>
    <s v="Profit"/>
    <x v="0"/>
    <n v="0.02"/>
    <s v="Cash"/>
    <s v="Online"/>
    <s v="North-Alice"/>
  </r>
  <r>
    <n v="1043"/>
    <x v="0"/>
    <x v="1"/>
    <x v="2"/>
    <n v="22"/>
    <x v="3"/>
    <n v="1"/>
    <n v="4260"/>
    <n v="4656.58"/>
    <n v="4656.58"/>
    <n v="102444.76"/>
    <n v="93720"/>
    <n v="8724.7599999999948"/>
    <n v="8.5165507733143159E-2"/>
    <s v="Profit"/>
    <x v="1"/>
    <n v="0"/>
    <s v="Bank Transfer"/>
    <s v="Online"/>
    <s v="East-David"/>
  </r>
  <r>
    <n v="1043"/>
    <x v="95"/>
    <x v="1"/>
    <x v="0"/>
    <n v="6"/>
    <x v="2"/>
    <n v="1"/>
    <n v="563.59"/>
    <n v="838.97"/>
    <n v="696.3451"/>
    <n v="4178.0705999999991"/>
    <n v="3381.54"/>
    <n v="796.53059999999914"/>
    <n v="0.19064555778449491"/>
    <s v="Profit"/>
    <x v="1"/>
    <n v="0.17"/>
    <s v="Credit Card"/>
    <s v="Online"/>
    <s v="West-David"/>
  </r>
  <r>
    <n v="1043"/>
    <x v="202"/>
    <x v="2"/>
    <x v="3"/>
    <n v="12"/>
    <x v="3"/>
    <n v="1"/>
    <n v="4920.46"/>
    <n v="5079.68"/>
    <n v="4012.9472000000005"/>
    <n v="48155.366400000006"/>
    <n v="59045.520000000004"/>
    <n v="-10890.153599999998"/>
    <n v="-0.2261462099476414"/>
    <s v="Loss"/>
    <x v="1"/>
    <n v="0.21"/>
    <s v="Credit Card"/>
    <s v="Retail"/>
    <s v="South-Eve"/>
  </r>
  <r>
    <n v="1043"/>
    <x v="21"/>
    <x v="4"/>
    <x v="3"/>
    <n v="22"/>
    <x v="0"/>
    <n v="1"/>
    <n v="530.04"/>
    <n v="759.32"/>
    <n v="630.23559999999998"/>
    <n v="13865.183199999999"/>
    <n v="11660.88"/>
    <n v="2204.3032000000003"/>
    <n v="0.15898118100596034"/>
    <s v="Profit"/>
    <x v="0"/>
    <n v="0.17"/>
    <s v="Bank Transfer"/>
    <s v="Retail"/>
    <s v="South-Charlie"/>
  </r>
  <r>
    <n v="1043"/>
    <x v="208"/>
    <x v="0"/>
    <x v="3"/>
    <n v="3"/>
    <x v="3"/>
    <n v="1"/>
    <n v="2009.1"/>
    <n v="2186.42"/>
    <n v="1639.8150000000001"/>
    <n v="4919.4449999999997"/>
    <n v="6027.2999999999993"/>
    <n v="-1107.8549999999996"/>
    <n v="-0.22519918405429873"/>
    <s v="Loss"/>
    <x v="1"/>
    <n v="0.25"/>
    <s v="Bank Transfer"/>
    <s v="Online"/>
    <s v="South-Bob"/>
  </r>
  <r>
    <n v="1044"/>
    <x v="240"/>
    <x v="3"/>
    <x v="1"/>
    <n v="18"/>
    <x v="2"/>
    <n v="1"/>
    <n v="430.14"/>
    <n v="641.17999999999995"/>
    <n v="557.82659999999998"/>
    <n v="10040.8788"/>
    <n v="7742.5199999999995"/>
    <n v="2298.3588000000009"/>
    <n v="0.22890016359922608"/>
    <s v="Profit"/>
    <x v="1"/>
    <n v="0.13"/>
    <s v="Cash"/>
    <s v="Online"/>
    <s v="North-Alice"/>
  </r>
  <r>
    <n v="1044"/>
    <x v="241"/>
    <x v="2"/>
    <x v="1"/>
    <n v="5"/>
    <x v="0"/>
    <n v="1"/>
    <n v="4762.87"/>
    <n v="5050.46"/>
    <n v="3787.8450000000003"/>
    <n v="18939.224999999999"/>
    <n v="23814.35"/>
    <n v="-4875.125"/>
    <n v="-0.25740889608735312"/>
    <s v="Loss"/>
    <x v="1"/>
    <n v="0.25"/>
    <s v="Cash"/>
    <s v="Retail"/>
    <s v="North-Eve"/>
  </r>
  <r>
    <n v="1044"/>
    <x v="242"/>
    <x v="1"/>
    <x v="0"/>
    <n v="12"/>
    <x v="3"/>
    <n v="1"/>
    <n v="2221.31"/>
    <n v="2494.48"/>
    <n v="1945.6944000000001"/>
    <n v="23348.332800000004"/>
    <n v="26655.72"/>
    <n v="-3307.3871999999974"/>
    <n v="-0.14165410559849467"/>
    <s v="Loss"/>
    <x v="0"/>
    <n v="0.22"/>
    <s v="Bank Transfer"/>
    <s v="Online"/>
    <s v="West-David"/>
  </r>
  <r>
    <n v="1044"/>
    <x v="86"/>
    <x v="1"/>
    <x v="3"/>
    <n v="22"/>
    <x v="0"/>
    <n v="1"/>
    <n v="3373.46"/>
    <n v="3454.76"/>
    <n v="2694.7128000000002"/>
    <n v="59283.681600000004"/>
    <n v="74216.12"/>
    <n v="-14932.438399999992"/>
    <n v="-0.2518810910016086"/>
    <s v="Loss"/>
    <x v="0"/>
    <n v="0.22"/>
    <s v="Bank Transfer"/>
    <s v="Retail"/>
    <s v="South-David"/>
  </r>
  <r>
    <n v="1044"/>
    <x v="243"/>
    <x v="4"/>
    <x v="1"/>
    <n v="6"/>
    <x v="1"/>
    <n v="1"/>
    <n v="2388.9499999999998"/>
    <n v="2742.97"/>
    <n v="2057.2275"/>
    <n v="12343.365"/>
    <n v="14333.699999999999"/>
    <n v="-1990.3349999999991"/>
    <n v="-0.16124735839862137"/>
    <s v="Loss"/>
    <x v="0"/>
    <n v="0.25"/>
    <s v="Credit Card"/>
    <s v="Retail"/>
    <s v="North-Charlie"/>
  </r>
  <r>
    <n v="1044"/>
    <x v="244"/>
    <x v="4"/>
    <x v="0"/>
    <n v="34"/>
    <x v="0"/>
    <n v="1"/>
    <n v="3573.3"/>
    <n v="3740.13"/>
    <n v="3702.7287000000001"/>
    <n v="125892.7758"/>
    <n v="121492.20000000001"/>
    <n v="4400.5757999999914"/>
    <n v="3.4954950925786092E-2"/>
    <s v="Profit"/>
    <x v="0"/>
    <n v="0.01"/>
    <s v="Credit Card"/>
    <s v="Online"/>
    <s v="West-Charlie"/>
  </r>
  <r>
    <n v="1044"/>
    <x v="245"/>
    <x v="0"/>
    <x v="0"/>
    <n v="19"/>
    <x v="0"/>
    <n v="1"/>
    <n v="2182.75"/>
    <n v="2504.0300000000002"/>
    <n v="2478.9897000000001"/>
    <n v="47100.804300000003"/>
    <n v="41472.25"/>
    <n v="5628.5543000000034"/>
    <n v="0.11950017380064151"/>
    <s v="Profit"/>
    <x v="1"/>
    <n v="0.01"/>
    <s v="Bank Transfer"/>
    <s v="Online"/>
    <s v="West-Bob"/>
  </r>
  <r>
    <n v="1044"/>
    <x v="54"/>
    <x v="4"/>
    <x v="0"/>
    <n v="6"/>
    <x v="3"/>
    <n v="1"/>
    <n v="3703.93"/>
    <n v="3840.24"/>
    <n v="3571.4231999999997"/>
    <n v="21428.539199999996"/>
    <n v="22223.579999999998"/>
    <n v="-795.04080000000249"/>
    <n v="-3.7101959801347666E-2"/>
    <s v="Loss"/>
    <x v="1"/>
    <n v="7.0000000000000007E-2"/>
    <s v="Credit Card"/>
    <s v="Online"/>
    <s v="West-Charlie"/>
  </r>
  <r>
    <n v="1044"/>
    <x v="246"/>
    <x v="3"/>
    <x v="1"/>
    <n v="47"/>
    <x v="3"/>
    <n v="1"/>
    <n v="1512.34"/>
    <n v="1830.76"/>
    <n v="1611.0688"/>
    <n v="75720.233600000007"/>
    <n v="71079.98"/>
    <n v="4640.2536000000109"/>
    <n v="6.1281554207989267E-2"/>
    <s v="Profit"/>
    <x v="1"/>
    <n v="0.12"/>
    <s v="Bank Transfer"/>
    <s v="Online"/>
    <s v="North-Alice"/>
  </r>
  <r>
    <n v="1044"/>
    <x v="144"/>
    <x v="4"/>
    <x v="1"/>
    <n v="11"/>
    <x v="2"/>
    <n v="1"/>
    <n v="1812.66"/>
    <n v="2196.3000000000002"/>
    <n v="2020.5960000000002"/>
    <n v="22226.556000000004"/>
    <n v="19939.260000000002"/>
    <n v="2287.2960000000021"/>
    <n v="0.10290825083292264"/>
    <s v="Profit"/>
    <x v="1"/>
    <n v="0.08"/>
    <s v="Cash"/>
    <s v="Online"/>
    <s v="North-Charlie"/>
  </r>
  <r>
    <n v="1045"/>
    <x v="56"/>
    <x v="0"/>
    <x v="3"/>
    <n v="15"/>
    <x v="3"/>
    <n v="1"/>
    <n v="316.22000000000003"/>
    <n v="799.04"/>
    <n v="799.04"/>
    <n v="11985.599999999999"/>
    <n v="4743.3"/>
    <n v="7242.2999999999984"/>
    <n v="0.60425010012014413"/>
    <s v="Profit"/>
    <x v="1"/>
    <n v="0"/>
    <s v="Bank Transfer"/>
    <s v="Online"/>
    <s v="South-Bob"/>
  </r>
  <r>
    <n v="1045"/>
    <x v="247"/>
    <x v="3"/>
    <x v="0"/>
    <n v="22"/>
    <x v="2"/>
    <n v="1"/>
    <n v="241.85"/>
    <n v="613.09"/>
    <n v="576.30460000000005"/>
    <n v="12678.701200000001"/>
    <n v="5320.7"/>
    <n v="7358.0012000000015"/>
    <n v="0.58034345032123646"/>
    <s v="Profit"/>
    <x v="0"/>
    <n v="0.06"/>
    <s v="Cash"/>
    <s v="Online"/>
    <s v="West-Alice"/>
  </r>
  <r>
    <n v="1045"/>
    <x v="104"/>
    <x v="4"/>
    <x v="3"/>
    <n v="35"/>
    <x v="1"/>
    <n v="1"/>
    <n v="3777.94"/>
    <n v="4188.66"/>
    <n v="3476.5877999999998"/>
    <n v="121680.573"/>
    <n v="132227.9"/>
    <n v="-10547.32699999999"/>
    <n v="-8.6680451447249424E-2"/>
    <s v="Loss"/>
    <x v="1"/>
    <n v="0.17"/>
    <s v="Bank Transfer"/>
    <s v="Online"/>
    <s v="South-Charlie"/>
  </r>
  <r>
    <n v="1045"/>
    <x v="95"/>
    <x v="1"/>
    <x v="3"/>
    <n v="42"/>
    <x v="2"/>
    <n v="1"/>
    <n v="3587.74"/>
    <n v="3745.91"/>
    <n v="3371.319"/>
    <n v="141595.39800000002"/>
    <n v="150685.07999999999"/>
    <n v="-9089.6819999999716"/>
    <n v="-6.4194755821089397E-2"/>
    <s v="Loss"/>
    <x v="0"/>
    <n v="0.1"/>
    <s v="Cash"/>
    <s v="Online"/>
    <s v="South-David"/>
  </r>
  <r>
    <n v="1045"/>
    <x v="19"/>
    <x v="1"/>
    <x v="1"/>
    <n v="36"/>
    <x v="3"/>
    <n v="1"/>
    <n v="3835.64"/>
    <n v="4076.77"/>
    <n v="3669.0929999999998"/>
    <n v="132087.348"/>
    <n v="138083.04"/>
    <n v="-5995.69200000001"/>
    <n v="-4.5391872051212735E-2"/>
    <s v="Loss"/>
    <x v="0"/>
    <n v="0.1"/>
    <s v="Credit Card"/>
    <s v="Retail"/>
    <s v="North-David"/>
  </r>
  <r>
    <n v="1045"/>
    <x v="215"/>
    <x v="0"/>
    <x v="1"/>
    <n v="2"/>
    <x v="3"/>
    <n v="1"/>
    <n v="912.08"/>
    <n v="993.24"/>
    <n v="903.84840000000008"/>
    <n v="1807.6968000000002"/>
    <n v="1824.16"/>
    <n v="-16.463199999999915"/>
    <n v="-9.1072794951011227E-3"/>
    <s v="Loss"/>
    <x v="0"/>
    <n v="0.09"/>
    <s v="Credit Card"/>
    <s v="Online"/>
    <s v="North-Bob"/>
  </r>
  <r>
    <n v="1045"/>
    <x v="60"/>
    <x v="0"/>
    <x v="2"/>
    <n v="46"/>
    <x v="0"/>
    <n v="1"/>
    <n v="2577.08"/>
    <n v="2961.56"/>
    <n v="2665.404"/>
    <n v="122608.58400000002"/>
    <n v="118545.68"/>
    <n v="4062.9040000000241"/>
    <n v="3.3137190459682851E-2"/>
    <s v="Profit"/>
    <x v="0"/>
    <n v="0.1"/>
    <s v="Cash"/>
    <s v="Online"/>
    <s v="East-Bob"/>
  </r>
  <r>
    <n v="1045"/>
    <x v="130"/>
    <x v="2"/>
    <x v="3"/>
    <n v="9"/>
    <x v="2"/>
    <n v="1"/>
    <n v="4920.34"/>
    <n v="5129.1899999999996"/>
    <n v="4462.3952999999992"/>
    <n v="40161.557699999998"/>
    <n v="44283.06"/>
    <n v="-4121.5023000000001"/>
    <n v="-0.10262306882583891"/>
    <s v="Loss"/>
    <x v="0"/>
    <n v="0.13"/>
    <s v="Credit Card"/>
    <s v="Online"/>
    <s v="South-Eve"/>
  </r>
  <r>
    <n v="1045"/>
    <x v="248"/>
    <x v="2"/>
    <x v="0"/>
    <n v="14"/>
    <x v="2"/>
    <n v="1"/>
    <n v="635.28"/>
    <n v="831.13"/>
    <n v="689.83789999999999"/>
    <n v="9657.730599999999"/>
    <n v="8893.92"/>
    <n v="763.81059999999889"/>
    <n v="7.9088000238896602E-2"/>
    <s v="Profit"/>
    <x v="0"/>
    <n v="0.17"/>
    <s v="Bank Transfer"/>
    <s v="Retail"/>
    <s v="West-Eve"/>
  </r>
  <r>
    <n v="1046"/>
    <x v="48"/>
    <x v="3"/>
    <x v="1"/>
    <n v="30"/>
    <x v="1"/>
    <n v="1"/>
    <n v="320.73"/>
    <n v="678.04"/>
    <n v="623.79679999999996"/>
    <n v="18713.903999999999"/>
    <n v="9621.9000000000015"/>
    <n v="9092.0039999999972"/>
    <n v="0.48584218450623651"/>
    <s v="Profit"/>
    <x v="0"/>
    <n v="0.08"/>
    <s v="Cash"/>
    <s v="Retail"/>
    <s v="North-Alice"/>
  </r>
  <r>
    <n v="1046"/>
    <x v="158"/>
    <x v="4"/>
    <x v="2"/>
    <n v="3"/>
    <x v="1"/>
    <n v="1"/>
    <n v="1216.1600000000001"/>
    <n v="1295.3699999999999"/>
    <n v="1114.0182"/>
    <n v="3342.0545999999995"/>
    <n v="3648.4800000000005"/>
    <n v="-306.42540000000099"/>
    <n v="-9.1687730056834213E-2"/>
    <s v="Loss"/>
    <x v="1"/>
    <n v="0.14000000000000001"/>
    <s v="Cash"/>
    <s v="Retail"/>
    <s v="East-Charlie"/>
  </r>
  <r>
    <n v="1046"/>
    <x v="170"/>
    <x v="2"/>
    <x v="1"/>
    <n v="17"/>
    <x v="1"/>
    <n v="1"/>
    <n v="3850.99"/>
    <n v="4045.34"/>
    <n v="3398.0855999999999"/>
    <n v="57767.455199999997"/>
    <n v="65466.829999999994"/>
    <n v="-7699.3747999999978"/>
    <n v="-0.13328222220181854"/>
    <s v="Loss"/>
    <x v="0"/>
    <n v="0.16"/>
    <s v="Credit Card"/>
    <s v="Online"/>
    <s v="North-Eve"/>
  </r>
  <r>
    <n v="1046"/>
    <x v="213"/>
    <x v="3"/>
    <x v="3"/>
    <n v="4"/>
    <x v="1"/>
    <n v="1"/>
    <n v="4095.1"/>
    <n v="4134.55"/>
    <n v="3762.4405000000002"/>
    <n v="15049.762000000001"/>
    <n v="16380.4"/>
    <n v="-1330.637999999999"/>
    <n v="-8.8415883254499242E-2"/>
    <s v="Loss"/>
    <x v="0"/>
    <n v="0.09"/>
    <s v="Bank Transfer"/>
    <s v="Retail"/>
    <s v="South-Alice"/>
  </r>
  <r>
    <n v="1046"/>
    <x v="140"/>
    <x v="2"/>
    <x v="2"/>
    <n v="43"/>
    <x v="2"/>
    <n v="1"/>
    <n v="4052.42"/>
    <n v="4199.3"/>
    <n v="3779.3700000000003"/>
    <n v="162512.91"/>
    <n v="174254.06"/>
    <n v="-11741.149999999994"/>
    <n v="-7.2247490983947019E-2"/>
    <s v="Loss"/>
    <x v="1"/>
    <n v="0.1"/>
    <s v="Bank Transfer"/>
    <s v="Retail"/>
    <s v="East-Eve"/>
  </r>
  <r>
    <n v="1046"/>
    <x v="249"/>
    <x v="3"/>
    <x v="3"/>
    <n v="46"/>
    <x v="2"/>
    <n v="1"/>
    <n v="2551.56"/>
    <n v="2841.68"/>
    <n v="2585.9288000000001"/>
    <n v="118952.7248"/>
    <n v="117371.76"/>
    <n v="1580.9648000000016"/>
    <n v="1.3290698491002549E-2"/>
    <s v="Profit"/>
    <x v="1"/>
    <n v="0.09"/>
    <s v="Bank Transfer"/>
    <s v="Retail"/>
    <s v="South-Alice"/>
  </r>
  <r>
    <n v="1046"/>
    <x v="50"/>
    <x v="4"/>
    <x v="0"/>
    <n v="41"/>
    <x v="2"/>
    <n v="1"/>
    <n v="1825.37"/>
    <n v="2073.88"/>
    <n v="1513.9324000000001"/>
    <n v="62071.2284"/>
    <n v="74840.17"/>
    <n v="-12768.941599999998"/>
    <n v="-0.20571433704701739"/>
    <s v="Loss"/>
    <x v="0"/>
    <n v="0.27"/>
    <s v="Cash"/>
    <s v="Retail"/>
    <s v="West-Charlie"/>
  </r>
  <r>
    <n v="1047"/>
    <x v="1"/>
    <x v="2"/>
    <x v="3"/>
    <n v="47"/>
    <x v="2"/>
    <n v="1"/>
    <n v="4729.59"/>
    <n v="4976.68"/>
    <n v="4080.8776000000007"/>
    <n v="191801.24720000004"/>
    <n v="222290.73"/>
    <n v="-30489.482799999969"/>
    <n v="-0.15896394442215056"/>
    <s v="Loss"/>
    <x v="0"/>
    <n v="0.18"/>
    <s v="Credit Card"/>
    <s v="Retail"/>
    <s v="South-Eve"/>
  </r>
  <r>
    <n v="1047"/>
    <x v="36"/>
    <x v="1"/>
    <x v="3"/>
    <n v="15"/>
    <x v="2"/>
    <n v="1"/>
    <n v="957.95"/>
    <n v="1329.26"/>
    <n v="1050.1154000000001"/>
    <n v="15751.731000000002"/>
    <n v="14369.25"/>
    <n v="1382.4810000000016"/>
    <n v="8.776692542552951E-2"/>
    <s v="Profit"/>
    <x v="1"/>
    <n v="0.21"/>
    <s v="Cash"/>
    <s v="Online"/>
    <s v="South-David"/>
  </r>
  <r>
    <n v="1047"/>
    <x v="240"/>
    <x v="1"/>
    <x v="1"/>
    <n v="33"/>
    <x v="3"/>
    <n v="1"/>
    <n v="1341.55"/>
    <n v="1427.21"/>
    <n v="1213.1285"/>
    <n v="40033.2405"/>
    <n v="44271.15"/>
    <n v="-4237.9095000000016"/>
    <n v="-0.10585976671061643"/>
    <s v="Loss"/>
    <x v="0"/>
    <n v="0.15"/>
    <s v="Credit Card"/>
    <s v="Online"/>
    <s v="North-David"/>
  </r>
  <r>
    <n v="1047"/>
    <x v="134"/>
    <x v="1"/>
    <x v="2"/>
    <n v="18"/>
    <x v="2"/>
    <n v="1"/>
    <n v="560.91999999999996"/>
    <n v="1024.31"/>
    <n v="757.98939999999993"/>
    <n v="13643.809199999998"/>
    <n v="10096.56"/>
    <n v="3547.2491999999984"/>
    <n v="0.25998965157032533"/>
    <s v="Profit"/>
    <x v="0"/>
    <n v="0.26"/>
    <s v="Cash"/>
    <s v="Online"/>
    <s v="East-David"/>
  </r>
  <r>
    <n v="1047"/>
    <x v="250"/>
    <x v="1"/>
    <x v="1"/>
    <n v="41"/>
    <x v="2"/>
    <n v="1"/>
    <n v="2888.49"/>
    <n v="2929.45"/>
    <n v="2753.6829999999995"/>
    <n v="112901.003"/>
    <n v="118428.09"/>
    <n v="-5527.0869999999995"/>
    <n v="-4.8955162958118269E-2"/>
    <s v="Loss"/>
    <x v="1"/>
    <n v="0.06"/>
    <s v="Cash"/>
    <s v="Retail"/>
    <s v="North-David"/>
  </r>
  <r>
    <n v="1047"/>
    <x v="251"/>
    <x v="1"/>
    <x v="1"/>
    <n v="36"/>
    <x v="0"/>
    <n v="1"/>
    <n v="4043.53"/>
    <n v="4384.8500000000004"/>
    <n v="3770.9710000000005"/>
    <n v="135754.95600000001"/>
    <n v="145567.08000000002"/>
    <n v="-9812.1240000000107"/>
    <n v="-7.2278201025677544E-2"/>
    <s v="Loss"/>
    <x v="1"/>
    <n v="0.14000000000000001"/>
    <s v="Cash"/>
    <s v="Online"/>
    <s v="North-David"/>
  </r>
  <r>
    <n v="1047"/>
    <x v="8"/>
    <x v="2"/>
    <x v="0"/>
    <n v="16"/>
    <x v="2"/>
    <n v="1"/>
    <n v="3966.86"/>
    <n v="4321.04"/>
    <n v="3327.2008000000001"/>
    <n v="53235.212800000001"/>
    <n v="63469.760000000002"/>
    <n v="-10234.547200000001"/>
    <n v="-0.19225145653968345"/>
    <s v="Loss"/>
    <x v="0"/>
    <n v="0.23"/>
    <s v="Credit Card"/>
    <s v="Retail"/>
    <s v="West-Eve"/>
  </r>
  <r>
    <n v="1047"/>
    <x v="83"/>
    <x v="2"/>
    <x v="0"/>
    <n v="17"/>
    <x v="1"/>
    <n v="1"/>
    <n v="1591.34"/>
    <n v="2043.82"/>
    <n v="1451.1121999999998"/>
    <n v="24668.9074"/>
    <n v="27052.78"/>
    <n v="-2383.8725999999988"/>
    <n v="-9.6634705434907056E-2"/>
    <s v="Loss"/>
    <x v="1"/>
    <n v="0.28999999999999998"/>
    <s v="Cash"/>
    <s v="Retail"/>
    <s v="West-Eve"/>
  </r>
  <r>
    <n v="1047"/>
    <x v="32"/>
    <x v="4"/>
    <x v="2"/>
    <n v="19"/>
    <x v="1"/>
    <n v="1"/>
    <n v="3484.62"/>
    <n v="3781.55"/>
    <n v="2987.4245000000001"/>
    <n v="56761.065499999997"/>
    <n v="66207.78"/>
    <n v="-9446.7145000000019"/>
    <n v="-0.16642947796672355"/>
    <s v="Loss"/>
    <x v="0"/>
    <n v="0.21"/>
    <s v="Credit Card"/>
    <s v="Retail"/>
    <s v="East-Charlie"/>
  </r>
  <r>
    <n v="1047"/>
    <x v="53"/>
    <x v="1"/>
    <x v="1"/>
    <n v="43"/>
    <x v="3"/>
    <n v="1"/>
    <n v="1249.17"/>
    <n v="1727.15"/>
    <n v="1588.9780000000001"/>
    <n v="68326.054000000004"/>
    <n v="53714.310000000005"/>
    <n v="14611.743999999999"/>
    <n v="0.21385318110131163"/>
    <s v="Profit"/>
    <x v="1"/>
    <n v="0.08"/>
    <s v="Cash"/>
    <s v="Retail"/>
    <s v="North-David"/>
  </r>
  <r>
    <n v="1047"/>
    <x v="252"/>
    <x v="2"/>
    <x v="1"/>
    <n v="32"/>
    <x v="3"/>
    <n v="1"/>
    <n v="367.98"/>
    <n v="806.14"/>
    <n v="628.78920000000005"/>
    <n v="20121.254400000002"/>
    <n v="11775.36"/>
    <n v="8345.894400000001"/>
    <n v="0.41478002484775506"/>
    <s v="Profit"/>
    <x v="0"/>
    <n v="0.22"/>
    <s v="Credit Card"/>
    <s v="Retail"/>
    <s v="North-Eve"/>
  </r>
  <r>
    <n v="1047"/>
    <x v="45"/>
    <x v="3"/>
    <x v="2"/>
    <n v="37"/>
    <x v="3"/>
    <n v="1"/>
    <n v="3114.88"/>
    <n v="3256.78"/>
    <n v="2410.0172000000002"/>
    <n v="89170.636400000003"/>
    <n v="115250.56"/>
    <n v="-26079.923599999995"/>
    <n v="-0.2924721035185972"/>
    <s v="Loss"/>
    <x v="0"/>
    <n v="0.26"/>
    <s v="Credit Card"/>
    <s v="Online"/>
    <s v="East-Alice"/>
  </r>
  <r>
    <n v="1048"/>
    <x v="46"/>
    <x v="1"/>
    <x v="3"/>
    <n v="45"/>
    <x v="3"/>
    <n v="1"/>
    <n v="4262.21"/>
    <n v="4533.3100000000004"/>
    <n v="3309.3163000000004"/>
    <n v="148919.2335"/>
    <n v="191799.45"/>
    <n v="-42880.21650000001"/>
    <n v="-0.2879427693267036"/>
    <s v="Loss"/>
    <x v="0"/>
    <n v="0.27"/>
    <s v="Credit Card"/>
    <s v="Online"/>
    <s v="South-David"/>
  </r>
  <r>
    <n v="1048"/>
    <x v="204"/>
    <x v="1"/>
    <x v="1"/>
    <n v="42"/>
    <x v="3"/>
    <n v="1"/>
    <n v="4723.83"/>
    <n v="5186.1899999999996"/>
    <n v="4045.2282"/>
    <n v="169899.58439999999"/>
    <n v="198400.86"/>
    <n v="-28501.275599999994"/>
    <n v="-0.16775365107956083"/>
    <s v="Loss"/>
    <x v="0"/>
    <n v="0.22"/>
    <s v="Credit Card"/>
    <s v="Online"/>
    <s v="North-David"/>
  </r>
  <r>
    <n v="1048"/>
    <x v="120"/>
    <x v="4"/>
    <x v="0"/>
    <n v="27"/>
    <x v="2"/>
    <n v="1"/>
    <n v="3197.76"/>
    <n v="3572.61"/>
    <n v="3286.8012000000003"/>
    <n v="88743.632400000002"/>
    <n v="86339.520000000004"/>
    <n v="2404.1123999999982"/>
    <n v="2.7090534103492457E-2"/>
    <s v="Profit"/>
    <x v="0"/>
    <n v="0.08"/>
    <s v="Credit Card"/>
    <s v="Online"/>
    <s v="West-Charlie"/>
  </r>
  <r>
    <n v="1048"/>
    <x v="104"/>
    <x v="4"/>
    <x v="2"/>
    <n v="47"/>
    <x v="2"/>
    <n v="1"/>
    <n v="702.44"/>
    <n v="1067.6600000000001"/>
    <n v="811.42160000000013"/>
    <n v="38136.815200000005"/>
    <n v="33014.68"/>
    <n v="5122.1352000000043"/>
    <n v="0.13430946378553402"/>
    <s v="Profit"/>
    <x v="1"/>
    <n v="0.24"/>
    <s v="Cash"/>
    <s v="Retail"/>
    <s v="East-Charlie"/>
  </r>
  <r>
    <n v="1048"/>
    <x v="184"/>
    <x v="4"/>
    <x v="1"/>
    <n v="42"/>
    <x v="3"/>
    <n v="1"/>
    <n v="3139.99"/>
    <n v="3349.37"/>
    <n v="2913.9519"/>
    <n v="122385.9798"/>
    <n v="131879.57999999999"/>
    <n v="-9493.6001999999862"/>
    <n v="-7.7570978436534821E-2"/>
    <s v="Loss"/>
    <x v="0"/>
    <n v="0.13"/>
    <s v="Credit Card"/>
    <s v="Retail"/>
    <s v="North-Charlie"/>
  </r>
  <r>
    <n v="1048"/>
    <x v="253"/>
    <x v="0"/>
    <x v="0"/>
    <n v="7"/>
    <x v="2"/>
    <n v="1"/>
    <n v="4310.95"/>
    <n v="4723.2"/>
    <n v="4487.04"/>
    <n v="31409.279999999999"/>
    <n v="30176.649999999998"/>
    <n v="1232.630000000001"/>
    <n v="3.9244134217658003E-2"/>
    <s v="Profit"/>
    <x v="0"/>
    <n v="0.05"/>
    <s v="Credit Card"/>
    <s v="Retail"/>
    <s v="West-Bob"/>
  </r>
  <r>
    <n v="1048"/>
    <x v="21"/>
    <x v="3"/>
    <x v="3"/>
    <n v="6"/>
    <x v="3"/>
    <n v="1"/>
    <n v="3717.3"/>
    <n v="4061.37"/>
    <n v="3939.5288999999998"/>
    <n v="23637.1734"/>
    <n v="22303.800000000003"/>
    <n v="1333.3733999999968"/>
    <n v="5.6410018974603654E-2"/>
    <s v="Profit"/>
    <x v="1"/>
    <n v="0.03"/>
    <s v="Bank Transfer"/>
    <s v="Retail"/>
    <s v="South-Alice"/>
  </r>
  <r>
    <n v="1048"/>
    <x v="254"/>
    <x v="0"/>
    <x v="0"/>
    <n v="47"/>
    <x v="0"/>
    <n v="1"/>
    <n v="4535.8599999999997"/>
    <n v="4641.41"/>
    <n v="3388.2293"/>
    <n v="159246.77709999998"/>
    <n v="213185.41999999998"/>
    <n v="-53938.642900000006"/>
    <n v="-0.33871104886555353"/>
    <s v="Loss"/>
    <x v="1"/>
    <n v="0.27"/>
    <s v="Credit Card"/>
    <s v="Retail"/>
    <s v="West-Bob"/>
  </r>
  <r>
    <n v="1048"/>
    <x v="91"/>
    <x v="2"/>
    <x v="3"/>
    <n v="7"/>
    <x v="3"/>
    <n v="1"/>
    <n v="1655.43"/>
    <n v="2001.08"/>
    <n v="1620.8748000000001"/>
    <n v="11346.123600000001"/>
    <n v="11588.01"/>
    <n v="-241.88639999999941"/>
    <n v="-2.1318858186949365E-2"/>
    <s v="Loss"/>
    <x v="1"/>
    <n v="0.19"/>
    <s v="Bank Transfer"/>
    <s v="Online"/>
    <s v="South-Eve"/>
  </r>
  <r>
    <n v="1048"/>
    <x v="255"/>
    <x v="3"/>
    <x v="1"/>
    <n v="6"/>
    <x v="1"/>
    <n v="1"/>
    <n v="1945.27"/>
    <n v="2309.4299999999998"/>
    <n v="1708.9781999999998"/>
    <n v="10253.869199999999"/>
    <n v="11671.619999999999"/>
    <n v="-1417.7507999999998"/>
    <n v="-0.13826495855827767"/>
    <s v="Loss"/>
    <x v="1"/>
    <n v="0.26"/>
    <s v="Credit Card"/>
    <s v="Online"/>
    <s v="North-Alice"/>
  </r>
  <r>
    <n v="1048"/>
    <x v="173"/>
    <x v="4"/>
    <x v="1"/>
    <n v="4"/>
    <x v="1"/>
    <n v="1"/>
    <n v="2900.14"/>
    <n v="2910.51"/>
    <n v="2270.1978000000004"/>
    <n v="9080.7912000000015"/>
    <n v="11600.56"/>
    <n v="-2519.768799999998"/>
    <n v="-0.27748339814266376"/>
    <s v="Loss"/>
    <x v="1"/>
    <n v="0.22"/>
    <s v="Credit Card"/>
    <s v="Retail"/>
    <s v="North-Charlie"/>
  </r>
  <r>
    <n v="1049"/>
    <x v="9"/>
    <x v="2"/>
    <x v="3"/>
    <n v="22"/>
    <x v="3"/>
    <n v="1"/>
    <n v="4573.6899999999996"/>
    <n v="4820.3"/>
    <n v="4627.4880000000003"/>
    <n v="101804.736"/>
    <n v="100621.18"/>
    <n v="1183.5560000000114"/>
    <n v="1.1625745977083142E-2"/>
    <s v="Profit"/>
    <x v="1"/>
    <n v="0.04"/>
    <s v="Cash"/>
    <s v="Online"/>
    <s v="South-Eve"/>
  </r>
  <r>
    <n v="1049"/>
    <x v="39"/>
    <x v="3"/>
    <x v="0"/>
    <n v="1"/>
    <x v="1"/>
    <n v="1"/>
    <n v="3290.89"/>
    <n v="3317.75"/>
    <n v="2753.7325000000001"/>
    <n v="2753.7325000000001"/>
    <n v="3290.89"/>
    <n v="-537.1574999999998"/>
    <n v="-0.19506524326527713"/>
    <s v="Loss"/>
    <x v="0"/>
    <n v="0.17"/>
    <s v="Bank Transfer"/>
    <s v="Online"/>
    <s v="West-Alice"/>
  </r>
  <r>
    <n v="1049"/>
    <x v="256"/>
    <x v="2"/>
    <x v="3"/>
    <n v="30"/>
    <x v="2"/>
    <n v="1"/>
    <n v="4697.4399999999996"/>
    <n v="4752.24"/>
    <n v="3421.6127999999999"/>
    <n v="102648.38399999998"/>
    <n v="140923.19999999998"/>
    <n v="-38274.816000000006"/>
    <n v="-0.37287304980855829"/>
    <s v="Loss"/>
    <x v="1"/>
    <n v="0.28000000000000003"/>
    <s v="Credit Card"/>
    <s v="Online"/>
    <s v="South-Eve"/>
  </r>
  <r>
    <n v="1049"/>
    <x v="257"/>
    <x v="3"/>
    <x v="2"/>
    <n v="31"/>
    <x v="3"/>
    <n v="1"/>
    <n v="3570.24"/>
    <n v="3712.25"/>
    <n v="3600.8824999999997"/>
    <n v="111627.3575"/>
    <n v="110677.43999999999"/>
    <n v="949.91750000001048"/>
    <n v="8.5097194923745324E-3"/>
    <s v="Profit"/>
    <x v="1"/>
    <n v="0.03"/>
    <s v="Credit Card"/>
    <s v="Online"/>
    <s v="East-Alice"/>
  </r>
  <r>
    <n v="1049"/>
    <x v="219"/>
    <x v="0"/>
    <x v="2"/>
    <n v="19"/>
    <x v="2"/>
    <n v="1"/>
    <n v="3316.97"/>
    <n v="3544.02"/>
    <n v="3047.8571999999999"/>
    <n v="57909.286800000002"/>
    <n v="63022.429999999993"/>
    <n v="-5113.1431999999913"/>
    <n v="-8.8295737739943828E-2"/>
    <s v="Loss"/>
    <x v="0"/>
    <n v="0.14000000000000001"/>
    <s v="Cash"/>
    <s v="Online"/>
    <s v="East-Bob"/>
  </r>
  <r>
    <n v="1049"/>
    <x v="51"/>
    <x v="2"/>
    <x v="2"/>
    <n v="17"/>
    <x v="3"/>
    <n v="1"/>
    <n v="558.70000000000005"/>
    <n v="1004.08"/>
    <n v="973.95759999999996"/>
    <n v="16557.279200000001"/>
    <n v="9497.9000000000015"/>
    <n v="7059.3791999999994"/>
    <n v="0.42636106540982888"/>
    <s v="Profit"/>
    <x v="0"/>
    <n v="0.03"/>
    <s v="Credit Card"/>
    <s v="Online"/>
    <s v="East-Eve"/>
  </r>
  <r>
    <n v="1049"/>
    <x v="44"/>
    <x v="3"/>
    <x v="0"/>
    <n v="44"/>
    <x v="1"/>
    <n v="1"/>
    <n v="3351.33"/>
    <n v="3465.35"/>
    <n v="3049.5079999999998"/>
    <n v="134178.35199999998"/>
    <n v="147458.51999999999"/>
    <n v="-13280.168000000005"/>
    <n v="-9.8973998428599025E-2"/>
    <s v="Loss"/>
    <x v="0"/>
    <n v="0.12"/>
    <s v="Bank Transfer"/>
    <s v="Online"/>
    <s v="West-Alice"/>
  </r>
  <r>
    <n v="1049"/>
    <x v="166"/>
    <x v="4"/>
    <x v="3"/>
    <n v="38"/>
    <x v="0"/>
    <n v="1"/>
    <n v="2945.92"/>
    <n v="3381.22"/>
    <n v="2603.5394000000001"/>
    <n v="98934.497199999998"/>
    <n v="111944.96000000001"/>
    <n v="-13010.462800000008"/>
    <n v="-0.1315058262609739"/>
    <s v="Loss"/>
    <x v="0"/>
    <n v="0.23"/>
    <s v="Cash"/>
    <s v="Retail"/>
    <s v="South-Charlie"/>
  </r>
  <r>
    <n v="1049"/>
    <x v="203"/>
    <x v="3"/>
    <x v="2"/>
    <n v="38"/>
    <x v="0"/>
    <n v="1"/>
    <n v="4243.9799999999996"/>
    <n v="4474.51"/>
    <n v="4429.7649000000001"/>
    <n v="168331.0662"/>
    <n v="161271.24"/>
    <n v="7059.8262000000104"/>
    <n v="4.1940126438764339E-2"/>
    <s v="Profit"/>
    <x v="1"/>
    <n v="0.01"/>
    <s v="Credit Card"/>
    <s v="Online"/>
    <s v="East-Alice"/>
  </r>
  <r>
    <n v="1050"/>
    <x v="101"/>
    <x v="0"/>
    <x v="3"/>
    <n v="23"/>
    <x v="1"/>
    <n v="1"/>
    <n v="3756.06"/>
    <n v="4255.7299999999996"/>
    <n v="4085.5007999999993"/>
    <n v="93966.518399999986"/>
    <n v="86389.38"/>
    <n v="7577.1383999999816"/>
    <n v="8.0636577038486756E-2"/>
    <s v="Profit"/>
    <x v="0"/>
    <n v="0.04"/>
    <s v="Cash"/>
    <s v="Online"/>
    <s v="South-Bob"/>
  </r>
  <r>
    <n v="1050"/>
    <x v="258"/>
    <x v="0"/>
    <x v="1"/>
    <n v="20"/>
    <x v="3"/>
    <n v="1"/>
    <n v="3318.92"/>
    <n v="3785.91"/>
    <n v="2877.2916"/>
    <n v="57545.831999999995"/>
    <n v="66378.399999999994"/>
    <n v="-8832.5679999999993"/>
    <n v="-0.15348753668206588"/>
    <s v="Loss"/>
    <x v="1"/>
    <n v="0.24"/>
    <s v="Bank Transfer"/>
    <s v="Online"/>
    <s v="North-Bob"/>
  </r>
  <r>
    <n v="1050"/>
    <x v="113"/>
    <x v="4"/>
    <x v="0"/>
    <n v="48"/>
    <x v="1"/>
    <n v="1"/>
    <n v="710.06"/>
    <n v="851.35"/>
    <n v="817.29599999999994"/>
    <n v="39230.207999999999"/>
    <n v="34082.879999999997"/>
    <n v="5147.3280000000013"/>
    <n v="0.13120827705017524"/>
    <s v="Profit"/>
    <x v="0"/>
    <n v="0.04"/>
    <s v="Bank Transfer"/>
    <s v="Online"/>
    <s v="West-Charlie"/>
  </r>
  <r>
    <n v="1050"/>
    <x v="259"/>
    <x v="3"/>
    <x v="1"/>
    <n v="28"/>
    <x v="0"/>
    <n v="1"/>
    <n v="1711.63"/>
    <n v="1951.24"/>
    <n v="1521.9672"/>
    <n v="42615.081600000005"/>
    <n v="47925.64"/>
    <n v="-5310.5583999999944"/>
    <n v="-0.12461687742022284"/>
    <s v="Loss"/>
    <x v="1"/>
    <n v="0.22"/>
    <s v="Cash"/>
    <s v="Online"/>
    <s v="North-Alice"/>
  </r>
  <r>
    <n v="1050"/>
    <x v="39"/>
    <x v="0"/>
    <x v="1"/>
    <n v="45"/>
    <x v="1"/>
    <n v="1"/>
    <n v="112.35"/>
    <n v="586.17999999999995"/>
    <n v="422.04959999999994"/>
    <n v="18992.232"/>
    <n v="5055.75"/>
    <n v="13936.482"/>
    <n v="0.73379906058434841"/>
    <s v="Profit"/>
    <x v="0"/>
    <n v="0.28000000000000003"/>
    <s v="Credit Card"/>
    <s v="Retail"/>
    <s v="North-Bob"/>
  </r>
  <r>
    <n v="1050"/>
    <x v="154"/>
    <x v="2"/>
    <x v="3"/>
    <n v="43"/>
    <x v="1"/>
    <n v="1"/>
    <n v="4834.47"/>
    <n v="4973.38"/>
    <n v="4824.1786000000002"/>
    <n v="207439.67979999998"/>
    <n v="207882.21000000002"/>
    <n v="-442.53020000003744"/>
    <n v="-2.13329581122906E-3"/>
    <s v="Loss"/>
    <x v="0"/>
    <n v="0.03"/>
    <s v="Bank Transfer"/>
    <s v="Online"/>
    <s v="South-Eve"/>
  </r>
  <r>
    <n v="1050"/>
    <x v="260"/>
    <x v="4"/>
    <x v="2"/>
    <n v="35"/>
    <x v="2"/>
    <n v="1"/>
    <n v="2158.69"/>
    <n v="2384.38"/>
    <n v="2169.7858000000001"/>
    <n v="75942.503000000012"/>
    <n v="75554.150000000009"/>
    <n v="388.35300000000279"/>
    <n v="5.1137766686463141E-3"/>
    <s v="Profit"/>
    <x v="0"/>
    <n v="0.09"/>
    <s v="Bank Transfer"/>
    <s v="Retail"/>
    <s v="East-Charlie"/>
  </r>
  <r>
    <n v="1050"/>
    <x v="261"/>
    <x v="1"/>
    <x v="1"/>
    <n v="17"/>
    <x v="1"/>
    <n v="1"/>
    <n v="2346.8000000000002"/>
    <n v="2654.65"/>
    <n v="2309.5455000000002"/>
    <n v="39262.273500000003"/>
    <n v="39895.600000000006"/>
    <n v="-633.32650000000285"/>
    <n v="-1.6130662937794544E-2"/>
    <s v="Loss"/>
    <x v="1"/>
    <n v="0.13"/>
    <s v="Cash"/>
    <s v="Retail"/>
    <s v="North-David"/>
  </r>
  <r>
    <n v="1050"/>
    <x v="62"/>
    <x v="3"/>
    <x v="1"/>
    <n v="6"/>
    <x v="1"/>
    <n v="1"/>
    <n v="3763.26"/>
    <n v="4102.72"/>
    <n v="3651.4208000000003"/>
    <n v="21908.524799999999"/>
    <n v="22579.56"/>
    <n v="-671.03520000000208"/>
    <n v="-3.062895407727325E-2"/>
    <s v="Loss"/>
    <x v="1"/>
    <n v="0.11"/>
    <s v="Credit Card"/>
    <s v="Retail"/>
    <s v="North-Alice"/>
  </r>
  <r>
    <n v="1051"/>
    <x v="220"/>
    <x v="3"/>
    <x v="1"/>
    <n v="34"/>
    <x v="1"/>
    <n v="1"/>
    <n v="3764.14"/>
    <n v="4100.3999999999996"/>
    <n v="3895.3799999999997"/>
    <n v="132442.91999999998"/>
    <n v="127980.76"/>
    <n v="4462.1599999999889"/>
    <n v="3.3691193157021827E-2"/>
    <s v="Profit"/>
    <x v="0"/>
    <n v="0.05"/>
    <s v="Bank Transfer"/>
    <s v="Retail"/>
    <s v="North-Alice"/>
  </r>
  <r>
    <n v="1051"/>
    <x v="16"/>
    <x v="2"/>
    <x v="1"/>
    <n v="14"/>
    <x v="3"/>
    <n v="1"/>
    <n v="3686.81"/>
    <n v="3710.92"/>
    <n v="3339.828"/>
    <n v="46757.592000000004"/>
    <n v="51615.34"/>
    <n v="-4857.7479999999923"/>
    <n v="-0.10389217648333969"/>
    <s v="Loss"/>
    <x v="1"/>
    <n v="0.1"/>
    <s v="Bank Transfer"/>
    <s v="Retail"/>
    <s v="North-Eve"/>
  </r>
  <r>
    <n v="1051"/>
    <x v="262"/>
    <x v="0"/>
    <x v="2"/>
    <n v="12"/>
    <x v="3"/>
    <n v="1"/>
    <n v="3544.48"/>
    <n v="3723.66"/>
    <n v="3016.1646000000001"/>
    <n v="36193.975200000001"/>
    <n v="42533.760000000002"/>
    <n v="-6339.7848000000013"/>
    <n v="-0.17516132906009177"/>
    <s v="Loss"/>
    <x v="0"/>
    <n v="0.19"/>
    <s v="Cash"/>
    <s v="Online"/>
    <s v="East-Bob"/>
  </r>
  <r>
    <n v="1051"/>
    <x v="211"/>
    <x v="3"/>
    <x v="0"/>
    <n v="23"/>
    <x v="3"/>
    <n v="1"/>
    <n v="3325.43"/>
    <n v="3401.1"/>
    <n v="3060.99"/>
    <n v="70402.77"/>
    <n v="76484.89"/>
    <n v="-6082.1199999999953"/>
    <n v="-8.6390350834207166E-2"/>
    <s v="Loss"/>
    <x v="1"/>
    <n v="0.1"/>
    <s v="Cash"/>
    <s v="Online"/>
    <s v="West-Alice"/>
  </r>
  <r>
    <n v="1051"/>
    <x v="263"/>
    <x v="0"/>
    <x v="0"/>
    <n v="3"/>
    <x v="1"/>
    <n v="1"/>
    <n v="3434.75"/>
    <n v="3659.42"/>
    <n v="3073.9128000000001"/>
    <n v="9221.7384000000002"/>
    <n v="10304.25"/>
    <n v="-1082.5115999999998"/>
    <n v="-0.11738693433333565"/>
    <s v="Loss"/>
    <x v="1"/>
    <n v="0.16"/>
    <s v="Cash"/>
    <s v="Online"/>
    <s v="West-Bob"/>
  </r>
  <r>
    <n v="1051"/>
    <x v="223"/>
    <x v="1"/>
    <x v="3"/>
    <n v="23"/>
    <x v="1"/>
    <n v="1"/>
    <n v="2598.1799999999998"/>
    <n v="3042.73"/>
    <n v="2312.4748"/>
    <n v="53186.920399999995"/>
    <n v="59758.14"/>
    <n v="-6571.219600000004"/>
    <n v="-0.12354954095067336"/>
    <s v="Loss"/>
    <x v="0"/>
    <n v="0.24"/>
    <s v="Credit Card"/>
    <s v="Online"/>
    <s v="South-David"/>
  </r>
  <r>
    <n v="1051"/>
    <x v="6"/>
    <x v="0"/>
    <x v="1"/>
    <n v="36"/>
    <x v="0"/>
    <n v="1"/>
    <n v="4418.95"/>
    <n v="4647.87"/>
    <n v="4461.9551999999994"/>
    <n v="160630.3872"/>
    <n v="159082.19999999998"/>
    <n v="1548.1872000000149"/>
    <n v="9.6381962777215731E-3"/>
    <s v="Profit"/>
    <x v="1"/>
    <n v="0.04"/>
    <s v="Bank Transfer"/>
    <s v="Online"/>
    <s v="North-Bob"/>
  </r>
  <r>
    <n v="1051"/>
    <x v="264"/>
    <x v="2"/>
    <x v="1"/>
    <n v="8"/>
    <x v="2"/>
    <n v="1"/>
    <n v="467.11"/>
    <n v="792.21"/>
    <n v="633.76800000000003"/>
    <n v="5070.1440000000002"/>
    <n v="3736.88"/>
    <n v="1333.2640000000001"/>
    <n v="0.26296373436336329"/>
    <s v="Profit"/>
    <x v="1"/>
    <n v="0.2"/>
    <s v="Credit Card"/>
    <s v="Online"/>
    <s v="North-Eve"/>
  </r>
  <r>
    <n v="1051"/>
    <x v="207"/>
    <x v="3"/>
    <x v="1"/>
    <n v="23"/>
    <x v="3"/>
    <n v="1"/>
    <n v="1676.42"/>
    <n v="2082.52"/>
    <n v="1770.1419999999998"/>
    <n v="40713.265999999996"/>
    <n v="38557.660000000003"/>
    <n v="2155.6059999999925"/>
    <n v="5.2946034837882884E-2"/>
    <s v="Profit"/>
    <x v="1"/>
    <n v="0.15"/>
    <s v="Bank Transfer"/>
    <s v="Retail"/>
    <s v="North-Alice"/>
  </r>
  <r>
    <n v="1051"/>
    <x v="122"/>
    <x v="3"/>
    <x v="0"/>
    <n v="43"/>
    <x v="2"/>
    <n v="1"/>
    <n v="287.99"/>
    <n v="666.64"/>
    <n v="666.64"/>
    <n v="28665.52"/>
    <n v="12383.57"/>
    <n v="16281.95"/>
    <n v="0.56799771990879633"/>
    <s v="Profit"/>
    <x v="0"/>
    <n v="0"/>
    <s v="Bank Transfer"/>
    <s v="Online"/>
    <s v="West-Alice"/>
  </r>
  <r>
    <n v="1051"/>
    <x v="123"/>
    <x v="0"/>
    <x v="0"/>
    <n v="31"/>
    <x v="1"/>
    <n v="1"/>
    <n v="144.88"/>
    <n v="175.29"/>
    <n v="163.01969999999997"/>
    <n v="5053.6106999999993"/>
    <n v="4491.28"/>
    <n v="562.33069999999952"/>
    <n v="0.11127305472896826"/>
    <s v="Profit"/>
    <x v="1"/>
    <n v="7.0000000000000007E-2"/>
    <s v="Bank Transfer"/>
    <s v="Online"/>
    <s v="West-Bob"/>
  </r>
  <r>
    <n v="1051"/>
    <x v="208"/>
    <x v="2"/>
    <x v="3"/>
    <n v="8"/>
    <x v="0"/>
    <n v="1"/>
    <n v="3970.37"/>
    <n v="4257.5200000000004"/>
    <n v="3789.1928000000003"/>
    <n v="30313.542400000002"/>
    <n v="31762.959999999999"/>
    <n v="-1449.417599999997"/>
    <n v="-4.7814194094319931E-2"/>
    <s v="Loss"/>
    <x v="1"/>
    <n v="0.11"/>
    <s v="Cash"/>
    <s v="Retail"/>
    <s v="South-Eve"/>
  </r>
  <r>
    <n v="1051"/>
    <x v="63"/>
    <x v="0"/>
    <x v="0"/>
    <n v="3"/>
    <x v="0"/>
    <n v="1"/>
    <n v="1000.18"/>
    <n v="1023.64"/>
    <n v="982.69439999999997"/>
    <n v="2948.0832"/>
    <n v="3000.54"/>
    <n v="-52.45679999999993"/>
    <n v="-1.7793527672489002E-2"/>
    <s v="Loss"/>
    <x v="0"/>
    <n v="0.04"/>
    <s v="Credit Card"/>
    <s v="Online"/>
    <s v="West-Bob"/>
  </r>
  <r>
    <n v="1052"/>
    <x v="102"/>
    <x v="0"/>
    <x v="1"/>
    <n v="18"/>
    <x v="1"/>
    <n v="1"/>
    <n v="152.75"/>
    <n v="267.22000000000003"/>
    <n v="243.17020000000002"/>
    <n v="4377.0636000000013"/>
    <n v="2749.5"/>
    <n v="1627.5636000000013"/>
    <n v="0.37183914805350343"/>
    <s v="Profit"/>
    <x v="0"/>
    <n v="0.09"/>
    <s v="Cash"/>
    <s v="Online"/>
    <s v="North-Bob"/>
  </r>
  <r>
    <n v="1052"/>
    <x v="169"/>
    <x v="0"/>
    <x v="1"/>
    <n v="11"/>
    <x v="2"/>
    <n v="1"/>
    <n v="3451.59"/>
    <n v="3929.26"/>
    <n v="2750.482"/>
    <n v="30255.302"/>
    <n v="37967.490000000005"/>
    <n v="-7712.1880000000056"/>
    <n v="-0.25490368597213164"/>
    <s v="Loss"/>
    <x v="1"/>
    <n v="0.3"/>
    <s v="Credit Card"/>
    <s v="Retail"/>
    <s v="North-Bob"/>
  </r>
  <r>
    <n v="1052"/>
    <x v="265"/>
    <x v="4"/>
    <x v="3"/>
    <n v="26"/>
    <x v="2"/>
    <n v="1"/>
    <n v="4771.99"/>
    <n v="5079.6499999999996"/>
    <n v="3606.5514999999996"/>
    <n v="93770.338999999993"/>
    <n v="124071.73999999999"/>
    <n v="-30301.400999999998"/>
    <n v="-0.32314483794283821"/>
    <s v="Loss"/>
    <x v="1"/>
    <n v="0.28999999999999998"/>
    <s v="Credit Card"/>
    <s v="Online"/>
    <s v="South-Charlie"/>
  </r>
  <r>
    <n v="1052"/>
    <x v="266"/>
    <x v="4"/>
    <x v="2"/>
    <n v="18"/>
    <x v="1"/>
    <n v="1"/>
    <n v="3271.62"/>
    <n v="3722.38"/>
    <n v="3015.1278000000002"/>
    <n v="54272.3004"/>
    <n v="58889.159999999996"/>
    <n v="-4616.8595999999961"/>
    <n v="-8.5068433915139449E-2"/>
    <s v="Loss"/>
    <x v="0"/>
    <n v="0.19"/>
    <s v="Bank Transfer"/>
    <s v="Retail"/>
    <s v="East-Charlie"/>
  </r>
  <r>
    <n v="1052"/>
    <x v="267"/>
    <x v="1"/>
    <x v="0"/>
    <n v="41"/>
    <x v="3"/>
    <n v="1"/>
    <n v="1509.98"/>
    <n v="1792.83"/>
    <n v="1721.1167999999998"/>
    <n v="70565.788799999995"/>
    <n v="61909.18"/>
    <n v="8656.6087999999945"/>
    <n v="0.12267430077958677"/>
    <s v="Profit"/>
    <x v="1"/>
    <n v="0.04"/>
    <s v="Cash"/>
    <s v="Retail"/>
    <s v="West-David"/>
  </r>
  <r>
    <n v="1052"/>
    <x v="84"/>
    <x v="1"/>
    <x v="1"/>
    <n v="46"/>
    <x v="3"/>
    <n v="1"/>
    <n v="3136.42"/>
    <n v="3198.49"/>
    <n v="2270.9278999999997"/>
    <n v="104462.68339999998"/>
    <n v="144275.32"/>
    <n v="-39812.636600000027"/>
    <n v="-0.38111826447682501"/>
    <s v="Loss"/>
    <x v="0"/>
    <n v="0.28999999999999998"/>
    <s v="Cash"/>
    <s v="Retail"/>
    <s v="North-David"/>
  </r>
  <r>
    <n v="1052"/>
    <x v="8"/>
    <x v="1"/>
    <x v="1"/>
    <n v="5"/>
    <x v="1"/>
    <n v="1"/>
    <n v="745.71"/>
    <n v="856.91"/>
    <n v="659.82069999999999"/>
    <n v="3299.1035000000002"/>
    <n v="3728.55"/>
    <n v="-429.44650000000001"/>
    <n v="-0.13017066606124966"/>
    <s v="Loss"/>
    <x v="0"/>
    <n v="0.23"/>
    <s v="Bank Transfer"/>
    <s v="Retail"/>
    <s v="North-David"/>
  </r>
  <r>
    <n v="1052"/>
    <x v="137"/>
    <x v="4"/>
    <x v="2"/>
    <n v="48"/>
    <x v="0"/>
    <n v="1"/>
    <n v="3002.35"/>
    <n v="3080.61"/>
    <n v="2526.1002000000003"/>
    <n v="121252.80960000001"/>
    <n v="144112.79999999999"/>
    <n v="-22859.990399999981"/>
    <n v="-0.18853163465170525"/>
    <s v="Loss"/>
    <x v="0"/>
    <n v="0.18"/>
    <s v="Bank Transfer"/>
    <s v="Retail"/>
    <s v="East-Charlie"/>
  </r>
  <r>
    <n v="1052"/>
    <x v="268"/>
    <x v="3"/>
    <x v="3"/>
    <n v="2"/>
    <x v="0"/>
    <n v="1"/>
    <n v="1935.41"/>
    <n v="2305.44"/>
    <n v="1798.2432000000001"/>
    <n v="3596.4864000000002"/>
    <n v="3870.82"/>
    <n v="-274.33359999999993"/>
    <n v="-7.6278225325695628E-2"/>
    <s v="Loss"/>
    <x v="0"/>
    <n v="0.22"/>
    <s v="Credit Card"/>
    <s v="Online"/>
    <s v="South-Alice"/>
  </r>
  <r>
    <n v="1052"/>
    <x v="154"/>
    <x v="2"/>
    <x v="3"/>
    <n v="42"/>
    <x v="3"/>
    <n v="1"/>
    <n v="417.96"/>
    <n v="907.63"/>
    <n v="871.32479999999998"/>
    <n v="36595.641599999995"/>
    <n v="17554.32"/>
    <n v="19041.321599999996"/>
    <n v="0.52031664885470952"/>
    <s v="Profit"/>
    <x v="1"/>
    <n v="0.04"/>
    <s v="Cash"/>
    <s v="Retail"/>
    <s v="South-Eve"/>
  </r>
  <r>
    <n v="1052"/>
    <x v="13"/>
    <x v="4"/>
    <x v="0"/>
    <n v="2"/>
    <x v="1"/>
    <n v="1"/>
    <n v="3752.68"/>
    <n v="4017.91"/>
    <n v="3375.0443999999998"/>
    <n v="6750.0887999999995"/>
    <n v="7505.36"/>
    <n v="-755.27120000000014"/>
    <n v="-0.11189055764718239"/>
    <s v="Loss"/>
    <x v="0"/>
    <n v="0.16"/>
    <s v="Bank Transfer"/>
    <s v="Online"/>
    <s v="West-Charlie"/>
  </r>
  <r>
    <n v="1052"/>
    <x v="13"/>
    <x v="4"/>
    <x v="0"/>
    <n v="18"/>
    <x v="0"/>
    <n v="1"/>
    <n v="1127.8599999999999"/>
    <n v="1586.29"/>
    <n v="1522.8383999999999"/>
    <n v="27411.091199999999"/>
    <n v="20301.48"/>
    <n v="7109.6111999999994"/>
    <n v="0.25936987141905538"/>
    <s v="Profit"/>
    <x v="1"/>
    <n v="0.04"/>
    <s v="Credit Card"/>
    <s v="Online"/>
    <s v="West-Charlie"/>
  </r>
  <r>
    <n v="1053"/>
    <x v="269"/>
    <x v="1"/>
    <x v="2"/>
    <n v="29"/>
    <x v="3"/>
    <n v="1"/>
    <n v="3741.3"/>
    <n v="4061.04"/>
    <n v="3208.2216000000003"/>
    <n v="93038.426400000011"/>
    <n v="108497.70000000001"/>
    <n v="-15459.2736"/>
    <n v="-0.16616009318059574"/>
    <s v="Loss"/>
    <x v="0"/>
    <n v="0.21"/>
    <s v="Credit Card"/>
    <s v="Online"/>
    <s v="East-David"/>
  </r>
  <r>
    <n v="1053"/>
    <x v="270"/>
    <x v="4"/>
    <x v="2"/>
    <n v="11"/>
    <x v="3"/>
    <n v="1"/>
    <n v="200.56"/>
    <n v="540.38"/>
    <n v="443.11160000000001"/>
    <n v="4874.2276000000002"/>
    <n v="2206.16"/>
    <n v="2668.0676000000003"/>
    <n v="0.54738264581653928"/>
    <s v="Profit"/>
    <x v="1"/>
    <n v="0.18"/>
    <s v="Bank Transfer"/>
    <s v="Online"/>
    <s v="East-Charlie"/>
  </r>
  <r>
    <n v="1053"/>
    <x v="198"/>
    <x v="4"/>
    <x v="2"/>
    <n v="39"/>
    <x v="1"/>
    <n v="1"/>
    <n v="4643.67"/>
    <n v="4829.5200000000004"/>
    <n v="4008.5016000000001"/>
    <n v="156331.56240000002"/>
    <n v="181103.13"/>
    <n v="-24771.56759999998"/>
    <n v="-0.15845531906485941"/>
    <s v="Loss"/>
    <x v="0"/>
    <n v="0.17"/>
    <s v="Bank Transfer"/>
    <s v="Online"/>
    <s v="East-Charlie"/>
  </r>
  <r>
    <n v="1053"/>
    <x v="264"/>
    <x v="3"/>
    <x v="3"/>
    <n v="47"/>
    <x v="3"/>
    <n v="1"/>
    <n v="3551.76"/>
    <n v="3696.1"/>
    <n v="3141.6849999999999"/>
    <n v="147659.19499999998"/>
    <n v="166932.72"/>
    <n v="-19273.525000000023"/>
    <n v="-0.13052708976234109"/>
    <s v="Loss"/>
    <x v="0"/>
    <n v="0.15"/>
    <s v="Bank Transfer"/>
    <s v="Retail"/>
    <s v="South-Alice"/>
  </r>
  <r>
    <n v="1053"/>
    <x v="86"/>
    <x v="2"/>
    <x v="0"/>
    <n v="11"/>
    <x v="1"/>
    <n v="1"/>
    <n v="1582.86"/>
    <n v="1942.55"/>
    <n v="1612.3164999999999"/>
    <n v="17735.481499999998"/>
    <n v="17411.46"/>
    <n v="324.02149999999892"/>
    <n v="1.8269675960023921E-2"/>
    <s v="Profit"/>
    <x v="1"/>
    <n v="0.17"/>
    <s v="Credit Card"/>
    <s v="Retail"/>
    <s v="West-Eve"/>
  </r>
  <r>
    <n v="1053"/>
    <x v="122"/>
    <x v="0"/>
    <x v="1"/>
    <n v="48"/>
    <x v="1"/>
    <n v="1"/>
    <n v="121.19"/>
    <n v="487.65"/>
    <n v="399.87299999999999"/>
    <n v="19193.903999999999"/>
    <n v="5817.12"/>
    <n v="13376.784"/>
    <n v="0.69692877488602634"/>
    <s v="Profit"/>
    <x v="1"/>
    <n v="0.18"/>
    <s v="Cash"/>
    <s v="Retail"/>
    <s v="North-Bob"/>
  </r>
  <r>
    <n v="1053"/>
    <x v="39"/>
    <x v="0"/>
    <x v="3"/>
    <n v="36"/>
    <x v="2"/>
    <n v="1"/>
    <n v="4252.17"/>
    <n v="4720.2700000000004"/>
    <n v="4295.4457000000002"/>
    <n v="154636.04520000002"/>
    <n v="153078.12"/>
    <n v="1557.925200000027"/>
    <n v="1.0074786884164487E-2"/>
    <s v="Profit"/>
    <x v="1"/>
    <n v="0.09"/>
    <s v="Cash"/>
    <s v="Retail"/>
    <s v="South-Bob"/>
  </r>
  <r>
    <n v="1053"/>
    <x v="140"/>
    <x v="1"/>
    <x v="0"/>
    <n v="42"/>
    <x v="1"/>
    <n v="1"/>
    <n v="2443.5700000000002"/>
    <n v="2943.31"/>
    <n v="2089.7500999999997"/>
    <n v="87769.504199999996"/>
    <n v="102629.94"/>
    <n v="-14860.435800000007"/>
    <n v="-0.16931206271984395"/>
    <s v="Loss"/>
    <x v="1"/>
    <n v="0.28999999999999998"/>
    <s v="Cash"/>
    <s v="Online"/>
    <s v="West-David"/>
  </r>
  <r>
    <n v="1053"/>
    <x v="271"/>
    <x v="0"/>
    <x v="1"/>
    <n v="44"/>
    <x v="1"/>
    <n v="1"/>
    <n v="2045"/>
    <n v="2217.5100000000002"/>
    <n v="2040.1092000000003"/>
    <n v="89764.804800000013"/>
    <n v="89980"/>
    <n v="-215.19519999998738"/>
    <n v="-2.397322653120584E-3"/>
    <s v="Loss"/>
    <x v="0"/>
    <n v="0.08"/>
    <s v="Credit Card"/>
    <s v="Online"/>
    <s v="North-Bob"/>
  </r>
  <r>
    <n v="1053"/>
    <x v="51"/>
    <x v="0"/>
    <x v="2"/>
    <n v="1"/>
    <x v="2"/>
    <n v="1"/>
    <n v="1702.82"/>
    <n v="1862.61"/>
    <n v="1415.5835999999999"/>
    <n v="1415.5835999999999"/>
    <n v="1702.82"/>
    <n v="-287.2364"/>
    <n v="-0.20291023433727265"/>
    <s v="Loss"/>
    <x v="0"/>
    <n v="0.24"/>
    <s v="Cash"/>
    <s v="Retail"/>
    <s v="East-Bob"/>
  </r>
  <r>
    <n v="1053"/>
    <x v="203"/>
    <x v="1"/>
    <x v="1"/>
    <n v="1"/>
    <x v="0"/>
    <n v="1"/>
    <n v="2258.44"/>
    <n v="2475.56"/>
    <n v="1856.67"/>
    <n v="1856.67"/>
    <n v="2258.44"/>
    <n v="-401.77"/>
    <n v="-0.21639278924095287"/>
    <s v="Loss"/>
    <x v="1"/>
    <n v="0.25"/>
    <s v="Cash"/>
    <s v="Online"/>
    <s v="North-David"/>
  </r>
  <r>
    <n v="1054"/>
    <x v="272"/>
    <x v="2"/>
    <x v="3"/>
    <n v="40"/>
    <x v="1"/>
    <n v="1"/>
    <n v="2654.11"/>
    <n v="2929.32"/>
    <n v="2694.9744000000001"/>
    <n v="107798.97600000001"/>
    <n v="106164.40000000001"/>
    <n v="1634.5760000000009"/>
    <n v="1.5163186707821796E-2"/>
    <s v="Profit"/>
    <x v="0"/>
    <n v="0.08"/>
    <s v="Cash"/>
    <s v="Online"/>
    <s v="South-Eve"/>
  </r>
  <r>
    <n v="1054"/>
    <x v="198"/>
    <x v="0"/>
    <x v="3"/>
    <n v="21"/>
    <x v="1"/>
    <n v="1"/>
    <n v="4668.1400000000003"/>
    <n v="5040.22"/>
    <n v="4788.2089999999998"/>
    <n v="100552.38900000001"/>
    <n v="98030.94"/>
    <n v="2521.4490000000078"/>
    <n v="2.5075973083046366E-2"/>
    <s v="Profit"/>
    <x v="1"/>
    <n v="0.05"/>
    <s v="Bank Transfer"/>
    <s v="Online"/>
    <s v="South-Bob"/>
  </r>
  <r>
    <n v="1054"/>
    <x v="37"/>
    <x v="3"/>
    <x v="3"/>
    <n v="47"/>
    <x v="0"/>
    <n v="1"/>
    <n v="4429.8"/>
    <n v="4694.21"/>
    <n v="3520.6575000000003"/>
    <n v="165470.9025"/>
    <n v="208200.6"/>
    <n v="-42729.697500000009"/>
    <n v="-0.25823088442996806"/>
    <s v="Loss"/>
    <x v="1"/>
    <n v="0.25"/>
    <s v="Bank Transfer"/>
    <s v="Online"/>
    <s v="South-Alice"/>
  </r>
  <r>
    <n v="1054"/>
    <x v="273"/>
    <x v="0"/>
    <x v="3"/>
    <n v="16"/>
    <x v="3"/>
    <n v="1"/>
    <n v="4557.79"/>
    <n v="5043.3599999999997"/>
    <n v="4337.2896000000001"/>
    <n v="69396.633600000001"/>
    <n v="72924.639999999999"/>
    <n v="-3528.0063999999984"/>
    <n v="-5.083829311282325E-2"/>
    <s v="Loss"/>
    <x v="0"/>
    <n v="0.14000000000000001"/>
    <s v="Credit Card"/>
    <s v="Retail"/>
    <s v="South-Bob"/>
  </r>
  <r>
    <n v="1054"/>
    <x v="274"/>
    <x v="1"/>
    <x v="0"/>
    <n v="27"/>
    <x v="3"/>
    <n v="1"/>
    <n v="1456.09"/>
    <n v="1510.43"/>
    <n v="1253.6569"/>
    <n v="33848.736299999997"/>
    <n v="39314.43"/>
    <n v="-5465.6937000000034"/>
    <n v="-0.16147408433679114"/>
    <s v="Loss"/>
    <x v="0"/>
    <n v="0.17"/>
    <s v="Cash"/>
    <s v="Retail"/>
    <s v="West-David"/>
  </r>
  <r>
    <n v="1054"/>
    <x v="172"/>
    <x v="1"/>
    <x v="2"/>
    <n v="8"/>
    <x v="0"/>
    <n v="1"/>
    <n v="4117.13"/>
    <n v="4177.0600000000004"/>
    <n v="3132.7950000000001"/>
    <n v="25062.36"/>
    <n v="32937.040000000001"/>
    <n v="-7874.68"/>
    <n v="-0.31420345091204499"/>
    <s v="Loss"/>
    <x v="0"/>
    <n v="0.25"/>
    <s v="Bank Transfer"/>
    <s v="Retail"/>
    <s v="East-David"/>
  </r>
  <r>
    <n v="1054"/>
    <x v="172"/>
    <x v="1"/>
    <x v="3"/>
    <n v="48"/>
    <x v="3"/>
    <n v="1"/>
    <n v="4325.0200000000004"/>
    <n v="4391.67"/>
    <n v="3689.0027999999998"/>
    <n v="177072.13440000001"/>
    <n v="207600.96000000002"/>
    <n v="-30528.825600000011"/>
    <n v="-0.17240897729868901"/>
    <s v="Loss"/>
    <x v="0"/>
    <n v="0.16"/>
    <s v="Credit Card"/>
    <s v="Retail"/>
    <s v="South-David"/>
  </r>
  <r>
    <n v="1054"/>
    <x v="143"/>
    <x v="0"/>
    <x v="2"/>
    <n v="22"/>
    <x v="3"/>
    <n v="1"/>
    <n v="4200.08"/>
    <n v="4647.28"/>
    <n v="4136.0792000000001"/>
    <n v="90993.742399999988"/>
    <n v="92401.76"/>
    <n v="-1408.0176000000065"/>
    <n v="-1.5473784931391135E-2"/>
    <s v="Loss"/>
    <x v="0"/>
    <n v="0.11"/>
    <s v="Cash"/>
    <s v="Online"/>
    <s v="East-Bob"/>
  </r>
  <r>
    <n v="1054"/>
    <x v="78"/>
    <x v="3"/>
    <x v="1"/>
    <n v="43"/>
    <x v="0"/>
    <n v="1"/>
    <n v="2124.7199999999998"/>
    <n v="2188.66"/>
    <n v="2123.0001999999999"/>
    <n v="91289.008599999986"/>
    <n v="91362.959999999992"/>
    <n v="-73.951400000005378"/>
    <n v="-8.1007999905045956E-4"/>
    <s v="Loss"/>
    <x v="0"/>
    <n v="0.03"/>
    <s v="Credit Card"/>
    <s v="Retail"/>
    <s v="North-Alice"/>
  </r>
  <r>
    <n v="1054"/>
    <x v="179"/>
    <x v="1"/>
    <x v="1"/>
    <n v="48"/>
    <x v="0"/>
    <n v="1"/>
    <n v="2316.92"/>
    <n v="2462.63"/>
    <n v="2364.1248000000001"/>
    <n v="113477.9904"/>
    <n v="111212.16"/>
    <n v="2265.8303999999916"/>
    <n v="1.9967135406726341E-2"/>
    <s v="Profit"/>
    <x v="1"/>
    <n v="0.04"/>
    <s v="Credit Card"/>
    <s v="Online"/>
    <s v="North-David"/>
  </r>
  <r>
    <n v="1054"/>
    <x v="185"/>
    <x v="1"/>
    <x v="2"/>
    <n v="20"/>
    <x v="2"/>
    <n v="1"/>
    <n v="4622.1400000000003"/>
    <n v="5122.07"/>
    <n v="3790.3317999999999"/>
    <n v="75806.635999999999"/>
    <n v="92442.8"/>
    <n v="-16636.164000000004"/>
    <n v="-0.21945524663566399"/>
    <s v="Loss"/>
    <x v="1"/>
    <n v="0.26"/>
    <s v="Cash"/>
    <s v="Retail"/>
    <s v="East-David"/>
  </r>
  <r>
    <n v="1054"/>
    <x v="144"/>
    <x v="1"/>
    <x v="0"/>
    <n v="8"/>
    <x v="2"/>
    <n v="1"/>
    <n v="3610.21"/>
    <n v="3817.99"/>
    <n v="3245.2914999999998"/>
    <n v="25962.331999999999"/>
    <n v="28881.68"/>
    <n v="-2919.3480000000018"/>
    <n v="-0.11244552299847341"/>
    <s v="Loss"/>
    <x v="0"/>
    <n v="0.15"/>
    <s v="Cash"/>
    <s v="Retail"/>
    <s v="West-David"/>
  </r>
  <r>
    <n v="1055"/>
    <x v="275"/>
    <x v="4"/>
    <x v="0"/>
    <n v="8"/>
    <x v="1"/>
    <n v="1"/>
    <n v="3513"/>
    <n v="3838.42"/>
    <n v="3339.4254000000001"/>
    <n v="26715.403200000001"/>
    <n v="28104"/>
    <n v="-1388.5967999999993"/>
    <n v="-5.1977385091459119E-2"/>
    <s v="Loss"/>
    <x v="0"/>
    <n v="0.13"/>
    <s v="Bank Transfer"/>
    <s v="Online"/>
    <s v="West-Charlie"/>
  </r>
  <r>
    <n v="1055"/>
    <x v="168"/>
    <x v="4"/>
    <x v="0"/>
    <n v="12"/>
    <x v="3"/>
    <n v="1"/>
    <n v="2538.61"/>
    <n v="2971.75"/>
    <n v="2258.5300000000002"/>
    <n v="27102.36"/>
    <n v="30463.32"/>
    <n v="-3360.9599999999991"/>
    <n v="-0.12400986482357991"/>
    <s v="Loss"/>
    <x v="0"/>
    <n v="0.24"/>
    <s v="Cash"/>
    <s v="Online"/>
    <s v="West-Charlie"/>
  </r>
  <r>
    <n v="1055"/>
    <x v="270"/>
    <x v="2"/>
    <x v="3"/>
    <n v="16"/>
    <x v="2"/>
    <n v="1"/>
    <n v="4195.38"/>
    <n v="4461.51"/>
    <n v="4059.9741000000004"/>
    <n v="64959.585600000006"/>
    <n v="67126.080000000002"/>
    <n v="-2166.4943999999959"/>
    <n v="-3.3351419655608082E-2"/>
    <s v="Loss"/>
    <x v="0"/>
    <n v="0.09"/>
    <s v="Bank Transfer"/>
    <s v="Online"/>
    <s v="South-Eve"/>
  </r>
  <r>
    <n v="1055"/>
    <x v="122"/>
    <x v="1"/>
    <x v="2"/>
    <n v="46"/>
    <x v="2"/>
    <n v="1"/>
    <n v="4173.5200000000004"/>
    <n v="4294.8500000000004"/>
    <n v="4166.0045"/>
    <n v="191636.20699999999"/>
    <n v="191981.92"/>
    <n v="-345.71300000001793"/>
    <n v="-1.8040066927437043E-3"/>
    <s v="Loss"/>
    <x v="0"/>
    <n v="0.03"/>
    <s v="Bank Transfer"/>
    <s v="Retail"/>
    <s v="East-David"/>
  </r>
  <r>
    <n v="1055"/>
    <x v="276"/>
    <x v="2"/>
    <x v="0"/>
    <n v="43"/>
    <x v="1"/>
    <n v="1"/>
    <n v="4111.7"/>
    <n v="4537.9399999999996"/>
    <n v="3948.0077999999994"/>
    <n v="169764.33539999998"/>
    <n v="176803.1"/>
    <n v="-7038.7646000000241"/>
    <n v="-4.1461974821833072E-2"/>
    <s v="Loss"/>
    <x v="0"/>
    <n v="0.13"/>
    <s v="Bank Transfer"/>
    <s v="Online"/>
    <s v="West-Eve"/>
  </r>
  <r>
    <n v="1055"/>
    <x v="51"/>
    <x v="1"/>
    <x v="2"/>
    <n v="11"/>
    <x v="3"/>
    <n v="1"/>
    <n v="2495.1999999999998"/>
    <n v="2600.9299999999998"/>
    <n v="2054.7347"/>
    <n v="22602.081700000002"/>
    <n v="27447.199999999997"/>
    <n v="-4845.1182999999946"/>
    <n v="-0.21436602009982089"/>
    <s v="Loss"/>
    <x v="1"/>
    <n v="0.21"/>
    <s v="Bank Transfer"/>
    <s v="Retail"/>
    <s v="East-David"/>
  </r>
  <r>
    <n v="1055"/>
    <x v="277"/>
    <x v="2"/>
    <x v="1"/>
    <n v="40"/>
    <x v="1"/>
    <n v="1"/>
    <n v="959.73"/>
    <n v="1111.4100000000001"/>
    <n v="855.78570000000013"/>
    <n v="34231.428"/>
    <n v="38389.199999999997"/>
    <n v="-4157.7719999999972"/>
    <n v="-0.12146066474352157"/>
    <s v="Loss"/>
    <x v="1"/>
    <n v="0.23"/>
    <s v="Bank Transfer"/>
    <s v="Online"/>
    <s v="North-Eve"/>
  </r>
  <r>
    <n v="1056"/>
    <x v="278"/>
    <x v="1"/>
    <x v="2"/>
    <n v="28"/>
    <x v="2"/>
    <n v="1"/>
    <n v="1566.03"/>
    <n v="1576.34"/>
    <n v="1261.0720000000001"/>
    <n v="35310.015999999996"/>
    <n v="43848.84"/>
    <n v="-8538.8240000000005"/>
    <n v="-0.24182441605237454"/>
    <s v="Loss"/>
    <x v="0"/>
    <n v="0.2"/>
    <s v="Bank Transfer"/>
    <s v="Online"/>
    <s v="East-David"/>
  </r>
  <r>
    <n v="1056"/>
    <x v="176"/>
    <x v="0"/>
    <x v="0"/>
    <n v="42"/>
    <x v="1"/>
    <n v="1"/>
    <n v="1080.1199999999999"/>
    <n v="1424.17"/>
    <n v="1281.7530000000002"/>
    <n v="53833.626000000004"/>
    <n v="45365.039999999994"/>
    <n v="8468.5860000000102"/>
    <n v="0.15731033982366355"/>
    <s v="Profit"/>
    <x v="1"/>
    <n v="0.1"/>
    <s v="Cash"/>
    <s v="Online"/>
    <s v="West-Bob"/>
  </r>
  <r>
    <n v="1056"/>
    <x v="178"/>
    <x v="4"/>
    <x v="0"/>
    <n v="25"/>
    <x v="0"/>
    <n v="1"/>
    <n v="2361.7399999999998"/>
    <n v="2584.35"/>
    <n v="2067.48"/>
    <n v="51687"/>
    <n v="59043.499999999993"/>
    <n v="-7356.4999999999927"/>
    <n v="-0.14232785806875989"/>
    <s v="Loss"/>
    <x v="0"/>
    <n v="0.2"/>
    <s v="Cash"/>
    <s v="Online"/>
    <s v="West-Charlie"/>
  </r>
  <r>
    <n v="1056"/>
    <x v="39"/>
    <x v="1"/>
    <x v="0"/>
    <n v="47"/>
    <x v="1"/>
    <n v="1"/>
    <n v="2461.6999999999998"/>
    <n v="2529.02"/>
    <n v="1972.6356000000001"/>
    <n v="92713.873200000002"/>
    <n v="115699.9"/>
    <n v="-22986.026799999992"/>
    <n v="-0.24792435054908257"/>
    <s v="Loss"/>
    <x v="0"/>
    <n v="0.22"/>
    <s v="Cash"/>
    <s v="Retail"/>
    <s v="West-David"/>
  </r>
  <r>
    <n v="1056"/>
    <x v="236"/>
    <x v="0"/>
    <x v="0"/>
    <n v="35"/>
    <x v="1"/>
    <n v="1"/>
    <n v="2344.9299999999998"/>
    <n v="2707.25"/>
    <n v="2382.38"/>
    <n v="83383.3"/>
    <n v="82072.549999999988"/>
    <n v="1310.7500000000146"/>
    <n v="1.5719574543104128E-2"/>
    <s v="Profit"/>
    <x v="1"/>
    <n v="0.12"/>
    <s v="Credit Card"/>
    <s v="Retail"/>
    <s v="West-Bob"/>
  </r>
  <r>
    <n v="1056"/>
    <x v="53"/>
    <x v="0"/>
    <x v="1"/>
    <n v="25"/>
    <x v="2"/>
    <n v="1"/>
    <n v="1154.28"/>
    <n v="1408.4"/>
    <n v="999.96400000000006"/>
    <n v="24999.1"/>
    <n v="28857"/>
    <n v="-3857.9000000000015"/>
    <n v="-0.1543215555760008"/>
    <s v="Loss"/>
    <x v="0"/>
    <n v="0.28999999999999998"/>
    <s v="Bank Transfer"/>
    <s v="Retail"/>
    <s v="North-Bob"/>
  </r>
  <r>
    <n v="1056"/>
    <x v="279"/>
    <x v="0"/>
    <x v="2"/>
    <n v="4"/>
    <x v="0"/>
    <n v="1"/>
    <n v="1612.82"/>
    <n v="1647.25"/>
    <n v="1581.36"/>
    <n v="6325.44"/>
    <n v="6451.28"/>
    <n v="-125.84000000000015"/>
    <n v="-1.9894268224819166E-2"/>
    <s v="Loss"/>
    <x v="0"/>
    <n v="0.04"/>
    <s v="Credit Card"/>
    <s v="Retail"/>
    <s v="East-Bob"/>
  </r>
  <r>
    <n v="1056"/>
    <x v="68"/>
    <x v="2"/>
    <x v="1"/>
    <n v="37"/>
    <x v="3"/>
    <n v="1"/>
    <n v="1555.41"/>
    <n v="1609.94"/>
    <n v="1352.3496"/>
    <n v="50036.9352"/>
    <n v="57550.170000000006"/>
    <n v="-7513.2348000000056"/>
    <n v="-0.15015377680445954"/>
    <s v="Loss"/>
    <x v="0"/>
    <n v="0.16"/>
    <s v="Credit Card"/>
    <s v="Online"/>
    <s v="North-Eve"/>
  </r>
  <r>
    <n v="1056"/>
    <x v="280"/>
    <x v="4"/>
    <x v="1"/>
    <n v="10"/>
    <x v="2"/>
    <n v="1"/>
    <n v="536.80999999999995"/>
    <n v="839.92"/>
    <n v="713.9319999999999"/>
    <n v="7139.3199999999988"/>
    <n v="5368.0999999999995"/>
    <n v="1771.2199999999993"/>
    <n v="0.24809365597844046"/>
    <s v="Profit"/>
    <x v="0"/>
    <n v="0.15"/>
    <s v="Bank Transfer"/>
    <s v="Online"/>
    <s v="North-Charlie"/>
  </r>
  <r>
    <n v="1057"/>
    <x v="174"/>
    <x v="0"/>
    <x v="3"/>
    <n v="12"/>
    <x v="3"/>
    <n v="1"/>
    <n v="1878.3"/>
    <n v="2087.4499999999998"/>
    <n v="1983.0774999999996"/>
    <n v="23796.929999999997"/>
    <n v="22539.599999999999"/>
    <n v="1257.3299999999981"/>
    <n v="5.2835806971739563E-2"/>
    <s v="Profit"/>
    <x v="1"/>
    <n v="0.05"/>
    <s v="Bank Transfer"/>
    <s v="Retail"/>
    <s v="South-Bob"/>
  </r>
  <r>
    <n v="1057"/>
    <x v="174"/>
    <x v="2"/>
    <x v="2"/>
    <n v="22"/>
    <x v="0"/>
    <n v="1"/>
    <n v="3462.61"/>
    <n v="3672.89"/>
    <n v="2681.2096999999999"/>
    <n v="58986.613400000002"/>
    <n v="76177.42"/>
    <n v="-17190.806599999996"/>
    <n v="-0.29143572768664822"/>
    <s v="Loss"/>
    <x v="0"/>
    <n v="0.27"/>
    <s v="Credit Card"/>
    <s v="Online"/>
    <s v="East-Eve"/>
  </r>
  <r>
    <n v="1057"/>
    <x v="281"/>
    <x v="0"/>
    <x v="2"/>
    <n v="26"/>
    <x v="2"/>
    <n v="1"/>
    <n v="1291.82"/>
    <n v="1308.44"/>
    <n v="1216.8491999999999"/>
    <n v="31638.0792"/>
    <n v="33587.32"/>
    <n v="-1949.2407999999996"/>
    <n v="-6.1610592339625965E-2"/>
    <s v="Loss"/>
    <x v="0"/>
    <n v="7.0000000000000007E-2"/>
    <s v="Credit Card"/>
    <s v="Online"/>
    <s v="East-Bob"/>
  </r>
  <r>
    <n v="1057"/>
    <x v="92"/>
    <x v="4"/>
    <x v="2"/>
    <n v="43"/>
    <x v="1"/>
    <n v="1"/>
    <n v="4567.3900000000003"/>
    <n v="4958.78"/>
    <n v="4760.4287999999997"/>
    <n v="204698.43839999998"/>
    <n v="196397.77000000002"/>
    <n v="8300.6683999999659"/>
    <n v="4.0550716775765917E-2"/>
    <s v="Profit"/>
    <x v="1"/>
    <n v="0.04"/>
    <s v="Cash"/>
    <s v="Retail"/>
    <s v="East-Charlie"/>
  </r>
  <r>
    <n v="1057"/>
    <x v="223"/>
    <x v="4"/>
    <x v="1"/>
    <n v="12"/>
    <x v="1"/>
    <n v="1"/>
    <n v="639.16"/>
    <n v="746.28"/>
    <n v="716.42879999999991"/>
    <n v="8597.1455999999998"/>
    <n v="7669.92"/>
    <n v="927.22559999999976"/>
    <n v="0.1078527273052116"/>
    <s v="Profit"/>
    <x v="0"/>
    <n v="0.04"/>
    <s v="Bank Transfer"/>
    <s v="Retail"/>
    <s v="North-Charlie"/>
  </r>
  <r>
    <n v="1057"/>
    <x v="59"/>
    <x v="4"/>
    <x v="0"/>
    <n v="25"/>
    <x v="0"/>
    <n v="1"/>
    <n v="1821.91"/>
    <n v="2027.74"/>
    <n v="1987.1851999999999"/>
    <n v="49679.63"/>
    <n v="45547.75"/>
    <n v="4131.8799999999974"/>
    <n v="8.3170506704659392E-2"/>
    <s v="Profit"/>
    <x v="1"/>
    <n v="0.02"/>
    <s v="Bank Transfer"/>
    <s v="Retail"/>
    <s v="West-Charlie"/>
  </r>
  <r>
    <n v="1057"/>
    <x v="100"/>
    <x v="2"/>
    <x v="3"/>
    <n v="40"/>
    <x v="2"/>
    <n v="1"/>
    <n v="3233.37"/>
    <n v="3723.21"/>
    <n v="2904.1038000000003"/>
    <n v="116164.152"/>
    <n v="129334.79999999999"/>
    <n v="-13170.647999999986"/>
    <n v="-0.11337962506712042"/>
    <s v="Loss"/>
    <x v="1"/>
    <n v="0.22"/>
    <s v="Bank Transfer"/>
    <s v="Retail"/>
    <s v="South-Eve"/>
  </r>
  <r>
    <n v="1057"/>
    <x v="279"/>
    <x v="0"/>
    <x v="3"/>
    <n v="31"/>
    <x v="1"/>
    <n v="1"/>
    <n v="2403.16"/>
    <n v="2453.35"/>
    <n v="1987.2135000000001"/>
    <n v="61603.618499999997"/>
    <n v="74497.959999999992"/>
    <n v="-12894.341499999995"/>
    <n v="-0.20931143030177676"/>
    <s v="Loss"/>
    <x v="0"/>
    <n v="0.19"/>
    <s v="Credit Card"/>
    <s v="Online"/>
    <s v="South-Bob"/>
  </r>
  <r>
    <n v="1057"/>
    <x v="239"/>
    <x v="4"/>
    <x v="1"/>
    <n v="36"/>
    <x v="0"/>
    <n v="1"/>
    <n v="4995.3"/>
    <n v="5165.09"/>
    <n v="3925.4684000000002"/>
    <n v="141316.86239999998"/>
    <n v="179830.80000000002"/>
    <n v="-38513.937600000034"/>
    <n v="-0.27253603671857379"/>
    <s v="Loss"/>
    <x v="0"/>
    <n v="0.24"/>
    <s v="Cash"/>
    <s v="Online"/>
    <s v="North-Charlie"/>
  </r>
  <r>
    <n v="1058"/>
    <x v="167"/>
    <x v="2"/>
    <x v="0"/>
    <n v="39"/>
    <x v="0"/>
    <n v="1"/>
    <n v="3542.8"/>
    <n v="3603.02"/>
    <n v="2666.2348000000002"/>
    <n v="103983.1572"/>
    <n v="138169.20000000001"/>
    <n v="-34186.04280000001"/>
    <n v="-0.32876519352309114"/>
    <s v="Loss"/>
    <x v="0"/>
    <n v="0.26"/>
    <s v="Cash"/>
    <s v="Online"/>
    <s v="West-Eve"/>
  </r>
  <r>
    <n v="1058"/>
    <x v="167"/>
    <x v="2"/>
    <x v="2"/>
    <n v="49"/>
    <x v="1"/>
    <n v="1"/>
    <n v="1307.22"/>
    <n v="1528.4"/>
    <n v="1161.5840000000001"/>
    <n v="56917.616000000002"/>
    <n v="64053.78"/>
    <n v="-7136.163999999997"/>
    <n v="-0.12537707130952211"/>
    <s v="Loss"/>
    <x v="0"/>
    <n v="0.24"/>
    <s v="Cash"/>
    <s v="Retail"/>
    <s v="East-Eve"/>
  </r>
  <r>
    <n v="1058"/>
    <x v="282"/>
    <x v="1"/>
    <x v="3"/>
    <n v="9"/>
    <x v="1"/>
    <n v="1"/>
    <n v="760.55"/>
    <n v="1086.8900000000001"/>
    <n v="923.8565000000001"/>
    <n v="8314.7085000000006"/>
    <n v="6844.95"/>
    <n v="1469.7585000000008"/>
    <n v="0.17676608867286217"/>
    <s v="Profit"/>
    <x v="0"/>
    <n v="0.15"/>
    <s v="Cash"/>
    <s v="Retail"/>
    <s v="South-David"/>
  </r>
  <r>
    <n v="1058"/>
    <x v="197"/>
    <x v="1"/>
    <x v="0"/>
    <n v="42"/>
    <x v="2"/>
    <n v="1"/>
    <n v="3600.95"/>
    <n v="3702.84"/>
    <n v="3665.8116"/>
    <n v="153964.08720000001"/>
    <n v="151239.9"/>
    <n v="2724.1872000000149"/>
    <n v="1.7693653432707877E-2"/>
    <s v="Profit"/>
    <x v="0"/>
    <n v="0.01"/>
    <s v="Cash"/>
    <s v="Retail"/>
    <s v="West-David"/>
  </r>
  <r>
    <n v="1058"/>
    <x v="258"/>
    <x v="2"/>
    <x v="1"/>
    <n v="48"/>
    <x v="1"/>
    <n v="1"/>
    <n v="2596.7199999999998"/>
    <n v="2715.05"/>
    <n v="2606.4479999999999"/>
    <n v="125109.504"/>
    <n v="124642.56"/>
    <n v="466.94400000000314"/>
    <n v="3.7322824011835516E-3"/>
    <s v="Profit"/>
    <x v="0"/>
    <n v="0.04"/>
    <s v="Cash"/>
    <s v="Online"/>
    <s v="North-Eve"/>
  </r>
  <r>
    <n v="1058"/>
    <x v="265"/>
    <x v="3"/>
    <x v="1"/>
    <n v="33"/>
    <x v="1"/>
    <n v="1"/>
    <n v="1011.65"/>
    <n v="1084.28"/>
    <n v="1008.3803999999999"/>
    <n v="33276.553199999995"/>
    <n v="33384.449999999997"/>
    <n v="-107.89680000000226"/>
    <n v="-3.2424271633999125E-3"/>
    <s v="Loss"/>
    <x v="0"/>
    <n v="7.0000000000000007E-2"/>
    <s v="Bank Transfer"/>
    <s v="Retail"/>
    <s v="North-Alice"/>
  </r>
  <r>
    <n v="1058"/>
    <x v="283"/>
    <x v="2"/>
    <x v="3"/>
    <n v="40"/>
    <x v="1"/>
    <n v="1"/>
    <n v="2249.7600000000002"/>
    <n v="2598.4"/>
    <n v="2130.6880000000001"/>
    <n v="85227.520000000004"/>
    <n v="89990.400000000009"/>
    <n v="-4762.8800000000047"/>
    <n v="-5.5884296527694395E-2"/>
    <s v="Loss"/>
    <x v="0"/>
    <n v="0.18"/>
    <s v="Credit Card"/>
    <s v="Retail"/>
    <s v="South-Eve"/>
  </r>
  <r>
    <n v="1058"/>
    <x v="170"/>
    <x v="2"/>
    <x v="2"/>
    <n v="14"/>
    <x v="3"/>
    <n v="1"/>
    <n v="2703.97"/>
    <n v="2796.88"/>
    <n v="2433.2856000000002"/>
    <n v="34065.998399999997"/>
    <n v="37855.579999999994"/>
    <n v="-3789.5815999999977"/>
    <n v="-0.11124234656219552"/>
    <s v="Loss"/>
    <x v="1"/>
    <n v="0.13"/>
    <s v="Bank Transfer"/>
    <s v="Online"/>
    <s v="East-Eve"/>
  </r>
  <r>
    <n v="1058"/>
    <x v="178"/>
    <x v="0"/>
    <x v="2"/>
    <n v="6"/>
    <x v="0"/>
    <n v="1"/>
    <n v="4987.71"/>
    <n v="4998.78"/>
    <n v="4148.9874"/>
    <n v="24893.9244"/>
    <n v="29926.260000000002"/>
    <n v="-5032.3356000000022"/>
    <n v="-0.20215115620741589"/>
    <s v="Loss"/>
    <x v="0"/>
    <n v="0.17"/>
    <s v="Cash"/>
    <s v="Retail"/>
    <s v="East-Bob"/>
  </r>
  <r>
    <n v="1058"/>
    <x v="98"/>
    <x v="2"/>
    <x v="0"/>
    <n v="48"/>
    <x v="2"/>
    <n v="1"/>
    <n v="2614.48"/>
    <n v="3049.04"/>
    <n v="2744.136"/>
    <n v="131718.52799999999"/>
    <n v="125495.04000000001"/>
    <n v="6223.487999999983"/>
    <n v="4.7248387106178284E-2"/>
    <s v="Profit"/>
    <x v="1"/>
    <n v="0.1"/>
    <s v="Credit Card"/>
    <s v="Retail"/>
    <s v="West-Eve"/>
  </r>
  <r>
    <n v="1058"/>
    <x v="76"/>
    <x v="1"/>
    <x v="1"/>
    <n v="2"/>
    <x v="2"/>
    <n v="1"/>
    <n v="2250.91"/>
    <n v="2558.6799999999998"/>
    <n v="2328.3987999999999"/>
    <n v="4656.7975999999999"/>
    <n v="4501.82"/>
    <n v="154.97760000000017"/>
    <n v="3.327986597484936E-2"/>
    <s v="Profit"/>
    <x v="1"/>
    <n v="0.09"/>
    <s v="Credit Card"/>
    <s v="Retail"/>
    <s v="North-David"/>
  </r>
  <r>
    <n v="1058"/>
    <x v="117"/>
    <x v="3"/>
    <x v="0"/>
    <n v="15"/>
    <x v="2"/>
    <n v="1"/>
    <n v="894.48"/>
    <n v="1336.37"/>
    <n v="988.91379999999992"/>
    <n v="14833.706999999999"/>
    <n v="13417.2"/>
    <n v="1416.5069999999978"/>
    <n v="9.5492448381244016E-2"/>
    <s v="Profit"/>
    <x v="0"/>
    <n v="0.26"/>
    <s v="Cash"/>
    <s v="Retail"/>
    <s v="West-Alice"/>
  </r>
  <r>
    <n v="1058"/>
    <x v="252"/>
    <x v="2"/>
    <x v="0"/>
    <n v="29"/>
    <x v="3"/>
    <n v="1"/>
    <n v="3578.77"/>
    <n v="3635.02"/>
    <n v="2908.0160000000001"/>
    <n v="84332.464000000007"/>
    <n v="103784.33"/>
    <n v="-19451.865999999995"/>
    <n v="-0.23065691523017748"/>
    <s v="Loss"/>
    <x v="1"/>
    <n v="0.2"/>
    <s v="Bank Transfer"/>
    <s v="Retail"/>
    <s v="West-Eve"/>
  </r>
  <r>
    <n v="1058"/>
    <x v="166"/>
    <x v="1"/>
    <x v="1"/>
    <n v="34"/>
    <x v="3"/>
    <n v="1"/>
    <n v="3160.61"/>
    <n v="3273.22"/>
    <n v="3011.3624"/>
    <n v="102386.3216"/>
    <n v="107460.74"/>
    <n v="-5074.4184000000096"/>
    <n v="-4.9561487518074973E-2"/>
    <s v="Loss"/>
    <x v="0"/>
    <n v="0.08"/>
    <s v="Credit Card"/>
    <s v="Retail"/>
    <s v="North-David"/>
  </r>
  <r>
    <n v="1058"/>
    <x v="35"/>
    <x v="3"/>
    <x v="0"/>
    <n v="44"/>
    <x v="2"/>
    <n v="1"/>
    <n v="1910.47"/>
    <n v="2217.8000000000002"/>
    <n v="1729.8840000000002"/>
    <n v="76114.896000000008"/>
    <n v="84060.680000000008"/>
    <n v="-7945.7839999999997"/>
    <n v="-0.10439197079110506"/>
    <s v="Loss"/>
    <x v="1"/>
    <n v="0.22"/>
    <s v="Bank Transfer"/>
    <s v="Online"/>
    <s v="West-Alice"/>
  </r>
  <r>
    <n v="1059"/>
    <x v="46"/>
    <x v="2"/>
    <x v="0"/>
    <n v="12"/>
    <x v="0"/>
    <n v="1"/>
    <n v="3496.15"/>
    <n v="3955.75"/>
    <n v="2848.14"/>
    <n v="34177.68"/>
    <n v="41953.8"/>
    <n v="-7776.1200000000026"/>
    <n v="-0.22752041683344226"/>
    <s v="Loss"/>
    <x v="0"/>
    <n v="0.28000000000000003"/>
    <s v="Cash"/>
    <s v="Retail"/>
    <s v="West-Eve"/>
  </r>
  <r>
    <n v="1059"/>
    <x v="174"/>
    <x v="0"/>
    <x v="0"/>
    <n v="47"/>
    <x v="1"/>
    <n v="1"/>
    <n v="287.17"/>
    <n v="657.44"/>
    <n v="565.39840000000004"/>
    <n v="26573.724800000004"/>
    <n v="13496.990000000002"/>
    <n v="13076.734800000002"/>
    <n v="0.49209265537362684"/>
    <s v="Profit"/>
    <x v="0"/>
    <n v="0.14000000000000001"/>
    <s v="Credit Card"/>
    <s v="Retail"/>
    <s v="West-Bob"/>
  </r>
  <r>
    <n v="1059"/>
    <x v="266"/>
    <x v="1"/>
    <x v="3"/>
    <n v="17"/>
    <x v="2"/>
    <n v="1"/>
    <n v="1780.14"/>
    <n v="2185.42"/>
    <n v="1857.607"/>
    <n v="31579.319"/>
    <n v="30262.38"/>
    <n v="1316.9389999999985"/>
    <n v="4.1702577563499661E-2"/>
    <s v="Profit"/>
    <x v="0"/>
    <n v="0.15"/>
    <s v="Credit Card"/>
    <s v="Retail"/>
    <s v="South-David"/>
  </r>
  <r>
    <n v="1059"/>
    <x v="229"/>
    <x v="4"/>
    <x v="3"/>
    <n v="1"/>
    <x v="3"/>
    <n v="1"/>
    <n v="332.62"/>
    <n v="612.46"/>
    <n v="465.46960000000001"/>
    <n v="465.46960000000001"/>
    <n v="332.62"/>
    <n v="132.84960000000001"/>
    <n v="0.28540983127576969"/>
    <s v="Profit"/>
    <x v="0"/>
    <n v="0.24"/>
    <s v="Cash"/>
    <s v="Retail"/>
    <s v="South-Charlie"/>
  </r>
  <r>
    <n v="1059"/>
    <x v="115"/>
    <x v="3"/>
    <x v="0"/>
    <n v="21"/>
    <x v="2"/>
    <n v="1"/>
    <n v="3110.54"/>
    <n v="3192.99"/>
    <n v="2650.1816999999996"/>
    <n v="55653.815699999992"/>
    <n v="65321.34"/>
    <n v="-9667.5243000000046"/>
    <n v="-0.17370820272436424"/>
    <s v="Loss"/>
    <x v="1"/>
    <n v="0.17"/>
    <s v="Credit Card"/>
    <s v="Online"/>
    <s v="West-Alice"/>
  </r>
  <r>
    <n v="1059"/>
    <x v="284"/>
    <x v="3"/>
    <x v="1"/>
    <n v="28"/>
    <x v="3"/>
    <n v="1"/>
    <n v="224.32"/>
    <n v="715.06"/>
    <n v="707.90939999999989"/>
    <n v="19821.463199999998"/>
    <n v="6280.96"/>
    <n v="13540.503199999999"/>
    <n v="0.68312329233091129"/>
    <s v="Profit"/>
    <x v="0"/>
    <n v="0.01"/>
    <s v="Credit Card"/>
    <s v="Online"/>
    <s v="North-Alice"/>
  </r>
  <r>
    <n v="1059"/>
    <x v="22"/>
    <x v="3"/>
    <x v="1"/>
    <n v="37"/>
    <x v="3"/>
    <n v="1"/>
    <n v="4146.99"/>
    <n v="4172.3500000000004"/>
    <n v="3922.009"/>
    <n v="145114.33300000001"/>
    <n v="153438.63"/>
    <n v="-8324.2969999999914"/>
    <n v="-5.7363713341810216E-2"/>
    <s v="Loss"/>
    <x v="0"/>
    <n v="0.06"/>
    <s v="Cash"/>
    <s v="Retail"/>
    <s v="North-Alice"/>
  </r>
  <r>
    <n v="1059"/>
    <x v="43"/>
    <x v="0"/>
    <x v="1"/>
    <n v="13"/>
    <x v="3"/>
    <n v="1"/>
    <n v="1969.78"/>
    <n v="2437.6999999999998"/>
    <n v="1974.537"/>
    <n v="25668.981"/>
    <n v="25607.14"/>
    <n v="61.841000000000349"/>
    <n v="2.4091723781322037E-3"/>
    <s v="Profit"/>
    <x v="1"/>
    <n v="0.19"/>
    <s v="Credit Card"/>
    <s v="Retail"/>
    <s v="North-Bob"/>
  </r>
  <r>
    <n v="1059"/>
    <x v="246"/>
    <x v="0"/>
    <x v="3"/>
    <n v="16"/>
    <x v="1"/>
    <n v="1"/>
    <n v="4287.21"/>
    <n v="4464.28"/>
    <n v="3571.424"/>
    <n v="57142.784"/>
    <n v="68595.360000000001"/>
    <n v="-11452.576000000001"/>
    <n v="-0.20042033653803079"/>
    <s v="Loss"/>
    <x v="0"/>
    <n v="0.2"/>
    <s v="Credit Card"/>
    <s v="Retail"/>
    <s v="South-Bob"/>
  </r>
  <r>
    <n v="1059"/>
    <x v="150"/>
    <x v="3"/>
    <x v="1"/>
    <n v="35"/>
    <x v="0"/>
    <n v="1"/>
    <n v="3333.64"/>
    <n v="3764.52"/>
    <n v="3689.2296000000001"/>
    <n v="129123.03600000001"/>
    <n v="116677.4"/>
    <n v="12445.636000000013"/>
    <n v="9.6385868746146991E-2"/>
    <s v="Profit"/>
    <x v="0"/>
    <n v="0.02"/>
    <s v="Credit Card"/>
    <s v="Online"/>
    <s v="North-Alice"/>
  </r>
  <r>
    <n v="1060"/>
    <x v="263"/>
    <x v="3"/>
    <x v="3"/>
    <n v="23"/>
    <x v="3"/>
    <n v="1"/>
    <n v="647.70000000000005"/>
    <n v="902.26"/>
    <n v="748.87579999999991"/>
    <n v="17224.143399999997"/>
    <n v="14897.1"/>
    <n v="2327.0433999999968"/>
    <n v="0.13510357792306799"/>
    <s v="Profit"/>
    <x v="1"/>
    <n v="0.17"/>
    <s v="Bank Transfer"/>
    <s v="Online"/>
    <s v="South-Alice"/>
  </r>
  <r>
    <n v="1060"/>
    <x v="241"/>
    <x v="4"/>
    <x v="0"/>
    <n v="34"/>
    <x v="3"/>
    <n v="1"/>
    <n v="4984.21"/>
    <n v="5184.6400000000003"/>
    <n v="4303.2511999999997"/>
    <n v="146310.54079999999"/>
    <n v="169463.14"/>
    <n v="-23152.599200000026"/>
    <n v="-0.15824286530147272"/>
    <s v="Loss"/>
    <x v="1"/>
    <n v="0.17"/>
    <s v="Cash"/>
    <s v="Online"/>
    <s v="West-Charlie"/>
  </r>
  <r>
    <n v="1060"/>
    <x v="145"/>
    <x v="1"/>
    <x v="1"/>
    <n v="5"/>
    <x v="1"/>
    <n v="1"/>
    <n v="3970.08"/>
    <n v="4096.4799999999996"/>
    <n v="3563.9375999999997"/>
    <n v="17819.687999999998"/>
    <n v="19850.400000000001"/>
    <n v="-2030.7120000000032"/>
    <n v="-0.11395889759686047"/>
    <s v="Loss"/>
    <x v="0"/>
    <n v="0.13"/>
    <s v="Cash"/>
    <s v="Retail"/>
    <s v="North-David"/>
  </r>
  <r>
    <n v="1060"/>
    <x v="230"/>
    <x v="4"/>
    <x v="0"/>
    <n v="31"/>
    <x v="3"/>
    <n v="1"/>
    <n v="3161.4"/>
    <n v="3339.66"/>
    <n v="3272.8667999999998"/>
    <n v="101458.87079999999"/>
    <n v="98003.400000000009"/>
    <n v="3455.470799999981"/>
    <n v="3.40578480004134E-2"/>
    <s v="Profit"/>
    <x v="0"/>
    <n v="0.02"/>
    <s v="Bank Transfer"/>
    <s v="Online"/>
    <s v="West-Charlie"/>
  </r>
  <r>
    <n v="1060"/>
    <x v="285"/>
    <x v="1"/>
    <x v="3"/>
    <n v="44"/>
    <x v="2"/>
    <n v="1"/>
    <n v="2211.9499999999998"/>
    <n v="2512.84"/>
    <n v="2412.3263999999999"/>
    <n v="106142.3616"/>
    <n v="97325.799999999988"/>
    <n v="8816.5616000000155"/>
    <n v="8.3063552262247903E-2"/>
    <s v="Profit"/>
    <x v="0"/>
    <n v="0.04"/>
    <s v="Cash"/>
    <s v="Online"/>
    <s v="South-David"/>
  </r>
  <r>
    <n v="1060"/>
    <x v="286"/>
    <x v="2"/>
    <x v="2"/>
    <n v="44"/>
    <x v="2"/>
    <n v="1"/>
    <n v="3784.96"/>
    <n v="4276.99"/>
    <n v="4020.3705999999997"/>
    <n v="176896.3064"/>
    <n v="166538.23999999999"/>
    <n v="10358.066400000011"/>
    <n v="5.8554452666627357E-2"/>
    <s v="Profit"/>
    <x v="1"/>
    <n v="0.06"/>
    <s v="Bank Transfer"/>
    <s v="Retail"/>
    <s v="East-Eve"/>
  </r>
  <r>
    <n v="1060"/>
    <x v="82"/>
    <x v="0"/>
    <x v="3"/>
    <n v="3"/>
    <x v="3"/>
    <n v="1"/>
    <n v="1190.4100000000001"/>
    <n v="1582.89"/>
    <n v="1551.2322000000001"/>
    <n v="4653.6966000000002"/>
    <n v="3571.2300000000005"/>
    <n v="1082.4665999999997"/>
    <n v="0.23260360376737918"/>
    <s v="Profit"/>
    <x v="1"/>
    <n v="0.02"/>
    <s v="Credit Card"/>
    <s v="Retail"/>
    <s v="South-Bob"/>
  </r>
  <r>
    <n v="1060"/>
    <x v="67"/>
    <x v="0"/>
    <x v="2"/>
    <n v="16"/>
    <x v="2"/>
    <n v="1"/>
    <n v="3975.99"/>
    <n v="4422.59"/>
    <n v="3361.1684"/>
    <n v="53778.6944"/>
    <n v="63615.839999999997"/>
    <n v="-9837.1455999999962"/>
    <n v="-0.18291901113910264"/>
    <s v="Loss"/>
    <x v="1"/>
    <n v="0.24"/>
    <s v="Cash"/>
    <s v="Online"/>
    <s v="East-Bob"/>
  </r>
  <r>
    <n v="1060"/>
    <x v="100"/>
    <x v="0"/>
    <x v="1"/>
    <n v="11"/>
    <x v="1"/>
    <n v="1"/>
    <n v="3648.04"/>
    <n v="4143.51"/>
    <n v="3439.1133"/>
    <n v="37830.246299999999"/>
    <n v="40128.44"/>
    <n v="-2298.1937000000034"/>
    <n v="-6.075016487534747E-2"/>
    <s v="Loss"/>
    <x v="0"/>
    <n v="0.17"/>
    <s v="Credit Card"/>
    <s v="Retail"/>
    <s v="North-Bob"/>
  </r>
  <r>
    <n v="1060"/>
    <x v="77"/>
    <x v="2"/>
    <x v="2"/>
    <n v="23"/>
    <x v="2"/>
    <n v="1"/>
    <n v="4110.6000000000004"/>
    <n v="4488.37"/>
    <n v="3949.7655999999997"/>
    <n v="90844.608800000002"/>
    <n v="94543.8"/>
    <n v="-3699.1912000000011"/>
    <n v="-4.0719986016385386E-2"/>
    <s v="Loss"/>
    <x v="1"/>
    <n v="0.12"/>
    <s v="Credit Card"/>
    <s v="Online"/>
    <s v="East-Eve"/>
  </r>
  <r>
    <n v="1060"/>
    <x v="172"/>
    <x v="0"/>
    <x v="0"/>
    <n v="46"/>
    <x v="2"/>
    <n v="1"/>
    <n v="1747.05"/>
    <n v="1830.27"/>
    <n v="1555.7294999999999"/>
    <n v="71563.557000000001"/>
    <n v="80364.3"/>
    <n v="-8800.7430000000022"/>
    <n v="-0.12297799842453334"/>
    <s v="Loss"/>
    <x v="1"/>
    <n v="0.15"/>
    <s v="Bank Transfer"/>
    <s v="Retail"/>
    <s v="West-Bob"/>
  </r>
  <r>
    <n v="1061"/>
    <x v="118"/>
    <x v="0"/>
    <x v="3"/>
    <n v="41"/>
    <x v="1"/>
    <n v="1"/>
    <n v="2894.18"/>
    <n v="3193.92"/>
    <n v="2299.6223999999997"/>
    <n v="94284.518400000001"/>
    <n v="118661.37999999999"/>
    <n v="-24376.861599999989"/>
    <n v="-0.25854575081543812"/>
    <s v="Loss"/>
    <x v="1"/>
    <n v="0.28000000000000003"/>
    <s v="Bank Transfer"/>
    <s v="Retail"/>
    <s v="South-Bob"/>
  </r>
  <r>
    <n v="1061"/>
    <x v="65"/>
    <x v="4"/>
    <x v="2"/>
    <n v="29"/>
    <x v="2"/>
    <n v="1"/>
    <n v="1221.74"/>
    <n v="1611.92"/>
    <n v="1370.1320000000001"/>
    <n v="39733.828000000001"/>
    <n v="35430.46"/>
    <n v="4303.3680000000022"/>
    <n v="0.10830489325116126"/>
    <s v="Profit"/>
    <x v="1"/>
    <n v="0.15"/>
    <s v="Cash"/>
    <s v="Retail"/>
    <s v="East-Charlie"/>
  </r>
  <r>
    <n v="1061"/>
    <x v="205"/>
    <x v="0"/>
    <x v="3"/>
    <n v="11"/>
    <x v="2"/>
    <n v="1"/>
    <n v="2594.71"/>
    <n v="2769.52"/>
    <n v="2741.8247999999999"/>
    <n v="30160.072800000002"/>
    <n v="28541.81"/>
    <n v="1618.2628000000004"/>
    <n v="5.3655798867965607E-2"/>
    <s v="Profit"/>
    <x v="0"/>
    <n v="0.01"/>
    <s v="Bank Transfer"/>
    <s v="Retail"/>
    <s v="South-Bob"/>
  </r>
  <r>
    <n v="1061"/>
    <x v="95"/>
    <x v="3"/>
    <x v="1"/>
    <n v="32"/>
    <x v="0"/>
    <n v="1"/>
    <n v="2759.26"/>
    <n v="3193.25"/>
    <n v="2554.6000000000004"/>
    <n v="81747.200000000012"/>
    <n v="88296.320000000007"/>
    <n v="-6549.1199999999953"/>
    <n v="-8.0114303609175541E-2"/>
    <s v="Loss"/>
    <x v="1"/>
    <n v="0.2"/>
    <s v="Bank Transfer"/>
    <s v="Online"/>
    <s v="North-Alice"/>
  </r>
  <r>
    <n v="1061"/>
    <x v="122"/>
    <x v="2"/>
    <x v="2"/>
    <n v="37"/>
    <x v="1"/>
    <n v="1"/>
    <n v="4651.7700000000004"/>
    <n v="4984.3900000000003"/>
    <n v="4386.2632000000003"/>
    <n v="162291.73840000003"/>
    <n v="172115.49000000002"/>
    <n v="-9823.7515999999887"/>
    <n v="-6.0531433681407822E-2"/>
    <s v="Loss"/>
    <x v="0"/>
    <n v="0.12"/>
    <s v="Cash"/>
    <s v="Retail"/>
    <s v="East-Eve"/>
  </r>
  <r>
    <n v="1061"/>
    <x v="96"/>
    <x v="2"/>
    <x v="1"/>
    <n v="47"/>
    <x v="3"/>
    <n v="1"/>
    <n v="146.27000000000001"/>
    <n v="498.46"/>
    <n v="468.55239999999998"/>
    <n v="22021.962799999998"/>
    <n v="6874.6900000000005"/>
    <n v="15147.272799999997"/>
    <n v="0.68782573731347862"/>
    <s v="Profit"/>
    <x v="1"/>
    <n v="0.06"/>
    <s v="Cash"/>
    <s v="Retail"/>
    <s v="North-Eve"/>
  </r>
  <r>
    <n v="1061"/>
    <x v="124"/>
    <x v="4"/>
    <x v="3"/>
    <n v="25"/>
    <x v="0"/>
    <n v="1"/>
    <n v="2747.66"/>
    <n v="3027.01"/>
    <n v="2330.7977000000001"/>
    <n v="58269.942500000005"/>
    <n v="68691.5"/>
    <n v="-10421.557499999995"/>
    <n v="-0.17884962731857842"/>
    <s v="Loss"/>
    <x v="1"/>
    <n v="0.23"/>
    <s v="Cash"/>
    <s v="Online"/>
    <s v="South-Charlie"/>
  </r>
  <r>
    <n v="1061"/>
    <x v="287"/>
    <x v="3"/>
    <x v="2"/>
    <n v="34"/>
    <x v="2"/>
    <n v="1"/>
    <n v="2680.82"/>
    <n v="2771.02"/>
    <n v="2216.8160000000003"/>
    <n v="75371.743999999992"/>
    <n v="91147.88"/>
    <n v="-15776.136000000013"/>
    <n v="-0.2093110118295792"/>
    <s v="Loss"/>
    <x v="1"/>
    <n v="0.2"/>
    <s v="Bank Transfer"/>
    <s v="Online"/>
    <s v="East-Alice"/>
  </r>
  <r>
    <n v="1061"/>
    <x v="23"/>
    <x v="2"/>
    <x v="3"/>
    <n v="39"/>
    <x v="3"/>
    <n v="1"/>
    <n v="3494.19"/>
    <n v="3746"/>
    <n v="2809.5"/>
    <n v="109570.5"/>
    <n v="136273.41"/>
    <n v="-26702.910000000003"/>
    <n v="-0.24370528563801391"/>
    <s v="Loss"/>
    <x v="0"/>
    <n v="0.25"/>
    <s v="Bank Transfer"/>
    <s v="Retail"/>
    <s v="South-Eve"/>
  </r>
  <r>
    <n v="1061"/>
    <x v="13"/>
    <x v="3"/>
    <x v="1"/>
    <n v="45"/>
    <x v="2"/>
    <n v="1"/>
    <n v="1364.51"/>
    <n v="1844.8"/>
    <n v="1512.7360000000001"/>
    <n v="68073.12000000001"/>
    <n v="61402.95"/>
    <n v="6670.1700000000128"/>
    <n v="9.7985372199775947E-2"/>
    <s v="Profit"/>
    <x v="0"/>
    <n v="0.18"/>
    <s v="Cash"/>
    <s v="Online"/>
    <s v="North-Alice"/>
  </r>
  <r>
    <n v="1061"/>
    <x v="288"/>
    <x v="4"/>
    <x v="2"/>
    <n v="13"/>
    <x v="3"/>
    <n v="1"/>
    <n v="637.37"/>
    <n v="692.71"/>
    <n v="637.29320000000007"/>
    <n v="8284.8115999999991"/>
    <n v="8285.81"/>
    <n v="-0.99840000000040163"/>
    <n v="-1.2050968063056518E-4"/>
    <s v="Loss"/>
    <x v="1"/>
    <n v="0.08"/>
    <s v="Credit Card"/>
    <s v="Online"/>
    <s v="East-Charlie"/>
  </r>
  <r>
    <n v="1061"/>
    <x v="91"/>
    <x v="0"/>
    <x v="2"/>
    <n v="38"/>
    <x v="1"/>
    <n v="1"/>
    <n v="4440.8599999999997"/>
    <n v="4506.8100000000004"/>
    <n v="3425.1756000000005"/>
    <n v="130156.67280000003"/>
    <n v="168752.68"/>
    <n v="-38596.007199999964"/>
    <n v="-0.29653498641062337"/>
    <s v="Loss"/>
    <x v="0"/>
    <n v="0.24"/>
    <s v="Bank Transfer"/>
    <s v="Online"/>
    <s v="East-Bob"/>
  </r>
  <r>
    <n v="1062"/>
    <x v="80"/>
    <x v="0"/>
    <x v="2"/>
    <n v="36"/>
    <x v="0"/>
    <n v="1"/>
    <n v="1050.6400000000001"/>
    <n v="1167.33"/>
    <n v="910.51739999999995"/>
    <n v="32778.626400000001"/>
    <n v="37823.040000000001"/>
    <n v="-5044.4135999999999"/>
    <n v="-0.15389337974211145"/>
    <s v="Loss"/>
    <x v="1"/>
    <n v="0.22"/>
    <s v="Cash"/>
    <s v="Online"/>
    <s v="East-Bob"/>
  </r>
  <r>
    <n v="1062"/>
    <x v="46"/>
    <x v="0"/>
    <x v="2"/>
    <n v="10"/>
    <x v="2"/>
    <n v="1"/>
    <n v="1524.88"/>
    <n v="1636.14"/>
    <n v="1308.9120000000003"/>
    <n v="13089.120000000003"/>
    <n v="15248.800000000001"/>
    <n v="-2159.6799999999985"/>
    <n v="-0.1649981052966126"/>
    <s v="Loss"/>
    <x v="1"/>
    <n v="0.2"/>
    <s v="Bank Transfer"/>
    <s v="Online"/>
    <s v="East-Bob"/>
  </r>
  <r>
    <n v="1062"/>
    <x v="265"/>
    <x v="0"/>
    <x v="1"/>
    <n v="48"/>
    <x v="0"/>
    <n v="1"/>
    <n v="2487.19"/>
    <n v="2521.4499999999998"/>
    <n v="1790.2294999999997"/>
    <n v="85931.015999999989"/>
    <n v="119385.12"/>
    <n v="-33454.104000000007"/>
    <n v="-0.38931349304656204"/>
    <s v="Loss"/>
    <x v="1"/>
    <n v="0.28999999999999998"/>
    <s v="Cash"/>
    <s v="Online"/>
    <s v="North-Bob"/>
  </r>
  <r>
    <n v="1062"/>
    <x v="289"/>
    <x v="2"/>
    <x v="3"/>
    <n v="26"/>
    <x v="2"/>
    <n v="1"/>
    <n v="992.17"/>
    <n v="1263.49"/>
    <n v="947.61750000000006"/>
    <n v="24638.055"/>
    <n v="25796.42"/>
    <n v="-1158.364999999998"/>
    <n v="-4.7015277788770175E-2"/>
    <s v="Loss"/>
    <x v="0"/>
    <n v="0.25"/>
    <s v="Bank Transfer"/>
    <s v="Retail"/>
    <s v="South-Eve"/>
  </r>
  <r>
    <n v="1062"/>
    <x v="290"/>
    <x v="2"/>
    <x v="2"/>
    <n v="15"/>
    <x v="2"/>
    <n v="1"/>
    <n v="4756.55"/>
    <n v="4888.46"/>
    <n v="3470.8065999999999"/>
    <n v="52062.098999999995"/>
    <n v="71348.25"/>
    <n v="-19286.151000000005"/>
    <n v="-0.37044512938289342"/>
    <s v="Loss"/>
    <x v="1"/>
    <n v="0.28999999999999998"/>
    <s v="Credit Card"/>
    <s v="Online"/>
    <s v="East-Eve"/>
  </r>
  <r>
    <n v="1062"/>
    <x v="57"/>
    <x v="1"/>
    <x v="2"/>
    <n v="25"/>
    <x v="0"/>
    <n v="1"/>
    <n v="2361.0500000000002"/>
    <n v="2616.19"/>
    <n v="1831.3329999999999"/>
    <n v="45783.324999999997"/>
    <n v="59026.250000000007"/>
    <n v="-13242.92500000001"/>
    <n v="-0.28925214584130821"/>
    <s v="Loss"/>
    <x v="1"/>
    <n v="0.3"/>
    <s v="Bank Transfer"/>
    <s v="Retail"/>
    <s v="East-David"/>
  </r>
  <r>
    <n v="1062"/>
    <x v="267"/>
    <x v="0"/>
    <x v="2"/>
    <n v="4"/>
    <x v="3"/>
    <n v="1"/>
    <n v="1581.59"/>
    <n v="2034.15"/>
    <n v="1606.9785000000002"/>
    <n v="6427.9140000000007"/>
    <n v="6326.36"/>
    <n v="101.554000000001"/>
    <n v="1.5798904590198466E-2"/>
    <s v="Profit"/>
    <x v="0"/>
    <n v="0.21"/>
    <s v="Cash"/>
    <s v="Online"/>
    <s v="East-Bob"/>
  </r>
  <r>
    <n v="1062"/>
    <x v="159"/>
    <x v="1"/>
    <x v="0"/>
    <n v="11"/>
    <x v="3"/>
    <n v="1"/>
    <n v="1190.08"/>
    <n v="1292.94"/>
    <n v="1124.8578"/>
    <n v="12373.435799999999"/>
    <n v="13090.88"/>
    <n v="-717.44419999999991"/>
    <n v="-5.7982617891790406E-2"/>
    <s v="Loss"/>
    <x v="0"/>
    <n v="0.13"/>
    <s v="Cash"/>
    <s v="Retail"/>
    <s v="West-David"/>
  </r>
  <r>
    <n v="1062"/>
    <x v="7"/>
    <x v="2"/>
    <x v="3"/>
    <n v="9"/>
    <x v="3"/>
    <n v="1"/>
    <n v="1468.05"/>
    <n v="1838.21"/>
    <n v="1562.4784999999999"/>
    <n v="14062.306499999999"/>
    <n v="13212.449999999999"/>
    <n v="849.85649999999987"/>
    <n v="6.043507158658503E-2"/>
    <s v="Profit"/>
    <x v="1"/>
    <n v="0.15"/>
    <s v="Bank Transfer"/>
    <s v="Retail"/>
    <s v="South-Eve"/>
  </r>
  <r>
    <n v="1062"/>
    <x v="163"/>
    <x v="3"/>
    <x v="2"/>
    <n v="24"/>
    <x v="0"/>
    <n v="1"/>
    <n v="3018.01"/>
    <n v="3418.19"/>
    <n v="2632.0063"/>
    <n v="63168.1512"/>
    <n v="72432.240000000005"/>
    <n v="-9264.088800000005"/>
    <n v="-0.14665758968738038"/>
    <s v="Loss"/>
    <x v="0"/>
    <n v="0.23"/>
    <s v="Bank Transfer"/>
    <s v="Retail"/>
    <s v="East-Alice"/>
  </r>
  <r>
    <n v="1062"/>
    <x v="231"/>
    <x v="1"/>
    <x v="0"/>
    <n v="45"/>
    <x v="1"/>
    <n v="1"/>
    <n v="4849.6000000000004"/>
    <n v="5166.72"/>
    <n v="3875.04"/>
    <n v="174376.80000000002"/>
    <n v="218232.00000000003"/>
    <n v="-43855.200000000012"/>
    <n v="-0.2514967587431356"/>
    <s v="Loss"/>
    <x v="0"/>
    <n v="0.25"/>
    <s v="Credit Card"/>
    <s v="Online"/>
    <s v="West-David"/>
  </r>
  <r>
    <n v="1062"/>
    <x v="291"/>
    <x v="4"/>
    <x v="1"/>
    <n v="46"/>
    <x v="1"/>
    <n v="1"/>
    <n v="159.32"/>
    <n v="303.36"/>
    <n v="294.25920000000002"/>
    <n v="13535.923200000001"/>
    <n v="7328.7199999999993"/>
    <n v="6207.2032000000017"/>
    <n v="0.45857257818956904"/>
    <s v="Profit"/>
    <x v="1"/>
    <n v="0.03"/>
    <s v="Cash"/>
    <s v="Retail"/>
    <s v="North-Charlie"/>
  </r>
  <r>
    <n v="1062"/>
    <x v="292"/>
    <x v="4"/>
    <x v="1"/>
    <n v="28"/>
    <x v="2"/>
    <n v="1"/>
    <n v="2094.88"/>
    <n v="2168.91"/>
    <n v="1995.3971999999999"/>
    <n v="55871.121599999999"/>
    <n v="58656.639999999999"/>
    <n v="-2785.5184000000008"/>
    <n v="-4.9856138918106148E-2"/>
    <s v="Loss"/>
    <x v="0"/>
    <n v="0.08"/>
    <s v="Cash"/>
    <s v="Retail"/>
    <s v="North-Charlie"/>
  </r>
  <r>
    <n v="1062"/>
    <x v="40"/>
    <x v="3"/>
    <x v="2"/>
    <n v="12"/>
    <x v="1"/>
    <n v="1"/>
    <n v="1088.99"/>
    <n v="1545"/>
    <n v="1483.2"/>
    <n v="17798.399999999998"/>
    <n v="13067.880000000001"/>
    <n v="4730.5199999999968"/>
    <n v="0.26578344120819836"/>
    <s v="Profit"/>
    <x v="0"/>
    <n v="0.04"/>
    <s v="Bank Transfer"/>
    <s v="Retail"/>
    <s v="East-Alice"/>
  </r>
  <r>
    <n v="1062"/>
    <x v="293"/>
    <x v="4"/>
    <x v="1"/>
    <n v="10"/>
    <x v="3"/>
    <n v="1"/>
    <n v="2940.4"/>
    <n v="3054.79"/>
    <n v="2810.4068000000002"/>
    <n v="28104.068000000003"/>
    <n v="29404"/>
    <n v="-1299.9319999999971"/>
    <n v="-4.62542291030607E-2"/>
    <s v="Loss"/>
    <x v="0"/>
    <n v="0.08"/>
    <s v="Credit Card"/>
    <s v="Online"/>
    <s v="North-Charlie"/>
  </r>
  <r>
    <n v="1062"/>
    <x v="276"/>
    <x v="2"/>
    <x v="1"/>
    <n v="48"/>
    <x v="3"/>
    <n v="1"/>
    <n v="1679.69"/>
    <n v="1939.04"/>
    <n v="1764.5264"/>
    <n v="84697.267200000002"/>
    <n v="80625.119999999995"/>
    <n v="4072.1472000000067"/>
    <n v="4.80788499395646E-2"/>
    <s v="Profit"/>
    <x v="1"/>
    <n v="0.09"/>
    <s v="Credit Card"/>
    <s v="Online"/>
    <s v="North-Eve"/>
  </r>
  <r>
    <n v="1062"/>
    <x v="124"/>
    <x v="1"/>
    <x v="1"/>
    <n v="37"/>
    <x v="3"/>
    <n v="1"/>
    <n v="4658.4399999999996"/>
    <n v="4823.5"/>
    <n v="4148.21"/>
    <n v="153483.76999999999"/>
    <n v="172362.28"/>
    <n v="-18878.510000000009"/>
    <n v="-0.12300004098153186"/>
    <s v="Loss"/>
    <x v="0"/>
    <n v="0.14000000000000001"/>
    <s v="Credit Card"/>
    <s v="Online"/>
    <s v="North-David"/>
  </r>
  <r>
    <n v="1062"/>
    <x v="294"/>
    <x v="1"/>
    <x v="3"/>
    <n v="44"/>
    <x v="3"/>
    <n v="1"/>
    <n v="987.74"/>
    <n v="1462.19"/>
    <n v="1111.2644"/>
    <n v="48895.633600000001"/>
    <n v="43460.56"/>
    <n v="5435.0736000000034"/>
    <n v="0.11115662483203824"/>
    <s v="Profit"/>
    <x v="1"/>
    <n v="0.24"/>
    <s v="Bank Transfer"/>
    <s v="Online"/>
    <s v="South-David"/>
  </r>
  <r>
    <n v="1062"/>
    <x v="62"/>
    <x v="0"/>
    <x v="3"/>
    <n v="28"/>
    <x v="3"/>
    <n v="1"/>
    <n v="933.16"/>
    <n v="1004.7"/>
    <n v="823.85400000000016"/>
    <n v="23067.912000000004"/>
    <n v="26128.48"/>
    <n v="-3060.5679999999957"/>
    <n v="-0.13267642082213574"/>
    <s v="Loss"/>
    <x v="0"/>
    <n v="0.18"/>
    <s v="Bank Transfer"/>
    <s v="Online"/>
    <s v="South-Bob"/>
  </r>
  <r>
    <n v="1063"/>
    <x v="227"/>
    <x v="0"/>
    <x v="3"/>
    <n v="4"/>
    <x v="3"/>
    <n v="1"/>
    <n v="1046.26"/>
    <n v="1475.29"/>
    <n v="1342.5138999999999"/>
    <n v="5370.0555999999997"/>
    <n v="4185.04"/>
    <n v="1185.0155999999997"/>
    <n v="0.22067101130200584"/>
    <s v="Profit"/>
    <x v="0"/>
    <n v="0.09"/>
    <s v="Bank Transfer"/>
    <s v="Retail"/>
    <s v="South-Bob"/>
  </r>
  <r>
    <n v="1063"/>
    <x v="110"/>
    <x v="1"/>
    <x v="3"/>
    <n v="14"/>
    <x v="2"/>
    <n v="1"/>
    <n v="2188.35"/>
    <n v="2605.36"/>
    <n v="2084.288"/>
    <n v="29180.032000000003"/>
    <n v="30636.899999999998"/>
    <n v="-1456.8679999999949"/>
    <n v="-4.9926881505818595E-2"/>
    <s v="Loss"/>
    <x v="0"/>
    <n v="0.2"/>
    <s v="Credit Card"/>
    <s v="Retail"/>
    <s v="South-David"/>
  </r>
  <r>
    <n v="1063"/>
    <x v="295"/>
    <x v="3"/>
    <x v="3"/>
    <n v="27"/>
    <x v="0"/>
    <n v="1"/>
    <n v="2069.08"/>
    <n v="2246.2399999999998"/>
    <n v="2111.4655999999995"/>
    <n v="57009.571199999991"/>
    <n v="55865.159999999996"/>
    <n v="1144.411199999995"/>
    <n v="2.007401872898134E-2"/>
    <s v="Profit"/>
    <x v="1"/>
    <n v="0.06"/>
    <s v="Bank Transfer"/>
    <s v="Retail"/>
    <s v="South-Alice"/>
  </r>
  <r>
    <n v="1063"/>
    <x v="4"/>
    <x v="1"/>
    <x v="2"/>
    <n v="47"/>
    <x v="3"/>
    <n v="1"/>
    <n v="4291.33"/>
    <n v="4658.6400000000003"/>
    <n v="3540.5664000000002"/>
    <n v="166406.6208"/>
    <n v="201692.51"/>
    <n v="-35285.889200000005"/>
    <n v="-0.21204618560465358"/>
    <s v="Loss"/>
    <x v="1"/>
    <n v="0.24"/>
    <s v="Credit Card"/>
    <s v="Retail"/>
    <s v="East-David"/>
  </r>
  <r>
    <n v="1063"/>
    <x v="296"/>
    <x v="4"/>
    <x v="1"/>
    <n v="40"/>
    <x v="3"/>
    <n v="1"/>
    <n v="2101.3200000000002"/>
    <n v="2440.63"/>
    <n v="1806.0662"/>
    <n v="72242.648000000001"/>
    <n v="84052.800000000003"/>
    <n v="-11810.152000000002"/>
    <n v="-0.16347894667426921"/>
    <s v="Loss"/>
    <x v="1"/>
    <n v="0.26"/>
    <s v="Bank Transfer"/>
    <s v="Retail"/>
    <s v="North-Charlie"/>
  </r>
  <r>
    <n v="1063"/>
    <x v="105"/>
    <x v="0"/>
    <x v="1"/>
    <n v="27"/>
    <x v="2"/>
    <n v="1"/>
    <n v="3760.25"/>
    <n v="4147.1099999999997"/>
    <n v="3234.7457999999997"/>
    <n v="87338.136599999998"/>
    <n v="101526.75"/>
    <n v="-14188.613400000002"/>
    <n v="-0.1624561039695917"/>
    <s v="Loss"/>
    <x v="1"/>
    <n v="0.22"/>
    <s v="Cash"/>
    <s v="Online"/>
    <s v="North-Bob"/>
  </r>
  <r>
    <n v="1063"/>
    <x v="213"/>
    <x v="3"/>
    <x v="2"/>
    <n v="26"/>
    <x v="0"/>
    <n v="1"/>
    <n v="1046.96"/>
    <n v="1528.15"/>
    <n v="1421.1795"/>
    <n v="36950.667000000001"/>
    <n v="27220.959999999999"/>
    <n v="9729.7070000000022"/>
    <n v="0.26331613986832775"/>
    <s v="Profit"/>
    <x v="1"/>
    <n v="7.0000000000000007E-2"/>
    <s v="Credit Card"/>
    <s v="Retail"/>
    <s v="East-Alice"/>
  </r>
  <r>
    <n v="1063"/>
    <x v="122"/>
    <x v="4"/>
    <x v="1"/>
    <n v="4"/>
    <x v="2"/>
    <n v="1"/>
    <n v="1134.67"/>
    <n v="1201.3900000000001"/>
    <n v="840.97300000000007"/>
    <n v="3363.8920000000003"/>
    <n v="4538.68"/>
    <n v="-1174.788"/>
    <n v="-0.34923475545588262"/>
    <s v="Loss"/>
    <x v="1"/>
    <n v="0.3"/>
    <s v="Bank Transfer"/>
    <s v="Retail"/>
    <s v="North-Charlie"/>
  </r>
  <r>
    <n v="1063"/>
    <x v="297"/>
    <x v="0"/>
    <x v="0"/>
    <n v="39"/>
    <x v="0"/>
    <n v="1"/>
    <n v="3577.69"/>
    <n v="3931.25"/>
    <n v="3105.6875"/>
    <n v="121121.8125"/>
    <n v="139529.91"/>
    <n v="-18408.097500000003"/>
    <n v="-0.15198003662635087"/>
    <s v="Loss"/>
    <x v="0"/>
    <n v="0.21"/>
    <s v="Cash"/>
    <s v="Retail"/>
    <s v="West-Bob"/>
  </r>
  <r>
    <n v="1063"/>
    <x v="202"/>
    <x v="4"/>
    <x v="0"/>
    <n v="46"/>
    <x v="1"/>
    <n v="1"/>
    <n v="2302.62"/>
    <n v="2740.93"/>
    <n v="2055.6974999999998"/>
    <n v="94562.084999999992"/>
    <n v="105920.51999999999"/>
    <n v="-11358.434999999998"/>
    <n v="-0.12011616495131214"/>
    <s v="Loss"/>
    <x v="0"/>
    <n v="0.25"/>
    <s v="Bank Transfer"/>
    <s v="Online"/>
    <s v="West-Charlie"/>
  </r>
  <r>
    <n v="1063"/>
    <x v="141"/>
    <x v="0"/>
    <x v="2"/>
    <n v="32"/>
    <x v="3"/>
    <n v="1"/>
    <n v="975.31"/>
    <n v="1176.17"/>
    <n v="917.41260000000011"/>
    <n v="29357.203200000004"/>
    <n v="31209.919999999998"/>
    <n v="-1852.7167999999947"/>
    <n v="-6.3109444976011689E-2"/>
    <s v="Loss"/>
    <x v="1"/>
    <n v="0.22"/>
    <s v="Bank Transfer"/>
    <s v="Retail"/>
    <s v="East-Bob"/>
  </r>
  <r>
    <n v="1063"/>
    <x v="41"/>
    <x v="0"/>
    <x v="3"/>
    <n v="25"/>
    <x v="3"/>
    <n v="1"/>
    <n v="3997.1"/>
    <n v="4212.6499999999996"/>
    <n v="3285.8669999999997"/>
    <n v="82146.674999999988"/>
    <n v="99927.5"/>
    <n v="-17780.825000000012"/>
    <n v="-0.21645215707148238"/>
    <s v="Loss"/>
    <x v="1"/>
    <n v="0.22"/>
    <s v="Cash"/>
    <s v="Online"/>
    <s v="South-Bob"/>
  </r>
  <r>
    <n v="1063"/>
    <x v="248"/>
    <x v="4"/>
    <x v="3"/>
    <n v="42"/>
    <x v="0"/>
    <n v="1"/>
    <n v="1170.07"/>
    <n v="1669.95"/>
    <n v="1469.556"/>
    <n v="61721.352000000006"/>
    <n v="49142.939999999995"/>
    <n v="12578.412000000011"/>
    <n v="0.20379352675229814"/>
    <s v="Profit"/>
    <x v="0"/>
    <n v="0.12"/>
    <s v="Bank Transfer"/>
    <s v="Retail"/>
    <s v="South-Charlie"/>
  </r>
  <r>
    <n v="1064"/>
    <x v="298"/>
    <x v="1"/>
    <x v="3"/>
    <n v="10"/>
    <x v="3"/>
    <n v="1"/>
    <n v="2242.0100000000002"/>
    <n v="2282.23"/>
    <n v="1825.7840000000001"/>
    <n v="18257.84"/>
    <n v="22420.100000000002"/>
    <n v="-4162.260000000002"/>
    <n v="-0.22797110720654809"/>
    <s v="Loss"/>
    <x v="0"/>
    <n v="0.2"/>
    <s v="Credit Card"/>
    <s v="Online"/>
    <s v="South-David"/>
  </r>
  <r>
    <n v="1064"/>
    <x v="16"/>
    <x v="2"/>
    <x v="2"/>
    <n v="10"/>
    <x v="3"/>
    <n v="1"/>
    <n v="4764.96"/>
    <n v="5074.42"/>
    <n v="4465.4895999999999"/>
    <n v="44654.896000000001"/>
    <n v="47649.599999999999"/>
    <n v="-2994.7039999999979"/>
    <n v="-6.7063284617211921E-2"/>
    <s v="Loss"/>
    <x v="1"/>
    <n v="0.12"/>
    <s v="Cash"/>
    <s v="Online"/>
    <s v="East-Eve"/>
  </r>
  <r>
    <n v="1064"/>
    <x v="135"/>
    <x v="0"/>
    <x v="3"/>
    <n v="5"/>
    <x v="0"/>
    <n v="1"/>
    <n v="421.05"/>
    <n v="488.23"/>
    <n v="454.0539"/>
    <n v="2270.2694999999999"/>
    <n v="2105.25"/>
    <n v="165.01949999999988"/>
    <n v="7.2687185376009281E-2"/>
    <s v="Profit"/>
    <x v="0"/>
    <n v="7.0000000000000007E-2"/>
    <s v="Credit Card"/>
    <s v="Retail"/>
    <s v="South-Bob"/>
  </r>
  <r>
    <n v="1064"/>
    <x v="9"/>
    <x v="0"/>
    <x v="3"/>
    <n v="8"/>
    <x v="3"/>
    <n v="1"/>
    <n v="4271.99"/>
    <n v="4417.79"/>
    <n v="4241.0783999999994"/>
    <n v="33928.627199999995"/>
    <n v="34175.919999999998"/>
    <n v="-247.2928000000029"/>
    <n v="-7.2886179137835244E-3"/>
    <s v="Loss"/>
    <x v="0"/>
    <n v="0.04"/>
    <s v="Cash"/>
    <s v="Online"/>
    <s v="South-Bob"/>
  </r>
  <r>
    <n v="1064"/>
    <x v="202"/>
    <x v="3"/>
    <x v="0"/>
    <n v="35"/>
    <x v="2"/>
    <n v="1"/>
    <n v="4900.03"/>
    <n v="5118.83"/>
    <n v="4760.5118999999995"/>
    <n v="166617.91649999999"/>
    <n v="171501.05"/>
    <n v="-4883.1334999999963"/>
    <n v="-2.9307373436037395E-2"/>
    <s v="Loss"/>
    <x v="0"/>
    <n v="7.0000000000000007E-2"/>
    <s v="Credit Card"/>
    <s v="Retail"/>
    <s v="West-Alice"/>
  </r>
  <r>
    <n v="1064"/>
    <x v="147"/>
    <x v="0"/>
    <x v="0"/>
    <n v="46"/>
    <x v="3"/>
    <n v="1"/>
    <n v="984.53"/>
    <n v="1138.49"/>
    <n v="1092.9503999999999"/>
    <n v="50275.718399999998"/>
    <n v="45288.38"/>
    <n v="4987.3384000000005"/>
    <n v="9.9199744105496479E-2"/>
    <s v="Profit"/>
    <x v="1"/>
    <n v="0.04"/>
    <s v="Bank Transfer"/>
    <s v="Online"/>
    <s v="West-Bob"/>
  </r>
  <r>
    <n v="1064"/>
    <x v="131"/>
    <x v="3"/>
    <x v="1"/>
    <n v="21"/>
    <x v="2"/>
    <n v="1"/>
    <n v="2278.04"/>
    <n v="2598.58"/>
    <n v="2546.6084000000001"/>
    <n v="53478.776400000002"/>
    <n v="47838.84"/>
    <n v="5639.936400000006"/>
    <n v="0.10546120871980171"/>
    <s v="Profit"/>
    <x v="0"/>
    <n v="0.02"/>
    <s v="Credit Card"/>
    <s v="Retail"/>
    <s v="North-Alice"/>
  </r>
  <r>
    <n v="1064"/>
    <x v="14"/>
    <x v="0"/>
    <x v="1"/>
    <n v="13"/>
    <x v="2"/>
    <n v="1"/>
    <n v="1645.51"/>
    <n v="2045.53"/>
    <n v="1472.7816"/>
    <n v="19146.160799999998"/>
    <n v="21391.63"/>
    <n v="-2245.4692000000032"/>
    <n v="-0.11728038970611818"/>
    <s v="Loss"/>
    <x v="0"/>
    <n v="0.28000000000000003"/>
    <s v="Cash"/>
    <s v="Retail"/>
    <s v="North-Bob"/>
  </r>
  <r>
    <n v="1064"/>
    <x v="299"/>
    <x v="1"/>
    <x v="3"/>
    <n v="8"/>
    <x v="2"/>
    <n v="1"/>
    <n v="816.54"/>
    <n v="1191.9000000000001"/>
    <n v="1156.143"/>
    <n v="9249.1440000000002"/>
    <n v="6532.32"/>
    <n v="2716.8240000000005"/>
    <n v="0.29373788536539169"/>
    <s v="Profit"/>
    <x v="1"/>
    <n v="0.03"/>
    <s v="Cash"/>
    <s v="Retail"/>
    <s v="South-David"/>
  </r>
  <r>
    <n v="1065"/>
    <x v="300"/>
    <x v="3"/>
    <x v="2"/>
    <n v="3"/>
    <x v="1"/>
    <n v="1"/>
    <n v="4173.04"/>
    <n v="4362.4399999999996"/>
    <n v="3359.0787999999998"/>
    <n v="10077.2364"/>
    <n v="12519.119999999999"/>
    <n v="-2441.8835999999992"/>
    <n v="-0.24231679233008757"/>
    <s v="Loss"/>
    <x v="1"/>
    <n v="0.23"/>
    <s v="Bank Transfer"/>
    <s v="Retail"/>
    <s v="East-Alice"/>
  </r>
  <r>
    <n v="1065"/>
    <x v="162"/>
    <x v="2"/>
    <x v="1"/>
    <n v="6"/>
    <x v="2"/>
    <n v="1"/>
    <n v="2019.9"/>
    <n v="2116.7399999999998"/>
    <n v="1883.8985999999998"/>
    <n v="11303.391599999999"/>
    <n v="12119.400000000001"/>
    <n v="-816.00840000000244"/>
    <n v="-7.2191465082038081E-2"/>
    <s v="Loss"/>
    <x v="1"/>
    <n v="0.11"/>
    <s v="Credit Card"/>
    <s v="Online"/>
    <s v="North-Eve"/>
  </r>
  <r>
    <n v="1065"/>
    <x v="105"/>
    <x v="0"/>
    <x v="0"/>
    <n v="26"/>
    <x v="2"/>
    <n v="1"/>
    <n v="4337.8500000000004"/>
    <n v="4612.49"/>
    <n v="4566.3651"/>
    <n v="118725.49259999998"/>
    <n v="112784.1"/>
    <n v="5941.3925999999774"/>
    <n v="5.0043107591199655E-2"/>
    <s v="Profit"/>
    <x v="0"/>
    <n v="0.01"/>
    <s v="Cash"/>
    <s v="Retail"/>
    <s v="West-Bob"/>
  </r>
  <r>
    <n v="1065"/>
    <x v="31"/>
    <x v="0"/>
    <x v="2"/>
    <n v="18"/>
    <x v="0"/>
    <n v="1"/>
    <n v="1239.0899999999999"/>
    <n v="1273.98"/>
    <n v="1248.5003999999999"/>
    <n v="22473.0072"/>
    <n v="22303.62"/>
    <n v="169.38720000000103"/>
    <n v="7.5373624229516127E-3"/>
    <s v="Profit"/>
    <x v="1"/>
    <n v="0.02"/>
    <s v="Bank Transfer"/>
    <s v="Retail"/>
    <s v="East-Bob"/>
  </r>
  <r>
    <n v="1065"/>
    <x v="132"/>
    <x v="0"/>
    <x v="3"/>
    <n v="12"/>
    <x v="3"/>
    <n v="1"/>
    <n v="2035.68"/>
    <n v="2079.64"/>
    <n v="1996.4543999999999"/>
    <n v="23957.452799999999"/>
    <n v="24428.16"/>
    <n v="-470.70720000000074"/>
    <n v="-1.9647631320805554E-2"/>
    <s v="Loss"/>
    <x v="0"/>
    <n v="0.04"/>
    <s v="Cash"/>
    <s v="Online"/>
    <s v="South-Bob"/>
  </r>
  <r>
    <n v="1065"/>
    <x v="301"/>
    <x v="1"/>
    <x v="0"/>
    <n v="18"/>
    <x v="0"/>
    <n v="1"/>
    <n v="4334.58"/>
    <n v="4431.04"/>
    <n v="4342.4192000000003"/>
    <n v="78163.545599999998"/>
    <n v="78022.44"/>
    <n v="141.10559999999532"/>
    <n v="1.8052609936875142E-3"/>
    <s v="Profit"/>
    <x v="1"/>
    <n v="0.02"/>
    <s v="Bank Transfer"/>
    <s v="Retail"/>
    <s v="West-David"/>
  </r>
  <r>
    <n v="1065"/>
    <x v="210"/>
    <x v="2"/>
    <x v="3"/>
    <n v="13"/>
    <x v="1"/>
    <n v="1"/>
    <n v="1339"/>
    <n v="1441.88"/>
    <n v="1110.2476000000001"/>
    <n v="14433.218800000002"/>
    <n v="17407"/>
    <n v="-2973.7811999999976"/>
    <n v="-0.20603728393558318"/>
    <s v="Loss"/>
    <x v="0"/>
    <n v="0.23"/>
    <s v="Credit Card"/>
    <s v="Retail"/>
    <s v="South-Eve"/>
  </r>
  <r>
    <n v="1065"/>
    <x v="34"/>
    <x v="1"/>
    <x v="3"/>
    <n v="9"/>
    <x v="2"/>
    <n v="1"/>
    <n v="335.82"/>
    <n v="498.31"/>
    <n v="368.74939999999998"/>
    <n v="3318.7446"/>
    <n v="3022.38"/>
    <n v="296.36459999999988"/>
    <n v="8.9300213098651784E-2"/>
    <s v="Profit"/>
    <x v="1"/>
    <n v="0.26"/>
    <s v="Cash"/>
    <s v="Retail"/>
    <s v="South-David"/>
  </r>
  <r>
    <n v="1066"/>
    <x v="302"/>
    <x v="4"/>
    <x v="1"/>
    <n v="15"/>
    <x v="1"/>
    <n v="1"/>
    <n v="2579.31"/>
    <n v="2867.36"/>
    <n v="2752.6655999999998"/>
    <n v="41289.983999999997"/>
    <n v="38689.65"/>
    <n v="2600.3339999999953"/>
    <n v="6.2977355476814795E-2"/>
    <s v="Profit"/>
    <x v="0"/>
    <n v="0.04"/>
    <s v="Bank Transfer"/>
    <s v="Retail"/>
    <s v="North-Charlie"/>
  </r>
  <r>
    <n v="1066"/>
    <x v="295"/>
    <x v="3"/>
    <x v="3"/>
    <n v="4"/>
    <x v="1"/>
    <n v="1"/>
    <n v="4596.68"/>
    <n v="5044.74"/>
    <n v="4994.2925999999998"/>
    <n v="19977.170399999999"/>
    <n v="18386.72"/>
    <n v="1590.4503999999979"/>
    <n v="7.9613397100522204E-2"/>
    <s v="Profit"/>
    <x v="1"/>
    <n v="0.01"/>
    <s v="Bank Transfer"/>
    <s v="Online"/>
    <s v="South-Alice"/>
  </r>
  <r>
    <n v="1066"/>
    <x v="223"/>
    <x v="3"/>
    <x v="1"/>
    <n v="48"/>
    <x v="2"/>
    <n v="1"/>
    <n v="2588.54"/>
    <n v="2872.8"/>
    <n v="2384.424"/>
    <n v="114452.35200000001"/>
    <n v="124249.92"/>
    <n v="-9797.5679999999847"/>
    <n v="-8.5603902661607015E-2"/>
    <s v="Loss"/>
    <x v="1"/>
    <n v="0.17"/>
    <s v="Cash"/>
    <s v="Online"/>
    <s v="North-Alice"/>
  </r>
  <r>
    <n v="1066"/>
    <x v="105"/>
    <x v="3"/>
    <x v="3"/>
    <n v="20"/>
    <x v="3"/>
    <n v="1"/>
    <n v="955.18"/>
    <n v="1072.82"/>
    <n v="1040.6353999999999"/>
    <n v="20812.707999999999"/>
    <n v="19103.599999999999"/>
    <n v="1709.1080000000002"/>
    <n v="8.2118482611681295E-2"/>
    <s v="Profit"/>
    <x v="1"/>
    <n v="0.03"/>
    <s v="Bank Transfer"/>
    <s v="Retail"/>
    <s v="South-Alice"/>
  </r>
  <r>
    <n v="1066"/>
    <x v="141"/>
    <x v="4"/>
    <x v="2"/>
    <n v="4"/>
    <x v="1"/>
    <n v="1"/>
    <n v="868.83"/>
    <n v="1177.75"/>
    <n v="930.42250000000001"/>
    <n v="3721.69"/>
    <n v="3475.32"/>
    <n v="246.36999999999989"/>
    <n v="6.6198420609991662E-2"/>
    <s v="Profit"/>
    <x v="0"/>
    <n v="0.21"/>
    <s v="Credit Card"/>
    <s v="Retail"/>
    <s v="East-Charlie"/>
  </r>
  <r>
    <n v="1066"/>
    <x v="164"/>
    <x v="0"/>
    <x v="0"/>
    <n v="13"/>
    <x v="1"/>
    <n v="1"/>
    <n v="4133.92"/>
    <n v="4358.37"/>
    <n v="3791.7819"/>
    <n v="49293.164700000001"/>
    <n v="53740.959999999999"/>
    <n v="-4447.795299999998"/>
    <n v="-9.0231481932017202E-2"/>
    <s v="Loss"/>
    <x v="1"/>
    <n v="0.13"/>
    <s v="Cash"/>
    <s v="Retail"/>
    <s v="West-Bob"/>
  </r>
  <r>
    <n v="1066"/>
    <x v="234"/>
    <x v="2"/>
    <x v="2"/>
    <n v="47"/>
    <x v="0"/>
    <n v="1"/>
    <n v="1319.24"/>
    <n v="1805.56"/>
    <n v="1336.1143999999999"/>
    <n v="62797.376799999991"/>
    <n v="62004.28"/>
    <n v="793.09679999999207"/>
    <n v="1.2629457477593111E-2"/>
    <s v="Profit"/>
    <x v="1"/>
    <n v="0.26"/>
    <s v="Credit Card"/>
    <s v="Retail"/>
    <s v="East-Eve"/>
  </r>
  <r>
    <n v="1066"/>
    <x v="248"/>
    <x v="4"/>
    <x v="1"/>
    <n v="7"/>
    <x v="2"/>
    <n v="1"/>
    <n v="523.41999999999996"/>
    <n v="632.44000000000005"/>
    <n v="505.95200000000006"/>
    <n v="3541.6640000000002"/>
    <n v="3663.9399999999996"/>
    <n v="-122.27599999999939"/>
    <n v="-3.4525014230598776E-2"/>
    <s v="Loss"/>
    <x v="1"/>
    <n v="0.2"/>
    <s v="Bank Transfer"/>
    <s v="Online"/>
    <s v="North-Charlie"/>
  </r>
  <r>
    <n v="1067"/>
    <x v="109"/>
    <x v="3"/>
    <x v="1"/>
    <n v="36"/>
    <x v="3"/>
    <n v="1"/>
    <n v="689.66"/>
    <n v="1150.28"/>
    <n v="920.22400000000005"/>
    <n v="33128.064000000006"/>
    <n v="24827.759999999998"/>
    <n v="8300.3040000000074"/>
    <n v="0.25055203950342542"/>
    <s v="Profit"/>
    <x v="1"/>
    <n v="0.2"/>
    <s v="Bank Transfer"/>
    <s v="Online"/>
    <s v="North-Alice"/>
  </r>
  <r>
    <n v="1067"/>
    <x v="303"/>
    <x v="3"/>
    <x v="0"/>
    <n v="27"/>
    <x v="1"/>
    <n v="1"/>
    <n v="3624.97"/>
    <n v="3836.52"/>
    <n v="3529.5984000000003"/>
    <n v="95299.156799999997"/>
    <n v="97874.189999999988"/>
    <n v="-2575.0331999999908"/>
    <n v="-2.7020524487998313E-2"/>
    <s v="Loss"/>
    <x v="1"/>
    <n v="0.08"/>
    <s v="Cash"/>
    <s v="Online"/>
    <s v="West-Alice"/>
  </r>
  <r>
    <n v="1067"/>
    <x v="103"/>
    <x v="0"/>
    <x v="1"/>
    <n v="37"/>
    <x v="2"/>
    <n v="1"/>
    <n v="1754.32"/>
    <n v="1856.4"/>
    <n v="1466.556"/>
    <n v="54262.572000000007"/>
    <n v="64909.84"/>
    <n v="-10647.267999999989"/>
    <n v="-0.19621753277747297"/>
    <s v="Loss"/>
    <x v="1"/>
    <n v="0.21"/>
    <s v="Bank Transfer"/>
    <s v="Retail"/>
    <s v="North-Bob"/>
  </r>
  <r>
    <n v="1067"/>
    <x v="47"/>
    <x v="0"/>
    <x v="2"/>
    <n v="28"/>
    <x v="3"/>
    <n v="1"/>
    <n v="3489.85"/>
    <n v="3842.55"/>
    <n v="3727.2735000000002"/>
    <n v="104363.65800000001"/>
    <n v="97715.8"/>
    <n v="6647.8580000000075"/>
    <n v="6.3698974598993138E-2"/>
    <s v="Profit"/>
    <x v="1"/>
    <n v="0.03"/>
    <s v="Bank Transfer"/>
    <s v="Online"/>
    <s v="East-Bob"/>
  </r>
  <r>
    <n v="1067"/>
    <x v="189"/>
    <x v="4"/>
    <x v="1"/>
    <n v="32"/>
    <x v="0"/>
    <n v="1"/>
    <n v="2171.79"/>
    <n v="2307.64"/>
    <n v="1799.9592"/>
    <n v="57598.6944"/>
    <n v="69497.279999999999"/>
    <n v="-11898.585599999999"/>
    <n v="-0.20657734908657926"/>
    <s v="Loss"/>
    <x v="0"/>
    <n v="0.22"/>
    <s v="Bank Transfer"/>
    <s v="Online"/>
    <s v="North-Charlie"/>
  </r>
  <r>
    <n v="1067"/>
    <x v="223"/>
    <x v="4"/>
    <x v="1"/>
    <n v="48"/>
    <x v="3"/>
    <n v="1"/>
    <n v="210.63"/>
    <n v="533.58000000000004"/>
    <n v="512.23680000000002"/>
    <n v="24587.366400000003"/>
    <n v="10110.24"/>
    <n v="14477.126400000003"/>
    <n v="0.58880345964991199"/>
    <s v="Profit"/>
    <x v="1"/>
    <n v="0.04"/>
    <s v="Bank Transfer"/>
    <s v="Online"/>
    <s v="North-Charlie"/>
  </r>
  <r>
    <n v="1067"/>
    <x v="17"/>
    <x v="0"/>
    <x v="2"/>
    <n v="17"/>
    <x v="0"/>
    <n v="1"/>
    <n v="2831.58"/>
    <n v="3186.15"/>
    <n v="2421.4740000000002"/>
    <n v="41165.058000000005"/>
    <n v="48136.86"/>
    <n v="-6971.801999999996"/>
    <n v="-0.16936213232105723"/>
    <s v="Loss"/>
    <x v="1"/>
    <n v="0.24"/>
    <s v="Bank Transfer"/>
    <s v="Retail"/>
    <s v="East-Bob"/>
  </r>
  <r>
    <n v="1067"/>
    <x v="245"/>
    <x v="0"/>
    <x v="1"/>
    <n v="49"/>
    <x v="1"/>
    <n v="1"/>
    <n v="2628.38"/>
    <n v="2644.54"/>
    <n v="2353.6406000000002"/>
    <n v="115328.3894"/>
    <n v="128790.62000000001"/>
    <n v="-13462.23060000001"/>
    <n v="-0.11672954655863779"/>
    <s v="Loss"/>
    <x v="0"/>
    <n v="0.11"/>
    <s v="Cash"/>
    <s v="Online"/>
    <s v="North-Bob"/>
  </r>
  <r>
    <n v="1067"/>
    <x v="274"/>
    <x v="0"/>
    <x v="1"/>
    <n v="11"/>
    <x v="1"/>
    <n v="1"/>
    <n v="3435.68"/>
    <n v="3552.63"/>
    <n v="2593.4198999999999"/>
    <n v="28527.618900000001"/>
    <n v="37792.479999999996"/>
    <n v="-9264.8610999999946"/>
    <n v="-0.32476811795883864"/>
    <s v="Loss"/>
    <x v="1"/>
    <n v="0.27"/>
    <s v="Cash"/>
    <s v="Retail"/>
    <s v="North-Bob"/>
  </r>
  <r>
    <n v="1067"/>
    <x v="304"/>
    <x v="2"/>
    <x v="3"/>
    <n v="48"/>
    <x v="0"/>
    <n v="1"/>
    <n v="4319.32"/>
    <n v="4625.5600000000004"/>
    <n v="4163.0040000000008"/>
    <n v="199824.19200000001"/>
    <n v="207327.35999999999"/>
    <n v="-7503.167999999976"/>
    <n v="-3.7548846938412622E-2"/>
    <s v="Loss"/>
    <x v="0"/>
    <n v="0.1"/>
    <s v="Bank Transfer"/>
    <s v="Online"/>
    <s v="South-Eve"/>
  </r>
  <r>
    <n v="1068"/>
    <x v="305"/>
    <x v="2"/>
    <x v="2"/>
    <n v="14"/>
    <x v="0"/>
    <n v="1"/>
    <n v="1140.58"/>
    <n v="1438.76"/>
    <n v="1395.5971999999999"/>
    <n v="19538.360799999999"/>
    <n v="15968.119999999999"/>
    <n v="3570.2407999999996"/>
    <n v="0.18272980198011288"/>
    <s v="Profit"/>
    <x v="0"/>
    <n v="0.03"/>
    <s v="Bank Transfer"/>
    <s v="Online"/>
    <s v="East-Eve"/>
  </r>
  <r>
    <n v="1068"/>
    <x v="188"/>
    <x v="3"/>
    <x v="3"/>
    <n v="31"/>
    <x v="2"/>
    <n v="1"/>
    <n v="3169.37"/>
    <n v="3304.15"/>
    <n v="2478.1125000000002"/>
    <n v="76821.487500000003"/>
    <n v="98250.47"/>
    <n v="-21428.982499999998"/>
    <n v="-0.27894516491886462"/>
    <s v="Loss"/>
    <x v="0"/>
    <n v="0.25"/>
    <s v="Credit Card"/>
    <s v="Retail"/>
    <s v="South-Alice"/>
  </r>
  <r>
    <n v="1068"/>
    <x v="11"/>
    <x v="4"/>
    <x v="0"/>
    <n v="42"/>
    <x v="2"/>
    <n v="1"/>
    <n v="1218.18"/>
    <n v="1566.36"/>
    <n v="1519.3691999999999"/>
    <n v="63813.506399999991"/>
    <n v="51163.560000000005"/>
    <n v="12649.946399999986"/>
    <n v="0.19823305619200371"/>
    <s v="Profit"/>
    <x v="0"/>
    <n v="0.03"/>
    <s v="Credit Card"/>
    <s v="Retail"/>
    <s v="West-Charlie"/>
  </r>
  <r>
    <n v="1068"/>
    <x v="213"/>
    <x v="3"/>
    <x v="3"/>
    <n v="21"/>
    <x v="0"/>
    <n v="1"/>
    <n v="1142.53"/>
    <n v="1384.3"/>
    <n v="1356.614"/>
    <n v="28488.894"/>
    <n v="23993.13"/>
    <n v="4495.7639999999992"/>
    <n v="0.15780760039333219"/>
    <s v="Profit"/>
    <x v="0"/>
    <n v="0.02"/>
    <s v="Credit Card"/>
    <s v="Retail"/>
    <s v="South-Alice"/>
  </r>
  <r>
    <n v="1068"/>
    <x v="78"/>
    <x v="0"/>
    <x v="1"/>
    <n v="22"/>
    <x v="2"/>
    <n v="1"/>
    <n v="3619.61"/>
    <n v="3651.42"/>
    <n v="2702.0508"/>
    <n v="59445.117600000005"/>
    <n v="79631.42"/>
    <n v="-20186.302399999993"/>
    <n v="-0.33957881176771348"/>
    <s v="Loss"/>
    <x v="0"/>
    <n v="0.26"/>
    <s v="Bank Transfer"/>
    <s v="Online"/>
    <s v="North-Bob"/>
  </r>
  <r>
    <n v="1069"/>
    <x v="306"/>
    <x v="2"/>
    <x v="1"/>
    <n v="18"/>
    <x v="1"/>
    <n v="1"/>
    <n v="2760.21"/>
    <n v="3219.58"/>
    <n v="2350.2934"/>
    <n v="42305.281199999998"/>
    <n v="49683.78"/>
    <n v="-7378.4988000000012"/>
    <n v="-0.17441082036821448"/>
    <s v="Loss"/>
    <x v="1"/>
    <n v="0.27"/>
    <s v="Bank Transfer"/>
    <s v="Retail"/>
    <s v="North-Eve"/>
  </r>
  <r>
    <n v="1069"/>
    <x v="307"/>
    <x v="4"/>
    <x v="1"/>
    <n v="23"/>
    <x v="1"/>
    <n v="1"/>
    <n v="530.24"/>
    <n v="987.41"/>
    <n v="760.3057"/>
    <n v="17487.0311"/>
    <n v="12195.52"/>
    <n v="5291.5110999999997"/>
    <n v="0.30259631093124778"/>
    <s v="Profit"/>
    <x v="0"/>
    <n v="0.23"/>
    <s v="Credit Card"/>
    <s v="Online"/>
    <s v="North-Charlie"/>
  </r>
  <r>
    <n v="1069"/>
    <x v="127"/>
    <x v="1"/>
    <x v="0"/>
    <n v="42"/>
    <x v="2"/>
    <n v="1"/>
    <n v="1434.2"/>
    <n v="1482.88"/>
    <n v="1067.6736000000001"/>
    <n v="44842.2912"/>
    <n v="60236.4"/>
    <n v="-15394.108800000002"/>
    <n v="-0.34329443005802529"/>
    <s v="Loss"/>
    <x v="1"/>
    <n v="0.28000000000000003"/>
    <s v="Credit Card"/>
    <s v="Retail"/>
    <s v="West-David"/>
  </r>
  <r>
    <n v="1069"/>
    <x v="89"/>
    <x v="1"/>
    <x v="1"/>
    <n v="35"/>
    <x v="3"/>
    <n v="1"/>
    <n v="2885.16"/>
    <n v="3224.84"/>
    <n v="2773.3624"/>
    <n v="97067.684000000008"/>
    <n v="100980.59999999999"/>
    <n v="-3912.9159999999829"/>
    <n v="-4.0311212122872767E-2"/>
    <s v="Loss"/>
    <x v="1"/>
    <n v="0.14000000000000001"/>
    <s v="Cash"/>
    <s v="Online"/>
    <s v="North-David"/>
  </r>
  <r>
    <n v="1069"/>
    <x v="308"/>
    <x v="0"/>
    <x v="1"/>
    <n v="4"/>
    <x v="3"/>
    <n v="1"/>
    <n v="2485.86"/>
    <n v="2532.87"/>
    <n v="2507.5412999999999"/>
    <n v="10030.165199999999"/>
    <n v="9943.44"/>
    <n v="86.725199999998949"/>
    <n v="8.6464378473047436E-3"/>
    <s v="Profit"/>
    <x v="1"/>
    <n v="0.01"/>
    <s v="Credit Card"/>
    <s v="Online"/>
    <s v="North-Bob"/>
  </r>
  <r>
    <n v="1069"/>
    <x v="162"/>
    <x v="3"/>
    <x v="2"/>
    <n v="6"/>
    <x v="0"/>
    <n v="1"/>
    <n v="1768.6"/>
    <n v="2152.1999999999998"/>
    <n v="1614.1499999999999"/>
    <n v="9684.9"/>
    <n v="10611.599999999999"/>
    <n v="-926.69999999999891"/>
    <n v="-9.5685035467583446E-2"/>
    <s v="Loss"/>
    <x v="1"/>
    <n v="0.25"/>
    <s v="Bank Transfer"/>
    <s v="Retail"/>
    <s v="East-Alice"/>
  </r>
  <r>
    <n v="1069"/>
    <x v="184"/>
    <x v="0"/>
    <x v="0"/>
    <n v="46"/>
    <x v="0"/>
    <n v="1"/>
    <n v="3663.51"/>
    <n v="4007.98"/>
    <n v="3486.9425999999999"/>
    <n v="160399.3596"/>
    <n v="168521.46000000002"/>
    <n v="-8122.1004000000248"/>
    <n v="-5.0636738327726E-2"/>
    <s v="Loss"/>
    <x v="1"/>
    <n v="0.13"/>
    <s v="Cash"/>
    <s v="Online"/>
    <s v="West-Bob"/>
  </r>
  <r>
    <n v="1069"/>
    <x v="76"/>
    <x v="2"/>
    <x v="1"/>
    <n v="12"/>
    <x v="1"/>
    <n v="1"/>
    <n v="4682.34"/>
    <n v="5036.3999999999996"/>
    <n v="4029.12"/>
    <n v="48349.440000000002"/>
    <n v="56188.08"/>
    <n v="-7838.6399999999994"/>
    <n v="-0.16212473195139385"/>
    <s v="Loss"/>
    <x v="1"/>
    <n v="0.2"/>
    <s v="Bank Transfer"/>
    <s v="Retail"/>
    <s v="North-Eve"/>
  </r>
  <r>
    <n v="1069"/>
    <x v="309"/>
    <x v="0"/>
    <x v="2"/>
    <n v="29"/>
    <x v="1"/>
    <n v="1"/>
    <n v="2462.66"/>
    <n v="2908.09"/>
    <n v="2559.1192000000001"/>
    <n v="74214.4568"/>
    <n v="71417.14"/>
    <n v="2797.3168000000005"/>
    <n v="3.7692343521943027E-2"/>
    <s v="Profit"/>
    <x v="1"/>
    <n v="0.12"/>
    <s v="Credit Card"/>
    <s v="Online"/>
    <s v="East-Bob"/>
  </r>
  <r>
    <n v="1069"/>
    <x v="87"/>
    <x v="1"/>
    <x v="2"/>
    <n v="47"/>
    <x v="3"/>
    <n v="1"/>
    <n v="4171.83"/>
    <n v="4320.93"/>
    <n v="4018.4648999999999"/>
    <n v="188867.85030000002"/>
    <n v="196076.01"/>
    <n v="-7208.1596999999892"/>
    <n v="-3.816509632820228E-2"/>
    <s v="Loss"/>
    <x v="1"/>
    <n v="7.0000000000000007E-2"/>
    <s v="Cash"/>
    <s v="Online"/>
    <s v="East-David"/>
  </r>
  <r>
    <n v="1069"/>
    <x v="15"/>
    <x v="4"/>
    <x v="0"/>
    <n v="44"/>
    <x v="3"/>
    <n v="1"/>
    <n v="1084.73"/>
    <n v="1420.9"/>
    <n v="1349.855"/>
    <n v="59393.62"/>
    <n v="47728.12"/>
    <n v="11665.5"/>
    <n v="0.1964099847761426"/>
    <s v="Profit"/>
    <x v="0"/>
    <n v="0.05"/>
    <s v="Credit Card"/>
    <s v="Online"/>
    <s v="West-Charlie"/>
  </r>
  <r>
    <n v="1069"/>
    <x v="277"/>
    <x v="3"/>
    <x v="1"/>
    <n v="30"/>
    <x v="3"/>
    <n v="1"/>
    <n v="300.01"/>
    <n v="477.68"/>
    <n v="425.1352"/>
    <n v="12754.056"/>
    <n v="9000.2999999999993"/>
    <n v="3753.7560000000012"/>
    <n v="0.29431860735126153"/>
    <s v="Profit"/>
    <x v="1"/>
    <n v="0.11"/>
    <s v="Bank Transfer"/>
    <s v="Retail"/>
    <s v="North-Alice"/>
  </r>
  <r>
    <n v="1070"/>
    <x v="70"/>
    <x v="2"/>
    <x v="3"/>
    <n v="12"/>
    <x v="1"/>
    <n v="1"/>
    <n v="664.33"/>
    <n v="863.03"/>
    <n v="647.27250000000004"/>
    <n v="7767.27"/>
    <n v="7971.9600000000009"/>
    <n v="-204.69000000000051"/>
    <n v="-2.6352888466604159E-2"/>
    <s v="Loss"/>
    <x v="0"/>
    <n v="0.25"/>
    <s v="Bank Transfer"/>
    <s v="Retail"/>
    <s v="South-Eve"/>
  </r>
  <r>
    <n v="1070"/>
    <x v="81"/>
    <x v="0"/>
    <x v="3"/>
    <n v="15"/>
    <x v="3"/>
    <n v="1"/>
    <n v="3653.66"/>
    <n v="3896.19"/>
    <n v="3779.3042999999998"/>
    <n v="56689.5645"/>
    <n v="54804.899999999994"/>
    <n v="1884.6645000000062"/>
    <n v="3.3245351532026783E-2"/>
    <s v="Profit"/>
    <x v="1"/>
    <n v="0.03"/>
    <s v="Credit Card"/>
    <s v="Retail"/>
    <s v="South-Bob"/>
  </r>
  <r>
    <n v="1070"/>
    <x v="7"/>
    <x v="0"/>
    <x v="3"/>
    <n v="9"/>
    <x v="3"/>
    <n v="1"/>
    <n v="310.24"/>
    <n v="451.81"/>
    <n v="406.62900000000002"/>
    <n v="3659.6610000000001"/>
    <n v="2792.16"/>
    <n v="867.5010000000002"/>
    <n v="0.23704408687034131"/>
    <s v="Profit"/>
    <x v="0"/>
    <n v="0.1"/>
    <s v="Cash"/>
    <s v="Retail"/>
    <s v="South-Bob"/>
  </r>
  <r>
    <n v="1070"/>
    <x v="310"/>
    <x v="3"/>
    <x v="0"/>
    <n v="8"/>
    <x v="2"/>
    <n v="1"/>
    <n v="3762.27"/>
    <n v="4166.95"/>
    <n v="3500.2379999999998"/>
    <n v="28001.903999999999"/>
    <n v="30098.16"/>
    <n v="-2096.2560000000012"/>
    <n v="-7.4861195153015356E-2"/>
    <s v="Loss"/>
    <x v="0"/>
    <n v="0.16"/>
    <s v="Bank Transfer"/>
    <s v="Online"/>
    <s v="West-Alice"/>
  </r>
  <r>
    <n v="1070"/>
    <x v="311"/>
    <x v="4"/>
    <x v="3"/>
    <n v="33"/>
    <x v="0"/>
    <n v="1"/>
    <n v="866.42"/>
    <n v="878.43"/>
    <n v="799.37130000000002"/>
    <n v="26379.252899999999"/>
    <n v="28591.859999999997"/>
    <n v="-2212.6070999999974"/>
    <n v="-8.3876791673656442E-2"/>
    <s v="Loss"/>
    <x v="1"/>
    <n v="0.09"/>
    <s v="Cash"/>
    <s v="Retail"/>
    <s v="South-Charlie"/>
  </r>
  <r>
    <n v="1070"/>
    <x v="208"/>
    <x v="1"/>
    <x v="1"/>
    <n v="40"/>
    <x v="1"/>
    <n v="1"/>
    <n v="3089.96"/>
    <n v="3258.45"/>
    <n v="2313.4994999999999"/>
    <n v="92539.98"/>
    <n v="123598.39999999999"/>
    <n v="-31058.42"/>
    <n v="-0.33562164158669583"/>
    <s v="Loss"/>
    <x v="1"/>
    <n v="0.28999999999999998"/>
    <s v="Cash"/>
    <s v="Online"/>
    <s v="North-David"/>
  </r>
  <r>
    <n v="1070"/>
    <x v="277"/>
    <x v="4"/>
    <x v="3"/>
    <n v="14"/>
    <x v="1"/>
    <n v="1"/>
    <n v="3796.79"/>
    <n v="3947.5"/>
    <n v="3000.1"/>
    <n v="42001.4"/>
    <n v="53155.06"/>
    <n v="-11153.659999999996"/>
    <n v="-0.26555448151728267"/>
    <s v="Loss"/>
    <x v="0"/>
    <n v="0.24"/>
    <s v="Bank Transfer"/>
    <s v="Online"/>
    <s v="South-Charlie"/>
  </r>
  <r>
    <n v="1071"/>
    <x v="57"/>
    <x v="1"/>
    <x v="1"/>
    <n v="47"/>
    <x v="0"/>
    <n v="1"/>
    <n v="3942.34"/>
    <n v="4142.09"/>
    <n v="4017.8272999999999"/>
    <n v="188837.88310000001"/>
    <n v="185289.98"/>
    <n v="3547.9030999999959"/>
    <n v="1.8788089771802761E-2"/>
    <s v="Profit"/>
    <x v="0"/>
    <n v="0.03"/>
    <s v="Credit Card"/>
    <s v="Retail"/>
    <s v="North-David"/>
  </r>
  <r>
    <n v="1071"/>
    <x v="97"/>
    <x v="2"/>
    <x v="0"/>
    <n v="6"/>
    <x v="1"/>
    <n v="1"/>
    <n v="2831.23"/>
    <n v="3206.98"/>
    <n v="3014.5611999999996"/>
    <n v="18087.367200000001"/>
    <n v="16987.38"/>
    <n v="1099.9871999999996"/>
    <n v="6.0815219143668379E-2"/>
    <s v="Profit"/>
    <x v="0"/>
    <n v="0.06"/>
    <s v="Bank Transfer"/>
    <s v="Retail"/>
    <s v="West-Eve"/>
  </r>
  <r>
    <n v="1071"/>
    <x v="31"/>
    <x v="3"/>
    <x v="0"/>
    <n v="12"/>
    <x v="0"/>
    <n v="1"/>
    <n v="4317.95"/>
    <n v="4636.59"/>
    <n v="3802.0038000000004"/>
    <n v="45624.045600000005"/>
    <n v="51815.399999999994"/>
    <n v="-6191.3543999999893"/>
    <n v="-0.13570375705568707"/>
    <s v="Loss"/>
    <x v="1"/>
    <n v="0.18"/>
    <s v="Credit Card"/>
    <s v="Retail"/>
    <s v="West-Alice"/>
  </r>
  <r>
    <n v="1071"/>
    <x v="131"/>
    <x v="1"/>
    <x v="1"/>
    <n v="35"/>
    <x v="2"/>
    <n v="1"/>
    <n v="295.82"/>
    <n v="684.67"/>
    <n v="664.12989999999991"/>
    <n v="23244.546499999997"/>
    <n v="10353.699999999999"/>
    <n v="12890.846499999998"/>
    <n v="0.55457509140907524"/>
    <s v="Profit"/>
    <x v="1"/>
    <n v="0.03"/>
    <s v="Credit Card"/>
    <s v="Online"/>
    <s v="North-David"/>
  </r>
  <r>
    <n v="1071"/>
    <x v="279"/>
    <x v="1"/>
    <x v="2"/>
    <n v="40"/>
    <x v="0"/>
    <n v="1"/>
    <n v="1447.72"/>
    <n v="1875.75"/>
    <n v="1631.9024999999999"/>
    <n v="65276.1"/>
    <n v="57908.800000000003"/>
    <n v="7367.2999999999956"/>
    <n v="0.1128636667938188"/>
    <s v="Profit"/>
    <x v="1"/>
    <n v="0.13"/>
    <s v="Cash"/>
    <s v="Retail"/>
    <s v="East-David"/>
  </r>
  <r>
    <n v="1071"/>
    <x v="203"/>
    <x v="3"/>
    <x v="0"/>
    <n v="22"/>
    <x v="3"/>
    <n v="1"/>
    <n v="2701.39"/>
    <n v="3185.81"/>
    <n v="3153.9519"/>
    <n v="69386.941799999986"/>
    <n v="59430.579999999994"/>
    <n v="9956.3617999999915"/>
    <n v="0.14349042545639321"/>
    <s v="Profit"/>
    <x v="1"/>
    <n v="0.01"/>
    <s v="Bank Transfer"/>
    <s v="Online"/>
    <s v="West-Alice"/>
  </r>
  <r>
    <n v="1072"/>
    <x v="300"/>
    <x v="1"/>
    <x v="0"/>
    <n v="39"/>
    <x v="2"/>
    <n v="1"/>
    <n v="591.98"/>
    <n v="934.04"/>
    <n v="691.18959999999993"/>
    <n v="26956.394399999997"/>
    <n v="23087.22"/>
    <n v="3869.1743999999962"/>
    <n v="0.14353456707103218"/>
    <s v="Profit"/>
    <x v="1"/>
    <n v="0.26"/>
    <s v="Bank Transfer"/>
    <s v="Retail"/>
    <s v="West-David"/>
  </r>
  <r>
    <n v="1072"/>
    <x v="133"/>
    <x v="0"/>
    <x v="2"/>
    <n v="26"/>
    <x v="0"/>
    <n v="1"/>
    <n v="3640.17"/>
    <n v="4002.63"/>
    <n v="3802.4985000000001"/>
    <n v="98864.960999999996"/>
    <n v="94644.42"/>
    <n v="4220.5409999999974"/>
    <n v="4.2689957668622332E-2"/>
    <s v="Profit"/>
    <x v="1"/>
    <n v="0.05"/>
    <s v="Credit Card"/>
    <s v="Retail"/>
    <s v="East-Bob"/>
  </r>
  <r>
    <n v="1072"/>
    <x v="38"/>
    <x v="1"/>
    <x v="1"/>
    <n v="35"/>
    <x v="3"/>
    <n v="1"/>
    <n v="4349.3599999999997"/>
    <n v="4645.17"/>
    <n v="3809.0394000000006"/>
    <n v="133316.37900000002"/>
    <n v="152227.59999999998"/>
    <n v="-18911.220999999961"/>
    <n v="-0.14185219507049437"/>
    <s v="Loss"/>
    <x v="0"/>
    <n v="0.18"/>
    <s v="Credit Card"/>
    <s v="Retail"/>
    <s v="North-David"/>
  </r>
  <r>
    <n v="1072"/>
    <x v="261"/>
    <x v="3"/>
    <x v="0"/>
    <n v="12"/>
    <x v="2"/>
    <n v="1"/>
    <n v="710.99"/>
    <n v="876.46"/>
    <n v="850.1662"/>
    <n v="10201.9944"/>
    <n v="8531.880000000001"/>
    <n v="1670.1143999999986"/>
    <n v="0.16370469679928451"/>
    <s v="Profit"/>
    <x v="0"/>
    <n v="0.03"/>
    <s v="Credit Card"/>
    <s v="Online"/>
    <s v="West-Alice"/>
  </r>
  <r>
    <n v="1072"/>
    <x v="312"/>
    <x v="0"/>
    <x v="3"/>
    <n v="39"/>
    <x v="2"/>
    <n v="1"/>
    <n v="4330.03"/>
    <n v="4467.75"/>
    <n v="4378.3949999999995"/>
    <n v="170757.405"/>
    <n v="168871.16999999998"/>
    <n v="1886.2350000000151"/>
    <n v="1.1046285225522227E-2"/>
    <s v="Profit"/>
    <x v="1"/>
    <n v="0.02"/>
    <s v="Credit Card"/>
    <s v="Retail"/>
    <s v="South-Bob"/>
  </r>
  <r>
    <n v="1072"/>
    <x v="31"/>
    <x v="3"/>
    <x v="2"/>
    <n v="25"/>
    <x v="2"/>
    <n v="1"/>
    <n v="481.19"/>
    <n v="693.4"/>
    <n v="506.18199999999996"/>
    <n v="12654.55"/>
    <n v="12029.75"/>
    <n v="624.79999999999927"/>
    <n v="4.9373545483640216E-2"/>
    <s v="Profit"/>
    <x v="1"/>
    <n v="0.27"/>
    <s v="Credit Card"/>
    <s v="Retail"/>
    <s v="East-Alice"/>
  </r>
  <r>
    <n v="1072"/>
    <x v="180"/>
    <x v="4"/>
    <x v="3"/>
    <n v="12"/>
    <x v="0"/>
    <n v="1"/>
    <n v="1517.4"/>
    <n v="1545.02"/>
    <n v="1498.6694"/>
    <n v="17984.032799999997"/>
    <n v="18208.800000000003"/>
    <n v="-224.76720000000569"/>
    <n v="-1.2498153361909223E-2"/>
    <s v="Loss"/>
    <x v="1"/>
    <n v="0.03"/>
    <s v="Bank Transfer"/>
    <s v="Retail"/>
    <s v="South-Charlie"/>
  </r>
  <r>
    <n v="1072"/>
    <x v="181"/>
    <x v="4"/>
    <x v="1"/>
    <n v="23"/>
    <x v="1"/>
    <n v="1"/>
    <n v="1662.83"/>
    <n v="2074.25"/>
    <n v="1825.34"/>
    <n v="41982.82"/>
    <n v="38245.089999999997"/>
    <n v="3737.7300000000032"/>
    <n v="8.9029988933568616E-2"/>
    <s v="Profit"/>
    <x v="1"/>
    <n v="0.12"/>
    <s v="Bank Transfer"/>
    <s v="Online"/>
    <s v="North-Charlie"/>
  </r>
  <r>
    <n v="1073"/>
    <x v="275"/>
    <x v="1"/>
    <x v="0"/>
    <n v="40"/>
    <x v="1"/>
    <n v="1"/>
    <n v="2565.3000000000002"/>
    <n v="3007.47"/>
    <n v="2496.2000999999996"/>
    <n v="99848.003999999986"/>
    <n v="102612"/>
    <n v="-2763.9960000000137"/>
    <n v="-2.768203558681067E-2"/>
    <s v="Loss"/>
    <x v="0"/>
    <n v="0.17"/>
    <s v="Credit Card"/>
    <s v="Retail"/>
    <s v="West-David"/>
  </r>
  <r>
    <n v="1073"/>
    <x v="313"/>
    <x v="3"/>
    <x v="1"/>
    <n v="31"/>
    <x v="0"/>
    <n v="1"/>
    <n v="4368.97"/>
    <n v="4696.8500000000004"/>
    <n v="3522.6375000000003"/>
    <n v="109201.76250000001"/>
    <n v="135438.07"/>
    <n v="-26236.307499999995"/>
    <n v="-0.24025534844275057"/>
    <s v="Loss"/>
    <x v="0"/>
    <n v="0.25"/>
    <s v="Bank Transfer"/>
    <s v="Retail"/>
    <s v="North-Alice"/>
  </r>
  <r>
    <n v="1073"/>
    <x v="278"/>
    <x v="1"/>
    <x v="1"/>
    <n v="29"/>
    <x v="2"/>
    <n v="1"/>
    <n v="2152.6799999999998"/>
    <n v="2475.9299999999998"/>
    <n v="1931.2254"/>
    <n v="56005.536599999999"/>
    <n v="62427.719999999994"/>
    <n v="-6422.1833999999944"/>
    <n v="-0.11467050920104914"/>
    <s v="Loss"/>
    <x v="0"/>
    <n v="0.22"/>
    <s v="Bank Transfer"/>
    <s v="Online"/>
    <s v="North-David"/>
  </r>
  <r>
    <n v="1073"/>
    <x v="123"/>
    <x v="1"/>
    <x v="3"/>
    <n v="48"/>
    <x v="2"/>
    <n v="1"/>
    <n v="2658.9"/>
    <n v="2838.27"/>
    <n v="2128.7024999999999"/>
    <n v="102177.72"/>
    <n v="127627.20000000001"/>
    <n v="-25449.48000000001"/>
    <n v="-0.24907073675161287"/>
    <s v="Loss"/>
    <x v="1"/>
    <n v="0.25"/>
    <s v="Credit Card"/>
    <s v="Online"/>
    <s v="South-David"/>
  </r>
  <r>
    <n v="1073"/>
    <x v="116"/>
    <x v="2"/>
    <x v="0"/>
    <n v="40"/>
    <x v="0"/>
    <n v="1"/>
    <n v="157.15"/>
    <n v="436.53"/>
    <n v="419.06879999999995"/>
    <n v="16762.751999999997"/>
    <n v="6286"/>
    <n v="10476.751999999997"/>
    <n v="0.62500190899441799"/>
    <s v="Profit"/>
    <x v="1"/>
    <n v="0.04"/>
    <s v="Cash"/>
    <s v="Retail"/>
    <s v="West-Eve"/>
  </r>
  <r>
    <n v="1073"/>
    <x v="107"/>
    <x v="3"/>
    <x v="0"/>
    <n v="45"/>
    <x v="1"/>
    <n v="1"/>
    <n v="2558.09"/>
    <n v="2958.55"/>
    <n v="2721.8660000000004"/>
    <n v="122483.97"/>
    <n v="115114.05"/>
    <n v="7369.9199999999983"/>
    <n v="6.017048598277798E-2"/>
    <s v="Profit"/>
    <x v="1"/>
    <n v="0.08"/>
    <s v="Cash"/>
    <s v="Online"/>
    <s v="West-Alice"/>
  </r>
  <r>
    <n v="1073"/>
    <x v="172"/>
    <x v="4"/>
    <x v="3"/>
    <n v="45"/>
    <x v="2"/>
    <n v="1"/>
    <n v="4369.5"/>
    <n v="4381.8900000000003"/>
    <n v="4294.2521999999999"/>
    <n v="193241.34900000002"/>
    <n v="196627.5"/>
    <n v="-3386.1509999999835"/>
    <n v="-1.7522911206752045E-2"/>
    <s v="Loss"/>
    <x v="0"/>
    <n v="0.02"/>
    <s v="Credit Card"/>
    <s v="Retail"/>
    <s v="South-Charlie"/>
  </r>
  <r>
    <n v="1074"/>
    <x v="16"/>
    <x v="2"/>
    <x v="3"/>
    <n v="38"/>
    <x v="1"/>
    <n v="1"/>
    <n v="1394.74"/>
    <n v="1848.69"/>
    <n v="1848.69"/>
    <n v="70250.22"/>
    <n v="53000.12"/>
    <n v="17250.099999999999"/>
    <n v="0.24555225592176078"/>
    <s v="Profit"/>
    <x v="0"/>
    <n v="0"/>
    <s v="Bank Transfer"/>
    <s v="Retail"/>
    <s v="South-Eve"/>
  </r>
  <r>
    <n v="1074"/>
    <x v="145"/>
    <x v="0"/>
    <x v="2"/>
    <n v="2"/>
    <x v="0"/>
    <n v="1"/>
    <n v="2868.02"/>
    <n v="2994.74"/>
    <n v="2455.6867999999999"/>
    <n v="4911.3735999999999"/>
    <n v="5736.04"/>
    <n v="-824.66640000000007"/>
    <n v="-0.16790952331543257"/>
    <s v="Loss"/>
    <x v="0"/>
    <n v="0.18"/>
    <s v="Bank Transfer"/>
    <s v="Online"/>
    <s v="East-Bob"/>
  </r>
  <r>
    <n v="1074"/>
    <x v="10"/>
    <x v="1"/>
    <x v="3"/>
    <n v="29"/>
    <x v="1"/>
    <n v="1"/>
    <n v="173.67"/>
    <n v="565.62"/>
    <n v="395.93399999999997"/>
    <n v="11482.085999999999"/>
    <n v="5036.4299999999994"/>
    <n v="6445.6559999999999"/>
    <n v="0.56136628832078073"/>
    <s v="Profit"/>
    <x v="0"/>
    <n v="0.3"/>
    <s v="Cash"/>
    <s v="Online"/>
    <s v="South-David"/>
  </r>
  <r>
    <n v="1074"/>
    <x v="183"/>
    <x v="3"/>
    <x v="3"/>
    <n v="31"/>
    <x v="1"/>
    <n v="1"/>
    <n v="1138.32"/>
    <n v="1266.25"/>
    <n v="1088.9749999999999"/>
    <n v="33758.224999999999"/>
    <n v="35287.919999999998"/>
    <n v="-1529.6949999999997"/>
    <n v="-4.5313253288642982E-2"/>
    <s v="Loss"/>
    <x v="0"/>
    <n v="0.14000000000000001"/>
    <s v="Cash"/>
    <s v="Retail"/>
    <s v="South-Alice"/>
  </r>
  <r>
    <n v="1074"/>
    <x v="183"/>
    <x v="0"/>
    <x v="0"/>
    <n v="1"/>
    <x v="1"/>
    <n v="1"/>
    <n v="1304.23"/>
    <n v="1705.71"/>
    <n v="1688.6529"/>
    <n v="1688.6529"/>
    <n v="1304.23"/>
    <n v="384.42290000000003"/>
    <n v="0.22765063205114563"/>
    <s v="Profit"/>
    <x v="0"/>
    <n v="0.01"/>
    <s v="Cash"/>
    <s v="Retail"/>
    <s v="West-Bob"/>
  </r>
  <r>
    <n v="1074"/>
    <x v="213"/>
    <x v="1"/>
    <x v="0"/>
    <n v="29"/>
    <x v="1"/>
    <n v="1"/>
    <n v="1723.01"/>
    <n v="2197.42"/>
    <n v="2043.6006"/>
    <n v="59264.417399999998"/>
    <n v="49967.29"/>
    <n v="9297.1273999999976"/>
    <n v="0.15687536987413289"/>
    <s v="Profit"/>
    <x v="1"/>
    <n v="7.0000000000000007E-2"/>
    <s v="Bank Transfer"/>
    <s v="Retail"/>
    <s v="West-David"/>
  </r>
  <r>
    <n v="1074"/>
    <x v="286"/>
    <x v="0"/>
    <x v="1"/>
    <n v="19"/>
    <x v="1"/>
    <n v="1"/>
    <n v="278.67"/>
    <n v="423.13"/>
    <n v="321.5788"/>
    <n v="6109.9972000000007"/>
    <n v="5294.7300000000005"/>
    <n v="815.26720000000023"/>
    <n v="0.1334316814416871"/>
    <s v="Profit"/>
    <x v="1"/>
    <n v="0.24"/>
    <s v="Credit Card"/>
    <s v="Online"/>
    <s v="North-Bob"/>
  </r>
  <r>
    <n v="1074"/>
    <x v="51"/>
    <x v="2"/>
    <x v="0"/>
    <n v="38"/>
    <x v="0"/>
    <n v="1"/>
    <n v="2610.6"/>
    <n v="2836.94"/>
    <n v="2297.9214000000002"/>
    <n v="87321.013200000001"/>
    <n v="99202.8"/>
    <n v="-11881.786800000002"/>
    <n v="-0.13607018934590193"/>
    <s v="Loss"/>
    <x v="0"/>
    <n v="0.19"/>
    <s v="Credit Card"/>
    <s v="Online"/>
    <s v="West-Eve"/>
  </r>
  <r>
    <n v="1074"/>
    <x v="314"/>
    <x v="2"/>
    <x v="1"/>
    <n v="42"/>
    <x v="1"/>
    <n v="1"/>
    <n v="2120.81"/>
    <n v="2611.94"/>
    <n v="2011.1938"/>
    <n v="84470.139599999995"/>
    <n v="89074.02"/>
    <n v="-4603.8804000000091"/>
    <n v="-5.4503051868994533E-2"/>
    <s v="Loss"/>
    <x v="0"/>
    <n v="0.23"/>
    <s v="Cash"/>
    <s v="Online"/>
    <s v="North-Eve"/>
  </r>
  <r>
    <n v="1074"/>
    <x v="15"/>
    <x v="2"/>
    <x v="0"/>
    <n v="2"/>
    <x v="0"/>
    <n v="1"/>
    <n v="3173.69"/>
    <n v="3503.11"/>
    <n v="2802.4880000000003"/>
    <n v="5604.9760000000006"/>
    <n v="6347.38"/>
    <n v="-742.40399999999954"/>
    <n v="-0.13245444761940095"/>
    <s v="Loss"/>
    <x v="1"/>
    <n v="0.2"/>
    <s v="Bank Transfer"/>
    <s v="Retail"/>
    <s v="West-Eve"/>
  </r>
  <r>
    <n v="1075"/>
    <x v="298"/>
    <x v="1"/>
    <x v="0"/>
    <n v="26"/>
    <x v="3"/>
    <n v="1"/>
    <n v="4535.38"/>
    <n v="4557.5600000000004"/>
    <n v="4557.5600000000004"/>
    <n v="118496.56000000001"/>
    <n v="117919.88"/>
    <n v="576.68000000000757"/>
    <n v="4.8666391665716496E-3"/>
    <s v="Profit"/>
    <x v="1"/>
    <n v="0"/>
    <s v="Credit Card"/>
    <s v="Online"/>
    <s v="West-David"/>
  </r>
  <r>
    <n v="1075"/>
    <x v="300"/>
    <x v="0"/>
    <x v="2"/>
    <n v="37"/>
    <x v="0"/>
    <n v="1"/>
    <n v="1675.51"/>
    <n v="1906.64"/>
    <n v="1658.7768000000001"/>
    <n v="61374.741600000008"/>
    <n v="61993.87"/>
    <n v="-619.12839999999414"/>
    <n v="-1.0087674242851624E-2"/>
    <s v="Loss"/>
    <x v="1"/>
    <n v="0.13"/>
    <s v="Bank Transfer"/>
    <s v="Online"/>
    <s v="East-Bob"/>
  </r>
  <r>
    <n v="1075"/>
    <x v="267"/>
    <x v="4"/>
    <x v="0"/>
    <n v="18"/>
    <x v="2"/>
    <n v="1"/>
    <n v="2228.35"/>
    <n v="2682.34"/>
    <n v="2333.6358"/>
    <n v="42005.4444"/>
    <n v="40110.299999999996"/>
    <n v="1895.1444000000047"/>
    <n v="4.5116637309043792E-2"/>
    <s v="Profit"/>
    <x v="1"/>
    <n v="0.13"/>
    <s v="Bank Transfer"/>
    <s v="Online"/>
    <s v="West-Charlie"/>
  </r>
  <r>
    <n v="1075"/>
    <x v="135"/>
    <x v="4"/>
    <x v="1"/>
    <n v="17"/>
    <x v="3"/>
    <n v="1"/>
    <n v="4966.66"/>
    <n v="5037.2700000000004"/>
    <n v="3828.3252000000002"/>
    <n v="65081.52840000001"/>
    <n v="84433.22"/>
    <n v="-19351.691599999991"/>
    <n v="-0.29734537703327796"/>
    <s v="Loss"/>
    <x v="0"/>
    <n v="0.24"/>
    <s v="Bank Transfer"/>
    <s v="Retail"/>
    <s v="North-Charlie"/>
  </r>
  <r>
    <n v="1075"/>
    <x v="145"/>
    <x v="1"/>
    <x v="2"/>
    <n v="14"/>
    <x v="1"/>
    <n v="1"/>
    <n v="1612.93"/>
    <n v="1964.15"/>
    <n v="1492.7540000000001"/>
    <n v="20898.556"/>
    <n v="22581.02"/>
    <n v="-1682.4639999999999"/>
    <n v="-8.0506232105222952E-2"/>
    <s v="Loss"/>
    <x v="0"/>
    <n v="0.24"/>
    <s v="Bank Transfer"/>
    <s v="Retail"/>
    <s v="East-David"/>
  </r>
  <r>
    <n v="1075"/>
    <x v="230"/>
    <x v="0"/>
    <x v="2"/>
    <n v="36"/>
    <x v="2"/>
    <n v="1"/>
    <n v="4337.6099999999997"/>
    <n v="4386.82"/>
    <n v="3377.8514"/>
    <n v="121602.6504"/>
    <n v="156153.96"/>
    <n v="-34551.309599999993"/>
    <n v="-0.28413286623561945"/>
    <s v="Loss"/>
    <x v="0"/>
    <n v="0.23"/>
    <s v="Credit Card"/>
    <s v="Online"/>
    <s v="East-Bob"/>
  </r>
  <r>
    <n v="1075"/>
    <x v="38"/>
    <x v="2"/>
    <x v="1"/>
    <n v="26"/>
    <x v="1"/>
    <n v="1"/>
    <n v="1749.34"/>
    <n v="1935.25"/>
    <n v="1664.3150000000001"/>
    <n v="43272.19"/>
    <n v="45482.84"/>
    <n v="-2210.6499999999942"/>
    <n v="-5.108708387534798E-2"/>
    <s v="Loss"/>
    <x v="1"/>
    <n v="0.14000000000000001"/>
    <s v="Credit Card"/>
    <s v="Online"/>
    <s v="North-Eve"/>
  </r>
  <r>
    <n v="1075"/>
    <x v="213"/>
    <x v="4"/>
    <x v="1"/>
    <n v="28"/>
    <x v="2"/>
    <n v="1"/>
    <n v="2570.2199999999998"/>
    <n v="2610.84"/>
    <n v="1905.9132"/>
    <n v="53365.569600000003"/>
    <n v="71966.159999999989"/>
    <n v="-18600.590399999986"/>
    <n v="-0.34855039568433627"/>
    <s v="Loss"/>
    <x v="0"/>
    <n v="0.27"/>
    <s v="Bank Transfer"/>
    <s v="Retail"/>
    <s v="North-Charlie"/>
  </r>
  <r>
    <n v="1075"/>
    <x v="312"/>
    <x v="4"/>
    <x v="0"/>
    <n v="42"/>
    <x v="2"/>
    <n v="1"/>
    <n v="967.77"/>
    <n v="1414.88"/>
    <n v="1174.3504"/>
    <n v="49322.716800000002"/>
    <n v="40646.339999999997"/>
    <n v="8676.3768000000055"/>
    <n v="0.17591035861187609"/>
    <s v="Profit"/>
    <x v="1"/>
    <n v="0.17"/>
    <s v="Bank Transfer"/>
    <s v="Online"/>
    <s v="West-Charlie"/>
  </r>
  <r>
    <n v="1075"/>
    <x v="233"/>
    <x v="1"/>
    <x v="0"/>
    <n v="44"/>
    <x v="1"/>
    <n v="1"/>
    <n v="3519.29"/>
    <n v="3822.98"/>
    <n v="2790.7754"/>
    <n v="122794.1176"/>
    <n v="154848.76"/>
    <n v="-32054.642400000012"/>
    <n v="-0.26104379449525039"/>
    <s v="Loss"/>
    <x v="0"/>
    <n v="0.27"/>
    <s v="Bank Transfer"/>
    <s v="Online"/>
    <s v="West-David"/>
  </r>
  <r>
    <n v="1075"/>
    <x v="315"/>
    <x v="1"/>
    <x v="3"/>
    <n v="37"/>
    <x v="3"/>
    <n v="1"/>
    <n v="4399.8"/>
    <n v="4801.0600000000004"/>
    <n v="4176.9222"/>
    <n v="154546.1214"/>
    <n v="162792.6"/>
    <n v="-8246.4786000000022"/>
    <n v="-5.335933716936362E-2"/>
    <s v="Loss"/>
    <x v="1"/>
    <n v="0.13"/>
    <s v="Bank Transfer"/>
    <s v="Retail"/>
    <s v="South-David"/>
  </r>
  <r>
    <n v="1075"/>
    <x v="304"/>
    <x v="1"/>
    <x v="3"/>
    <n v="30"/>
    <x v="1"/>
    <n v="1"/>
    <n v="738.06"/>
    <n v="1095.45"/>
    <n v="1040.6775"/>
    <n v="31220.324999999997"/>
    <n v="22141.8"/>
    <n v="9078.5249999999978"/>
    <n v="0.29078893317093907"/>
    <s v="Profit"/>
    <x v="1"/>
    <n v="0.05"/>
    <s v="Bank Transfer"/>
    <s v="Online"/>
    <s v="South-David"/>
  </r>
  <r>
    <n v="1076"/>
    <x v="316"/>
    <x v="2"/>
    <x v="1"/>
    <n v="17"/>
    <x v="2"/>
    <n v="1"/>
    <n v="604.08000000000004"/>
    <n v="624.71"/>
    <n v="537.25060000000008"/>
    <n v="9133.2601999999988"/>
    <n v="10269.36"/>
    <n v="-1136.0998000000018"/>
    <n v="-0.12439148509094287"/>
    <s v="Loss"/>
    <x v="1"/>
    <n v="0.14000000000000001"/>
    <s v="Bank Transfer"/>
    <s v="Retail"/>
    <s v="North-Eve"/>
  </r>
  <r>
    <n v="1076"/>
    <x v="18"/>
    <x v="4"/>
    <x v="3"/>
    <n v="23"/>
    <x v="0"/>
    <n v="1"/>
    <n v="1727.78"/>
    <n v="1984.34"/>
    <n v="1508.0983999999999"/>
    <n v="34686.263200000001"/>
    <n v="39738.94"/>
    <n v="-5052.6768000000011"/>
    <n v="-0.14566794845747469"/>
    <s v="Loss"/>
    <x v="0"/>
    <n v="0.24"/>
    <s v="Bank Transfer"/>
    <s v="Online"/>
    <s v="South-Charlie"/>
  </r>
  <r>
    <n v="1076"/>
    <x v="95"/>
    <x v="0"/>
    <x v="0"/>
    <n v="32"/>
    <x v="0"/>
    <n v="1"/>
    <n v="2636.36"/>
    <n v="2696.78"/>
    <n v="2454.0698000000002"/>
    <n v="78530.233600000007"/>
    <n v="84363.520000000004"/>
    <n v="-5833.2863999999972"/>
    <n v="-7.4280772290991851E-2"/>
    <s v="Loss"/>
    <x v="1"/>
    <n v="0.09"/>
    <s v="Cash"/>
    <s v="Retail"/>
    <s v="West-Bob"/>
  </r>
  <r>
    <n v="1076"/>
    <x v="286"/>
    <x v="2"/>
    <x v="2"/>
    <n v="30"/>
    <x v="2"/>
    <n v="1"/>
    <n v="3519.63"/>
    <n v="3774.65"/>
    <n v="3019.7200000000003"/>
    <n v="90591.6"/>
    <n v="105588.90000000001"/>
    <n v="-14997.300000000003"/>
    <n v="-0.16554846144675667"/>
    <s v="Loss"/>
    <x v="1"/>
    <n v="0.2"/>
    <s v="Credit Card"/>
    <s v="Retail"/>
    <s v="East-Eve"/>
  </r>
  <r>
    <n v="1076"/>
    <x v="82"/>
    <x v="4"/>
    <x v="3"/>
    <n v="16"/>
    <x v="2"/>
    <n v="1"/>
    <n v="1964.15"/>
    <n v="2211.17"/>
    <n v="1746.8243000000002"/>
    <n v="27949.188800000004"/>
    <n v="31426.400000000001"/>
    <n v="-3477.2111999999979"/>
    <n v="-0.1244118827520317"/>
    <s v="Loss"/>
    <x v="0"/>
    <n v="0.21"/>
    <s v="Bank Transfer"/>
    <s v="Online"/>
    <s v="South-Charlie"/>
  </r>
  <r>
    <n v="1076"/>
    <x v="124"/>
    <x v="0"/>
    <x v="1"/>
    <n v="26"/>
    <x v="3"/>
    <n v="1"/>
    <n v="1762"/>
    <n v="2002.95"/>
    <n v="1422.0944999999999"/>
    <n v="36974.457000000002"/>
    <n v="45812"/>
    <n v="-8837.5429999999978"/>
    <n v="-0.23901751958115294"/>
    <s v="Loss"/>
    <x v="0"/>
    <n v="0.28999999999999998"/>
    <s v="Credit Card"/>
    <s v="Retail"/>
    <s v="North-Bob"/>
  </r>
  <r>
    <n v="1076"/>
    <x v="287"/>
    <x v="4"/>
    <x v="3"/>
    <n v="23"/>
    <x v="0"/>
    <n v="1"/>
    <n v="2759.16"/>
    <n v="2864.45"/>
    <n v="2348.8490000000002"/>
    <n v="54023.526999999995"/>
    <n v="63460.679999999993"/>
    <n v="-9437.1529999999984"/>
    <n v="-0.17468598449708772"/>
    <s v="Loss"/>
    <x v="0"/>
    <n v="0.18"/>
    <s v="Credit Card"/>
    <s v="Retail"/>
    <s v="South-Charlie"/>
  </r>
  <r>
    <n v="1076"/>
    <x v="63"/>
    <x v="2"/>
    <x v="0"/>
    <n v="32"/>
    <x v="2"/>
    <n v="1"/>
    <n v="4337.82"/>
    <n v="4460.71"/>
    <n v="3122.4969999999998"/>
    <n v="99919.903999999995"/>
    <n v="138810.23999999999"/>
    <n v="-38890.335999999996"/>
    <n v="-0.38921510573108636"/>
    <s v="Loss"/>
    <x v="0"/>
    <n v="0.3"/>
    <s v="Cash"/>
    <s v="Retail"/>
    <s v="West-Eve"/>
  </r>
  <r>
    <n v="1077"/>
    <x v="317"/>
    <x v="3"/>
    <x v="0"/>
    <n v="5"/>
    <x v="3"/>
    <n v="1"/>
    <n v="3650.89"/>
    <n v="3930.06"/>
    <n v="3261.9497999999999"/>
    <n v="16309.748999999998"/>
    <n v="18254.45"/>
    <n v="-1944.7010000000028"/>
    <n v="-0.11923549528567258"/>
    <s v="Loss"/>
    <x v="1"/>
    <n v="0.17"/>
    <s v="Bank Transfer"/>
    <s v="Online"/>
    <s v="West-Alice"/>
  </r>
  <r>
    <n v="1077"/>
    <x v="318"/>
    <x v="1"/>
    <x v="2"/>
    <n v="24"/>
    <x v="3"/>
    <n v="1"/>
    <n v="2258.54"/>
    <n v="2439.4899999999998"/>
    <n v="1951.5919999999999"/>
    <n v="46838.207999999999"/>
    <n v="54204.959999999999"/>
    <n v="-7366.7520000000004"/>
    <n v="-0.15728082509049024"/>
    <s v="Loss"/>
    <x v="0"/>
    <n v="0.2"/>
    <s v="Credit Card"/>
    <s v="Retail"/>
    <s v="East-David"/>
  </r>
  <r>
    <n v="1077"/>
    <x v="133"/>
    <x v="2"/>
    <x v="0"/>
    <n v="12"/>
    <x v="2"/>
    <n v="1"/>
    <n v="2427.46"/>
    <n v="2743.09"/>
    <n v="1947.5939000000001"/>
    <n v="23371.126800000002"/>
    <n v="29129.52"/>
    <n v="-5758.3931999999986"/>
    <n v="-0.24638919848742588"/>
    <s v="Loss"/>
    <x v="1"/>
    <n v="0.28999999999999998"/>
    <s v="Credit Card"/>
    <s v="Retail"/>
    <s v="West-Eve"/>
  </r>
  <r>
    <n v="1077"/>
    <x v="119"/>
    <x v="4"/>
    <x v="2"/>
    <n v="43"/>
    <x v="0"/>
    <n v="1"/>
    <n v="4402.66"/>
    <n v="4724.7"/>
    <n v="4252.2299999999996"/>
    <n v="182845.89"/>
    <n v="189314.38"/>
    <n v="-6468.4899999999907"/>
    <n v="-3.5376731738405442E-2"/>
    <s v="Loss"/>
    <x v="1"/>
    <n v="0.1"/>
    <s v="Bank Transfer"/>
    <s v="Retail"/>
    <s v="East-Charlie"/>
  </r>
  <r>
    <n v="1077"/>
    <x v="241"/>
    <x v="2"/>
    <x v="1"/>
    <n v="35"/>
    <x v="3"/>
    <n v="1"/>
    <n v="585.37"/>
    <n v="970.49"/>
    <n v="824.91650000000004"/>
    <n v="28872.077499999999"/>
    <n v="20487.95"/>
    <n v="8384.1274999999987"/>
    <n v="0.29038878480428015"/>
    <s v="Profit"/>
    <x v="0"/>
    <n v="0.15"/>
    <s v="Bank Transfer"/>
    <s v="Retail"/>
    <s v="North-Eve"/>
  </r>
  <r>
    <n v="1077"/>
    <x v="84"/>
    <x v="1"/>
    <x v="3"/>
    <n v="23"/>
    <x v="3"/>
    <n v="1"/>
    <n v="557.52"/>
    <n v="822.39"/>
    <n v="583.89689999999996"/>
    <n v="13429.628699999999"/>
    <n v="12822.96"/>
    <n v="606.66870000000017"/>
    <n v="4.5173899707294234E-2"/>
    <s v="Profit"/>
    <x v="0"/>
    <n v="0.28999999999999998"/>
    <s v="Credit Card"/>
    <s v="Online"/>
    <s v="South-David"/>
  </r>
  <r>
    <n v="1077"/>
    <x v="217"/>
    <x v="3"/>
    <x v="0"/>
    <n v="25"/>
    <x v="3"/>
    <n v="1"/>
    <n v="61.5"/>
    <n v="258.92"/>
    <n v="214.90360000000001"/>
    <n v="5372.59"/>
    <n v="1537.5"/>
    <n v="3835.09"/>
    <n v="0.71382517556709146"/>
    <s v="Profit"/>
    <x v="1"/>
    <n v="0.17"/>
    <s v="Credit Card"/>
    <s v="Online"/>
    <s v="West-Alice"/>
  </r>
  <r>
    <n v="1078"/>
    <x v="262"/>
    <x v="1"/>
    <x v="2"/>
    <n v="49"/>
    <x v="1"/>
    <n v="1"/>
    <n v="1833.95"/>
    <n v="2147.14"/>
    <n v="1760.6548"/>
    <n v="86272.085200000001"/>
    <n v="89863.55"/>
    <n v="-3591.4648000000016"/>
    <n v="-4.1629511929311774E-2"/>
    <s v="Loss"/>
    <x v="0"/>
    <n v="0.18"/>
    <s v="Credit Card"/>
    <s v="Retail"/>
    <s v="East-David"/>
  </r>
  <r>
    <n v="1078"/>
    <x v="120"/>
    <x v="3"/>
    <x v="3"/>
    <n v="49"/>
    <x v="1"/>
    <n v="1"/>
    <n v="3026.85"/>
    <n v="3183.58"/>
    <n v="2387.6849999999999"/>
    <n v="116996.56499999999"/>
    <n v="148315.65"/>
    <n v="-31319.085000000006"/>
    <n v="-0.26769234635221989"/>
    <s v="Loss"/>
    <x v="0"/>
    <n v="0.25"/>
    <s v="Cash"/>
    <s v="Retail"/>
    <s v="South-Alice"/>
  </r>
  <r>
    <n v="1078"/>
    <x v="104"/>
    <x v="2"/>
    <x v="2"/>
    <n v="36"/>
    <x v="0"/>
    <n v="1"/>
    <n v="4548.88"/>
    <n v="4853.41"/>
    <n v="3640.0574999999999"/>
    <n v="131042.07"/>
    <n v="163759.67999999999"/>
    <n v="-32717.609999999986"/>
    <n v="-0.24967256698554888"/>
    <s v="Loss"/>
    <x v="0"/>
    <n v="0.25"/>
    <s v="Credit Card"/>
    <s v="Retail"/>
    <s v="East-Eve"/>
  </r>
  <r>
    <n v="1078"/>
    <x v="73"/>
    <x v="4"/>
    <x v="3"/>
    <n v="29"/>
    <x v="3"/>
    <n v="1"/>
    <n v="3177.81"/>
    <n v="3222.65"/>
    <n v="2964.8380000000002"/>
    <n v="85980.302000000011"/>
    <n v="92156.49"/>
    <n v="-6176.1879999999946"/>
    <n v="-7.1832592539626039E-2"/>
    <s v="Loss"/>
    <x v="0"/>
    <n v="0.08"/>
    <s v="Credit Card"/>
    <s v="Retail"/>
    <s v="South-Charlie"/>
  </r>
  <r>
    <n v="1078"/>
    <x v="146"/>
    <x v="1"/>
    <x v="2"/>
    <n v="42"/>
    <x v="0"/>
    <n v="1"/>
    <n v="63.41"/>
    <n v="314.93"/>
    <n v="305.4821"/>
    <n v="12830.2482"/>
    <n v="2663.22"/>
    <n v="10167.028200000001"/>
    <n v="0.79242646295805885"/>
    <s v="Profit"/>
    <x v="0"/>
    <n v="0.03"/>
    <s v="Cash"/>
    <s v="Retail"/>
    <s v="East-David"/>
  </r>
  <r>
    <n v="1078"/>
    <x v="123"/>
    <x v="1"/>
    <x v="2"/>
    <n v="8"/>
    <x v="1"/>
    <n v="1"/>
    <n v="3459.61"/>
    <n v="3657.23"/>
    <n v="3547.5131000000001"/>
    <n v="28380.104800000001"/>
    <n v="27676.880000000001"/>
    <n v="703.22479999999996"/>
    <n v="2.4778795038135303E-2"/>
    <s v="Profit"/>
    <x v="0"/>
    <n v="0.03"/>
    <s v="Bank Transfer"/>
    <s v="Online"/>
    <s v="East-David"/>
  </r>
  <r>
    <n v="1078"/>
    <x v="209"/>
    <x v="2"/>
    <x v="0"/>
    <n v="33"/>
    <x v="2"/>
    <n v="1"/>
    <n v="2396.6799999999998"/>
    <n v="2661.54"/>
    <n v="2182.4628000000002"/>
    <n v="72021.272400000002"/>
    <n v="79090.439999999988"/>
    <n v="-7069.1675999999861"/>
    <n v="-9.8153883768373779E-2"/>
    <s v="Loss"/>
    <x v="1"/>
    <n v="0.18"/>
    <s v="Bank Transfer"/>
    <s v="Online"/>
    <s v="West-Eve"/>
  </r>
  <r>
    <n v="1078"/>
    <x v="294"/>
    <x v="2"/>
    <x v="1"/>
    <n v="3"/>
    <x v="2"/>
    <n v="1"/>
    <n v="902.38"/>
    <n v="1128.9100000000001"/>
    <n v="1117.6209000000001"/>
    <n v="3352.8627000000006"/>
    <n v="2707.14"/>
    <n v="645.72270000000071"/>
    <n v="0.1925884707417338"/>
    <s v="Profit"/>
    <x v="1"/>
    <n v="0.01"/>
    <s v="Bank Transfer"/>
    <s v="Retail"/>
    <s v="North-Eve"/>
  </r>
  <r>
    <n v="1079"/>
    <x v="319"/>
    <x v="2"/>
    <x v="2"/>
    <n v="12"/>
    <x v="0"/>
    <n v="1"/>
    <n v="4754.0200000000004"/>
    <n v="5080.74"/>
    <n v="4064.5920000000001"/>
    <n v="48775.103999999999"/>
    <n v="57048.240000000005"/>
    <n v="-8273.1360000000059"/>
    <n v="-0.16961800840035124"/>
    <s v="Loss"/>
    <x v="1"/>
    <n v="0.2"/>
    <s v="Cash"/>
    <s v="Online"/>
    <s v="East-Eve"/>
  </r>
  <r>
    <n v="1079"/>
    <x v="56"/>
    <x v="1"/>
    <x v="3"/>
    <n v="34"/>
    <x v="1"/>
    <n v="1"/>
    <n v="1967.96"/>
    <n v="1993.4"/>
    <n v="1694.39"/>
    <n v="57609.26"/>
    <n v="66910.64"/>
    <n v="-9301.3799999999974"/>
    <n v="-0.1614563353183151"/>
    <s v="Loss"/>
    <x v="0"/>
    <n v="0.15"/>
    <s v="Credit Card"/>
    <s v="Online"/>
    <s v="South-David"/>
  </r>
  <r>
    <n v="1079"/>
    <x v="308"/>
    <x v="1"/>
    <x v="1"/>
    <n v="45"/>
    <x v="2"/>
    <n v="1"/>
    <n v="1406.9"/>
    <n v="1547.35"/>
    <n v="1284.3004999999998"/>
    <n v="57793.522499999999"/>
    <n v="63310.500000000007"/>
    <n v="-5516.9775000000081"/>
    <n v="-9.5460135692542497E-2"/>
    <s v="Loss"/>
    <x v="1"/>
    <n v="0.17"/>
    <s v="Cash"/>
    <s v="Retail"/>
    <s v="North-David"/>
  </r>
  <r>
    <n v="1079"/>
    <x v="41"/>
    <x v="2"/>
    <x v="2"/>
    <n v="49"/>
    <x v="2"/>
    <n v="1"/>
    <n v="437.59"/>
    <n v="675.54"/>
    <n v="607.98599999999999"/>
    <n v="29791.313999999998"/>
    <n v="21441.91"/>
    <n v="8349.4039999999986"/>
    <n v="0.28026303237245592"/>
    <s v="Profit"/>
    <x v="0"/>
    <n v="0.1"/>
    <s v="Cash"/>
    <s v="Online"/>
    <s v="East-Eve"/>
  </r>
  <r>
    <n v="1079"/>
    <x v="312"/>
    <x v="3"/>
    <x v="1"/>
    <n v="8"/>
    <x v="2"/>
    <n v="1"/>
    <n v="3808.23"/>
    <n v="3891.62"/>
    <n v="2879.7988"/>
    <n v="23038.3904"/>
    <n v="30465.84"/>
    <n v="-7427.4495999999999"/>
    <n v="-0.3223944672801447"/>
    <s v="Loss"/>
    <x v="0"/>
    <n v="0.26"/>
    <s v="Bank Transfer"/>
    <s v="Online"/>
    <s v="North-Alice"/>
  </r>
  <r>
    <n v="1079"/>
    <x v="216"/>
    <x v="0"/>
    <x v="0"/>
    <n v="38"/>
    <x v="1"/>
    <n v="1"/>
    <n v="1127.76"/>
    <n v="1265.6600000000001"/>
    <n v="936.58840000000009"/>
    <n v="35590.359199999999"/>
    <n v="42854.879999999997"/>
    <n v="-7264.5207999999984"/>
    <n v="-0.20411484916960318"/>
    <s v="Loss"/>
    <x v="0"/>
    <n v="0.26"/>
    <s v="Bank Transfer"/>
    <s v="Retail"/>
    <s v="West-Bob"/>
  </r>
  <r>
    <n v="1080"/>
    <x v="204"/>
    <x v="4"/>
    <x v="3"/>
    <n v="9"/>
    <x v="3"/>
    <n v="1"/>
    <n v="1141.52"/>
    <n v="1550.19"/>
    <n v="1116.1368"/>
    <n v="10045.2312"/>
    <n v="10273.68"/>
    <n v="-228.44880000000012"/>
    <n v="-2.2742015136495826E-2"/>
    <s v="Loss"/>
    <x v="1"/>
    <n v="0.28000000000000003"/>
    <s v="Credit Card"/>
    <s v="Retail"/>
    <s v="South-Charlie"/>
  </r>
  <r>
    <n v="1080"/>
    <x v="36"/>
    <x v="4"/>
    <x v="0"/>
    <n v="14"/>
    <x v="0"/>
    <n v="1"/>
    <n v="4127.54"/>
    <n v="4495.13"/>
    <n v="4225.4222"/>
    <n v="59155.910799999998"/>
    <n v="57785.56"/>
    <n v="1370.3508000000002"/>
    <n v="2.3165069753266317E-2"/>
    <s v="Profit"/>
    <x v="1"/>
    <n v="0.06"/>
    <s v="Bank Transfer"/>
    <s v="Retail"/>
    <s v="West-Charlie"/>
  </r>
  <r>
    <n v="1080"/>
    <x v="177"/>
    <x v="3"/>
    <x v="2"/>
    <n v="32"/>
    <x v="3"/>
    <n v="1"/>
    <n v="3414.54"/>
    <n v="3753.83"/>
    <n v="2927.9874"/>
    <n v="93695.596799999999"/>
    <n v="109265.28"/>
    <n v="-15569.683199999999"/>
    <n v="-0.16617305115452341"/>
    <s v="Loss"/>
    <x v="1"/>
    <n v="0.22"/>
    <s v="Cash"/>
    <s v="Retail"/>
    <s v="East-Alice"/>
  </r>
  <r>
    <n v="1080"/>
    <x v="82"/>
    <x v="0"/>
    <x v="3"/>
    <n v="47"/>
    <x v="1"/>
    <n v="1"/>
    <n v="4035.33"/>
    <n v="4211.25"/>
    <n v="3916.4624999999996"/>
    <n v="184073.73749999999"/>
    <n v="189660.51"/>
    <n v="-5586.772500000021"/>
    <n v="-3.0350731048746273E-2"/>
    <s v="Loss"/>
    <x v="0"/>
    <n v="7.0000000000000007E-2"/>
    <s v="Bank Transfer"/>
    <s v="Online"/>
    <s v="South-Bob"/>
  </r>
  <r>
    <n v="1080"/>
    <x v="320"/>
    <x v="4"/>
    <x v="2"/>
    <n v="44"/>
    <x v="3"/>
    <n v="1"/>
    <n v="1763.67"/>
    <n v="1983.82"/>
    <n v="1507.7031999999999"/>
    <n v="66338.940799999997"/>
    <n v="77601.48000000001"/>
    <n v="-11262.539200000014"/>
    <n v="-0.16977267143825145"/>
    <s v="Loss"/>
    <x v="1"/>
    <n v="0.24"/>
    <s v="Credit Card"/>
    <s v="Online"/>
    <s v="East-Charlie"/>
  </r>
  <r>
    <n v="1080"/>
    <x v="261"/>
    <x v="1"/>
    <x v="3"/>
    <n v="12"/>
    <x v="3"/>
    <n v="1"/>
    <n v="2316.13"/>
    <n v="2525.27"/>
    <n v="2222.2375999999999"/>
    <n v="26666.851199999997"/>
    <n v="27793.56"/>
    <n v="-1126.708800000004"/>
    <n v="-4.2251287621089817E-2"/>
    <s v="Loss"/>
    <x v="0"/>
    <n v="0.12"/>
    <s v="Credit Card"/>
    <s v="Retail"/>
    <s v="South-David"/>
  </r>
  <r>
    <n v="1080"/>
    <x v="312"/>
    <x v="0"/>
    <x v="0"/>
    <n v="17"/>
    <x v="1"/>
    <n v="1"/>
    <n v="2742.67"/>
    <n v="2979.64"/>
    <n v="2949.8435999999997"/>
    <n v="50147.341199999995"/>
    <n v="46625.39"/>
    <n v="3521.9511999999959"/>
    <n v="7.0232062472735765E-2"/>
    <s v="Profit"/>
    <x v="0"/>
    <n v="0.01"/>
    <s v="Cash"/>
    <s v="Retail"/>
    <s v="West-Bob"/>
  </r>
  <r>
    <n v="1080"/>
    <x v="42"/>
    <x v="2"/>
    <x v="0"/>
    <n v="35"/>
    <x v="1"/>
    <n v="1"/>
    <n v="900.97"/>
    <n v="1321.18"/>
    <n v="1189.0620000000001"/>
    <n v="41617.170000000006"/>
    <n v="31533.95"/>
    <n v="10083.220000000005"/>
    <n v="0.24228509531042125"/>
    <s v="Profit"/>
    <x v="0"/>
    <n v="0.1"/>
    <s v="Cash"/>
    <s v="Online"/>
    <s v="West-Eve"/>
  </r>
  <r>
    <n v="1081"/>
    <x v="305"/>
    <x v="3"/>
    <x v="1"/>
    <n v="23"/>
    <x v="3"/>
    <n v="1"/>
    <n v="1236.25"/>
    <n v="1543.38"/>
    <n v="1389.0420000000001"/>
    <n v="31947.966000000004"/>
    <n v="28433.75"/>
    <n v="3514.216000000004"/>
    <n v="0.10999811380793392"/>
    <s v="Profit"/>
    <x v="1"/>
    <n v="0.1"/>
    <s v="Bank Transfer"/>
    <s v="Online"/>
    <s v="North-Alice"/>
  </r>
  <r>
    <n v="1081"/>
    <x v="169"/>
    <x v="0"/>
    <x v="3"/>
    <n v="44"/>
    <x v="0"/>
    <n v="1"/>
    <n v="618.79"/>
    <n v="938.04"/>
    <n v="909.89879999999994"/>
    <n v="40035.547199999994"/>
    <n v="27226.76"/>
    <n v="12808.787199999995"/>
    <n v="0.3199353598444134"/>
    <s v="Profit"/>
    <x v="0"/>
    <n v="0.03"/>
    <s v="Cash"/>
    <s v="Online"/>
    <s v="South-Bob"/>
  </r>
  <r>
    <n v="1081"/>
    <x v="133"/>
    <x v="1"/>
    <x v="2"/>
    <n v="41"/>
    <x v="1"/>
    <n v="1"/>
    <n v="2782.08"/>
    <n v="2879.24"/>
    <n v="2274.5996"/>
    <n v="93258.583599999998"/>
    <n v="114065.28"/>
    <n v="-20806.696400000001"/>
    <n v="-0.22310757462544178"/>
    <s v="Loss"/>
    <x v="1"/>
    <n v="0.21"/>
    <s v="Bank Transfer"/>
    <s v="Online"/>
    <s v="East-David"/>
  </r>
  <r>
    <n v="1081"/>
    <x v="296"/>
    <x v="0"/>
    <x v="3"/>
    <n v="19"/>
    <x v="0"/>
    <n v="1"/>
    <n v="2443.69"/>
    <n v="2462.34"/>
    <n v="2289.9762000000001"/>
    <n v="43509.5478"/>
    <n v="46430.11"/>
    <n v="-2920.5622000000003"/>
    <n v="-6.7124627758140029E-2"/>
    <s v="Loss"/>
    <x v="1"/>
    <n v="7.0000000000000007E-2"/>
    <s v="Bank Transfer"/>
    <s v="Retail"/>
    <s v="South-Bob"/>
  </r>
  <r>
    <n v="1081"/>
    <x v="194"/>
    <x v="2"/>
    <x v="1"/>
    <n v="16"/>
    <x v="2"/>
    <n v="1"/>
    <n v="2530.15"/>
    <n v="2568.13"/>
    <n v="2542.4486999999999"/>
    <n v="40679.179199999999"/>
    <n v="40482.400000000001"/>
    <n v="196.77919999999722"/>
    <n v="4.8373444073816817E-3"/>
    <s v="Profit"/>
    <x v="1"/>
    <n v="0.01"/>
    <s v="Credit Card"/>
    <s v="Online"/>
    <s v="North-Eve"/>
  </r>
  <r>
    <n v="1081"/>
    <x v="195"/>
    <x v="4"/>
    <x v="0"/>
    <n v="44"/>
    <x v="3"/>
    <n v="1"/>
    <n v="1362.15"/>
    <n v="1844.07"/>
    <n v="1309.2896999999998"/>
    <n v="57608.746800000001"/>
    <n v="59934.600000000006"/>
    <n v="-2325.853200000005"/>
    <n v="-4.0373264984823534E-2"/>
    <s v="Loss"/>
    <x v="1"/>
    <n v="0.28999999999999998"/>
    <s v="Credit Card"/>
    <s v="Online"/>
    <s v="West-Charlie"/>
  </r>
  <r>
    <n v="1081"/>
    <x v="216"/>
    <x v="4"/>
    <x v="1"/>
    <n v="23"/>
    <x v="0"/>
    <n v="1"/>
    <n v="1411.37"/>
    <n v="1675.35"/>
    <n v="1323.5264999999999"/>
    <n v="30441.109499999999"/>
    <n v="32461.51"/>
    <n v="-2020.4004999999997"/>
    <n v="-6.6370790460183446E-2"/>
    <s v="Loss"/>
    <x v="1"/>
    <n v="0.21"/>
    <s v="Cash"/>
    <s v="Retail"/>
    <s v="North-Charlie"/>
  </r>
  <r>
    <n v="1082"/>
    <x v="321"/>
    <x v="4"/>
    <x v="2"/>
    <n v="15"/>
    <x v="2"/>
    <n v="1"/>
    <n v="1719.47"/>
    <n v="1832.6"/>
    <n v="1612.6879999999999"/>
    <n v="24190.32"/>
    <n v="25792.05"/>
    <n v="-1601.7299999999996"/>
    <n v="-6.6213675552865753E-2"/>
    <s v="Loss"/>
    <x v="0"/>
    <n v="0.12"/>
    <s v="Credit Card"/>
    <s v="Online"/>
    <s v="East-Charlie"/>
  </r>
  <r>
    <n v="1082"/>
    <x v="322"/>
    <x v="3"/>
    <x v="1"/>
    <n v="17"/>
    <x v="1"/>
    <n v="1"/>
    <n v="890.31"/>
    <n v="1159.06"/>
    <n v="1089.5164"/>
    <n v="18521.7788"/>
    <n v="15135.269999999999"/>
    <n v="3386.5088000000014"/>
    <n v="0.18283928539304234"/>
    <s v="Profit"/>
    <x v="0"/>
    <n v="0.06"/>
    <s v="Cash"/>
    <s v="Retail"/>
    <s v="North-Alice"/>
  </r>
  <r>
    <n v="1082"/>
    <x v="121"/>
    <x v="4"/>
    <x v="1"/>
    <n v="43"/>
    <x v="1"/>
    <n v="1"/>
    <n v="2289.2199999999998"/>
    <n v="2581"/>
    <n v="2451.9499999999998"/>
    <n v="105433.84999999999"/>
    <n v="98436.459999999992"/>
    <n v="6997.3899999999994"/>
    <n v="6.6367584983380579E-2"/>
    <s v="Profit"/>
    <x v="1"/>
    <n v="0.05"/>
    <s v="Bank Transfer"/>
    <s v="Online"/>
    <s v="North-Charlie"/>
  </r>
  <r>
    <n v="1082"/>
    <x v="237"/>
    <x v="1"/>
    <x v="3"/>
    <n v="2"/>
    <x v="1"/>
    <n v="1"/>
    <n v="1349.3"/>
    <n v="1576.69"/>
    <n v="1387.4872"/>
    <n v="2774.9744000000001"/>
    <n v="2698.6"/>
    <n v="76.374400000000151"/>
    <n v="2.7522560208123055E-2"/>
    <s v="Profit"/>
    <x v="0"/>
    <n v="0.12"/>
    <s v="Credit Card"/>
    <s v="Online"/>
    <s v="South-David"/>
  </r>
  <r>
    <n v="1082"/>
    <x v="185"/>
    <x v="3"/>
    <x v="2"/>
    <n v="48"/>
    <x v="0"/>
    <n v="1"/>
    <n v="3380.52"/>
    <n v="3778.94"/>
    <n v="2645.2579999999998"/>
    <n v="126972.38399999999"/>
    <n v="162264.95999999999"/>
    <n v="-35292.576000000001"/>
    <n v="-0.27795474014254945"/>
    <s v="Loss"/>
    <x v="0"/>
    <n v="0.3"/>
    <s v="Bank Transfer"/>
    <s v="Online"/>
    <s v="East-Alice"/>
  </r>
  <r>
    <n v="1082"/>
    <x v="246"/>
    <x v="2"/>
    <x v="2"/>
    <n v="46"/>
    <x v="0"/>
    <n v="1"/>
    <n v="1102.69"/>
    <n v="1437.12"/>
    <n v="1279.0367999999999"/>
    <n v="58835.69279999999"/>
    <n v="50723.740000000005"/>
    <n v="8111.9527999999846"/>
    <n v="0.13787468820287244"/>
    <s v="Profit"/>
    <x v="1"/>
    <n v="0.11"/>
    <s v="Credit Card"/>
    <s v="Online"/>
    <s v="East-Eve"/>
  </r>
  <r>
    <n v="1082"/>
    <x v="323"/>
    <x v="3"/>
    <x v="3"/>
    <n v="41"/>
    <x v="3"/>
    <n v="1"/>
    <n v="1196.42"/>
    <n v="1444.97"/>
    <n v="1141.5263"/>
    <n v="46802.578300000008"/>
    <n v="49053.22"/>
    <n v="-2250.6416999999929"/>
    <n v="-4.8087985357849236E-2"/>
    <s v="Loss"/>
    <x v="0"/>
    <n v="0.21"/>
    <s v="Bank Transfer"/>
    <s v="Online"/>
    <s v="South-Alice"/>
  </r>
  <r>
    <n v="1083"/>
    <x v="17"/>
    <x v="0"/>
    <x v="0"/>
    <n v="29"/>
    <x v="1"/>
    <n v="1"/>
    <n v="2408.81"/>
    <n v="2624.09"/>
    <n v="2256.7174"/>
    <n v="65444.804600000003"/>
    <n v="69855.490000000005"/>
    <n v="-4410.6854000000021"/>
    <n v="-6.7395501093756832E-2"/>
    <s v="Loss"/>
    <x v="0"/>
    <n v="0.14000000000000001"/>
    <s v="Cash"/>
    <s v="Online"/>
    <s v="West-Bob"/>
  </r>
  <r>
    <n v="1083"/>
    <x v="105"/>
    <x v="2"/>
    <x v="0"/>
    <n v="42"/>
    <x v="2"/>
    <n v="1"/>
    <n v="2505.41"/>
    <n v="2638.96"/>
    <n v="2375.0640000000003"/>
    <n v="99752.688000000009"/>
    <n v="105227.22"/>
    <n v="-5474.531999999992"/>
    <n v="-5.4881047415985339E-2"/>
    <s v="Loss"/>
    <x v="1"/>
    <n v="0.1"/>
    <s v="Bank Transfer"/>
    <s v="Online"/>
    <s v="West-Eve"/>
  </r>
  <r>
    <n v="1083"/>
    <x v="91"/>
    <x v="1"/>
    <x v="2"/>
    <n v="34"/>
    <x v="2"/>
    <n v="1"/>
    <n v="1167.9100000000001"/>
    <n v="1547.26"/>
    <n v="1377.0614"/>
    <n v="46820.087599999999"/>
    <n v="39708.94"/>
    <n v="7111.1475999999966"/>
    <n v="0.15188240698635508"/>
    <s v="Profit"/>
    <x v="1"/>
    <n v="0.11"/>
    <s v="Bank Transfer"/>
    <s v="Online"/>
    <s v="East-David"/>
  </r>
  <r>
    <n v="1083"/>
    <x v="324"/>
    <x v="3"/>
    <x v="0"/>
    <n v="20"/>
    <x v="2"/>
    <n v="1"/>
    <n v="3617.59"/>
    <n v="4003.5"/>
    <n v="3963.4650000000001"/>
    <n v="79269.3"/>
    <n v="72351.8"/>
    <n v="6917.5"/>
    <n v="8.7265814129808134E-2"/>
    <s v="Profit"/>
    <x v="1"/>
    <n v="0.01"/>
    <s v="Credit Card"/>
    <s v="Retail"/>
    <s v="West-Alice"/>
  </r>
  <r>
    <n v="1084"/>
    <x v="241"/>
    <x v="0"/>
    <x v="2"/>
    <n v="21"/>
    <x v="2"/>
    <n v="1"/>
    <n v="576.74"/>
    <n v="648.29"/>
    <n v="518.63199999999995"/>
    <n v="10891.272000000001"/>
    <n v="12111.54"/>
    <n v="-1220.268"/>
    <n v="-0.11204090761850406"/>
    <s v="Loss"/>
    <x v="0"/>
    <n v="0.2"/>
    <s v="Bank Transfer"/>
    <s v="Online"/>
    <s v="East-Bob"/>
  </r>
  <r>
    <n v="1084"/>
    <x v="171"/>
    <x v="3"/>
    <x v="0"/>
    <n v="21"/>
    <x v="1"/>
    <n v="1"/>
    <n v="3497.98"/>
    <n v="3765.31"/>
    <n v="3464.0852"/>
    <n v="72745.789199999999"/>
    <n v="73457.58"/>
    <n v="-711.79080000000249"/>
    <n v="-9.7846323179349402E-3"/>
    <s v="Loss"/>
    <x v="1"/>
    <n v="0.08"/>
    <s v="Cash"/>
    <s v="Online"/>
    <s v="West-Alice"/>
  </r>
  <r>
    <n v="1084"/>
    <x v="29"/>
    <x v="1"/>
    <x v="0"/>
    <n v="35"/>
    <x v="0"/>
    <n v="1"/>
    <n v="465.61"/>
    <n v="812.91"/>
    <n v="682.84439999999995"/>
    <n v="23899.553999999996"/>
    <n v="16296.35"/>
    <n v="7603.2039999999961"/>
    <n v="0.31813162705881448"/>
    <s v="Profit"/>
    <x v="1"/>
    <n v="0.16"/>
    <s v="Bank Transfer"/>
    <s v="Online"/>
    <s v="West-David"/>
  </r>
  <r>
    <n v="1084"/>
    <x v="99"/>
    <x v="0"/>
    <x v="3"/>
    <n v="15"/>
    <x v="1"/>
    <n v="1"/>
    <n v="3420.72"/>
    <n v="3513.74"/>
    <n v="3443.4651999999996"/>
    <n v="51651.977999999996"/>
    <n v="51310.799999999996"/>
    <n v="341.17799999999988"/>
    <n v="6.6053230333212006E-3"/>
    <s v="Profit"/>
    <x v="1"/>
    <n v="0.02"/>
    <s v="Cash"/>
    <s v="Online"/>
    <s v="South-Bob"/>
  </r>
  <r>
    <n v="1084"/>
    <x v="309"/>
    <x v="2"/>
    <x v="3"/>
    <n v="40"/>
    <x v="0"/>
    <n v="1"/>
    <n v="2890.95"/>
    <n v="3104.43"/>
    <n v="2452.4996999999998"/>
    <n v="98099.987999999998"/>
    <n v="115638"/>
    <n v="-17538.012000000002"/>
    <n v="-0.17877690260267926"/>
    <s v="Loss"/>
    <x v="1"/>
    <n v="0.21"/>
    <s v="Bank Transfer"/>
    <s v="Online"/>
    <s v="South-Eve"/>
  </r>
  <r>
    <n v="1084"/>
    <x v="124"/>
    <x v="2"/>
    <x v="3"/>
    <n v="36"/>
    <x v="1"/>
    <n v="1"/>
    <n v="1458.77"/>
    <n v="1485.75"/>
    <n v="1114.3125"/>
    <n v="40115.25"/>
    <n v="52515.72"/>
    <n v="-12400.470000000001"/>
    <n v="-0.30912109484547651"/>
    <s v="Loss"/>
    <x v="1"/>
    <n v="0.25"/>
    <s v="Credit Card"/>
    <s v="Online"/>
    <s v="South-Eve"/>
  </r>
  <r>
    <n v="1084"/>
    <x v="41"/>
    <x v="2"/>
    <x v="1"/>
    <n v="49"/>
    <x v="1"/>
    <n v="1"/>
    <n v="4291.97"/>
    <n v="4645.6400000000003"/>
    <n v="3437.7736"/>
    <n v="168450.90640000001"/>
    <n v="210306.53"/>
    <n v="-41855.623599999992"/>
    <n v="-0.24847372148066987"/>
    <s v="Loss"/>
    <x v="0"/>
    <n v="0.26"/>
    <s v="Credit Card"/>
    <s v="Online"/>
    <s v="North-Eve"/>
  </r>
  <r>
    <n v="1084"/>
    <x v="173"/>
    <x v="3"/>
    <x v="2"/>
    <n v="30"/>
    <x v="0"/>
    <n v="1"/>
    <n v="169"/>
    <n v="381.92"/>
    <n v="282.62080000000003"/>
    <n v="8478.6239999999998"/>
    <n v="5070"/>
    <n v="3408.6239999999998"/>
    <n v="0.40202561170303103"/>
    <s v="Profit"/>
    <x v="0"/>
    <n v="0.26"/>
    <s v="Cash"/>
    <s v="Retail"/>
    <s v="East-Alice"/>
  </r>
  <r>
    <n v="1085"/>
    <x v="313"/>
    <x v="2"/>
    <x v="1"/>
    <n v="42"/>
    <x v="3"/>
    <n v="1"/>
    <n v="3117.75"/>
    <n v="3159.88"/>
    <n v="3033.4848000000002"/>
    <n v="127406.36159999999"/>
    <n v="130945.5"/>
    <n v="-3539.1384000000107"/>
    <n v="-2.7778349177816967E-2"/>
    <s v="Loss"/>
    <x v="1"/>
    <n v="0.04"/>
    <s v="Cash"/>
    <s v="Retail"/>
    <s v="North-Eve"/>
  </r>
  <r>
    <n v="1085"/>
    <x v="162"/>
    <x v="2"/>
    <x v="0"/>
    <n v="16"/>
    <x v="0"/>
    <n v="1"/>
    <n v="472.08"/>
    <n v="842.46"/>
    <n v="842.46"/>
    <n v="13479.36"/>
    <n v="7553.28"/>
    <n v="5926.0800000000008"/>
    <n v="0.439641051207179"/>
    <s v="Profit"/>
    <x v="1"/>
    <n v="0"/>
    <s v="Cash"/>
    <s v="Retail"/>
    <s v="West-Eve"/>
  </r>
  <r>
    <n v="1085"/>
    <x v="111"/>
    <x v="4"/>
    <x v="2"/>
    <n v="42"/>
    <x v="2"/>
    <n v="1"/>
    <n v="2254.11"/>
    <n v="2382.23"/>
    <n v="2024.8954999999999"/>
    <n v="85045.611000000004"/>
    <n v="94672.62000000001"/>
    <n v="-9627.0090000000055"/>
    <n v="-0.11319818726447864"/>
    <s v="Loss"/>
    <x v="0"/>
    <n v="0.15"/>
    <s v="Credit Card"/>
    <s v="Retail"/>
    <s v="East-Charlie"/>
  </r>
  <r>
    <n v="1085"/>
    <x v="322"/>
    <x v="1"/>
    <x v="2"/>
    <n v="8"/>
    <x v="0"/>
    <n v="1"/>
    <n v="3048.48"/>
    <n v="3198.54"/>
    <n v="3102.5837999999999"/>
    <n v="24820.670399999999"/>
    <n v="24387.84"/>
    <n v="432.83039999999892"/>
    <n v="1.7438304164419303E-2"/>
    <s v="Profit"/>
    <x v="0"/>
    <n v="0.03"/>
    <s v="Bank Transfer"/>
    <s v="Online"/>
    <s v="East-David"/>
  </r>
  <r>
    <n v="1085"/>
    <x v="11"/>
    <x v="4"/>
    <x v="3"/>
    <n v="32"/>
    <x v="1"/>
    <n v="1"/>
    <n v="1074.93"/>
    <n v="1492.48"/>
    <n v="1432.7808"/>
    <n v="45848.9856"/>
    <n v="34397.760000000002"/>
    <n v="11451.225599999998"/>
    <n v="0.2497596282697255"/>
    <s v="Profit"/>
    <x v="0"/>
    <n v="0.04"/>
    <s v="Credit Card"/>
    <s v="Retail"/>
    <s v="South-Charlie"/>
  </r>
  <r>
    <n v="1085"/>
    <x v="59"/>
    <x v="2"/>
    <x v="2"/>
    <n v="40"/>
    <x v="2"/>
    <n v="1"/>
    <n v="4083.23"/>
    <n v="4521.57"/>
    <n v="3300.7460999999998"/>
    <n v="132029.84399999998"/>
    <n v="163329.20000000001"/>
    <n v="-31299.356000000029"/>
    <n v="-0.23706273560392932"/>
    <s v="Loss"/>
    <x v="1"/>
    <n v="0.27"/>
    <s v="Bank Transfer"/>
    <s v="Retail"/>
    <s v="East-Eve"/>
  </r>
  <r>
    <n v="1085"/>
    <x v="324"/>
    <x v="2"/>
    <x v="0"/>
    <n v="45"/>
    <x v="1"/>
    <n v="1"/>
    <n v="3325.96"/>
    <n v="3781.4"/>
    <n v="2760.422"/>
    <n v="124218.98999999999"/>
    <n v="149668.20000000001"/>
    <n v="-25449.210000000021"/>
    <n v="-0.20487374756468413"/>
    <s v="Loss"/>
    <x v="0"/>
    <n v="0.27"/>
    <s v="Credit Card"/>
    <s v="Online"/>
    <s v="West-Eve"/>
  </r>
  <r>
    <n v="1085"/>
    <x v="55"/>
    <x v="1"/>
    <x v="0"/>
    <n v="45"/>
    <x v="2"/>
    <n v="1"/>
    <n v="4763.1099999999997"/>
    <n v="5119.91"/>
    <n v="3635.1360999999997"/>
    <n v="163581.12449999998"/>
    <n v="214339.94999999998"/>
    <n v="-50758.825500000006"/>
    <n v="-0.31029757042659289"/>
    <s v="Loss"/>
    <x v="0"/>
    <n v="0.28999999999999998"/>
    <s v="Cash"/>
    <s v="Retail"/>
    <s v="West-David"/>
  </r>
  <r>
    <n v="1086"/>
    <x v="151"/>
    <x v="4"/>
    <x v="0"/>
    <n v="17"/>
    <x v="3"/>
    <n v="1"/>
    <n v="4075.08"/>
    <n v="4262.21"/>
    <n v="3537.6342999999997"/>
    <n v="60139.783100000001"/>
    <n v="69276.36"/>
    <n v="-9136.5769"/>
    <n v="-0.15192234539336075"/>
    <s v="Loss"/>
    <x v="1"/>
    <n v="0.17"/>
    <s v="Cash"/>
    <s v="Online"/>
    <s v="West-Charlie"/>
  </r>
  <r>
    <n v="1086"/>
    <x v="174"/>
    <x v="0"/>
    <x v="2"/>
    <n v="3"/>
    <x v="3"/>
    <n v="1"/>
    <n v="1595.35"/>
    <n v="1625.71"/>
    <n v="1186.7683"/>
    <n v="3560.3049000000001"/>
    <n v="4786.0499999999993"/>
    <n v="-1225.7450999999992"/>
    <n v="-0.34428093504014196"/>
    <s v="Loss"/>
    <x v="1"/>
    <n v="0.27"/>
    <s v="Cash"/>
    <s v="Online"/>
    <s v="East-Bob"/>
  </r>
  <r>
    <n v="1086"/>
    <x v="16"/>
    <x v="0"/>
    <x v="3"/>
    <n v="8"/>
    <x v="1"/>
    <n v="1"/>
    <n v="1569.31"/>
    <n v="1798.02"/>
    <n v="1672.1586"/>
    <n v="13377.2688"/>
    <n v="12554.48"/>
    <n v="822.78880000000026"/>
    <n v="6.1506486286647712E-2"/>
    <s v="Profit"/>
    <x v="1"/>
    <n v="7.0000000000000007E-2"/>
    <s v="Credit Card"/>
    <s v="Online"/>
    <s v="South-Bob"/>
  </r>
  <r>
    <n v="1086"/>
    <x v="325"/>
    <x v="0"/>
    <x v="0"/>
    <n v="25"/>
    <x v="0"/>
    <n v="1"/>
    <n v="2248.71"/>
    <n v="2626.02"/>
    <n v="2415.9384"/>
    <n v="60398.46"/>
    <n v="56217.75"/>
    <n v="4180.7099999999991"/>
    <n v="6.9218817830785734E-2"/>
    <s v="Profit"/>
    <x v="1"/>
    <n v="0.08"/>
    <s v="Bank Transfer"/>
    <s v="Online"/>
    <s v="West-Bob"/>
  </r>
  <r>
    <n v="1086"/>
    <x v="300"/>
    <x v="3"/>
    <x v="3"/>
    <n v="10"/>
    <x v="1"/>
    <n v="1"/>
    <n v="2273.91"/>
    <n v="2578.8000000000002"/>
    <n v="2217.768"/>
    <n v="22177.68"/>
    <n v="22739.1"/>
    <n v="-561.41999999999825"/>
    <n v="-2.531464066575035E-2"/>
    <s v="Loss"/>
    <x v="1"/>
    <n v="0.14000000000000001"/>
    <s v="Cash"/>
    <s v="Online"/>
    <s v="South-Alice"/>
  </r>
  <r>
    <n v="1086"/>
    <x v="188"/>
    <x v="4"/>
    <x v="0"/>
    <n v="32"/>
    <x v="3"/>
    <n v="1"/>
    <n v="3743.59"/>
    <n v="4116.38"/>
    <n v="3663.5782000000004"/>
    <n v="117234.50240000001"/>
    <n v="119794.88"/>
    <n v="-2560.3775999999925"/>
    <n v="-2.1839795858595228E-2"/>
    <s v="Loss"/>
    <x v="0"/>
    <n v="0.11"/>
    <s v="Cash"/>
    <s v="Online"/>
    <s v="West-Charlie"/>
  </r>
  <r>
    <n v="1086"/>
    <x v="326"/>
    <x v="1"/>
    <x v="1"/>
    <n v="28"/>
    <x v="0"/>
    <n v="1"/>
    <n v="2564.35"/>
    <n v="2765.79"/>
    <n v="2295.6057000000001"/>
    <n v="64276.959599999995"/>
    <n v="71801.8"/>
    <n v="-7524.8404000000082"/>
    <n v="-0.11706901581573888"/>
    <s v="Loss"/>
    <x v="0"/>
    <n v="0.17"/>
    <s v="Credit Card"/>
    <s v="Online"/>
    <s v="North-David"/>
  </r>
  <r>
    <n v="1086"/>
    <x v="115"/>
    <x v="3"/>
    <x v="2"/>
    <n v="48"/>
    <x v="0"/>
    <n v="1"/>
    <n v="2632.58"/>
    <n v="2926.68"/>
    <n v="2516.9447999999998"/>
    <n v="120813.35039999998"/>
    <n v="126363.84"/>
    <n v="-5550.4896000000153"/>
    <n v="-4.5942684162163724E-2"/>
    <s v="Loss"/>
    <x v="0"/>
    <n v="0.14000000000000001"/>
    <s v="Cash"/>
    <s v="Online"/>
    <s v="East-Alice"/>
  </r>
  <r>
    <n v="1086"/>
    <x v="276"/>
    <x v="0"/>
    <x v="1"/>
    <n v="17"/>
    <x v="0"/>
    <n v="1"/>
    <n v="1057.27"/>
    <n v="1366.62"/>
    <n v="1079.6297999999999"/>
    <n v="18353.706599999998"/>
    <n v="17973.59"/>
    <n v="380.11659999999756"/>
    <n v="2.0710617658015608E-2"/>
    <s v="Profit"/>
    <x v="1"/>
    <n v="0.21"/>
    <s v="Credit Card"/>
    <s v="Retail"/>
    <s v="North-Bob"/>
  </r>
  <r>
    <n v="1086"/>
    <x v="21"/>
    <x v="1"/>
    <x v="3"/>
    <n v="32"/>
    <x v="1"/>
    <n v="1"/>
    <n v="84.86"/>
    <n v="517.17999999999995"/>
    <n v="413.74399999999997"/>
    <n v="13239.807999999999"/>
    <n v="2715.52"/>
    <n v="10524.287999999999"/>
    <n v="0.79489732781623412"/>
    <s v="Profit"/>
    <x v="0"/>
    <n v="0.2"/>
    <s v="Credit Card"/>
    <s v="Retail"/>
    <s v="South-David"/>
  </r>
  <r>
    <n v="1086"/>
    <x v="327"/>
    <x v="0"/>
    <x v="0"/>
    <n v="5"/>
    <x v="3"/>
    <n v="1"/>
    <n v="4934.1000000000004"/>
    <n v="5191.0200000000004"/>
    <n v="3633.7139999999999"/>
    <n v="18168.57"/>
    <n v="24670.5"/>
    <n v="-6501.93"/>
    <n v="-0.35786690972377022"/>
    <s v="Loss"/>
    <x v="1"/>
    <n v="0.3"/>
    <s v="Bank Transfer"/>
    <s v="Online"/>
    <s v="West-Bob"/>
  </r>
  <r>
    <n v="1086"/>
    <x v="301"/>
    <x v="0"/>
    <x v="0"/>
    <n v="46"/>
    <x v="1"/>
    <n v="1"/>
    <n v="83.86"/>
    <n v="526.14"/>
    <n v="468.26459999999997"/>
    <n v="21540.171599999998"/>
    <n v="3857.56"/>
    <n v="17682.611599999997"/>
    <n v="0.82091321872291856"/>
    <s v="Profit"/>
    <x v="0"/>
    <n v="0.11"/>
    <s v="Credit Card"/>
    <s v="Online"/>
    <s v="West-Bob"/>
  </r>
  <r>
    <n v="1086"/>
    <x v="24"/>
    <x v="0"/>
    <x v="0"/>
    <n v="7"/>
    <x v="0"/>
    <n v="1"/>
    <n v="737.9"/>
    <n v="1182"/>
    <n v="910.14"/>
    <n v="6370.9800000000005"/>
    <n v="5165.3"/>
    <n v="1205.6800000000003"/>
    <n v="0.18924561056540756"/>
    <s v="Profit"/>
    <x v="1"/>
    <n v="0.23"/>
    <s v="Credit Card"/>
    <s v="Retail"/>
    <s v="West-Bob"/>
  </r>
  <r>
    <n v="1086"/>
    <x v="210"/>
    <x v="0"/>
    <x v="1"/>
    <n v="46"/>
    <x v="2"/>
    <n v="1"/>
    <n v="2245.64"/>
    <n v="2260.81"/>
    <n v="2260.81"/>
    <n v="103997.26"/>
    <n v="103299.43999999999"/>
    <n v="697.82000000000698"/>
    <n v="6.7099844745910327E-3"/>
    <s v="Profit"/>
    <x v="1"/>
    <n v="0"/>
    <s v="Cash"/>
    <s v="Retail"/>
    <s v="North-Bob"/>
  </r>
  <r>
    <n v="1086"/>
    <x v="35"/>
    <x v="3"/>
    <x v="3"/>
    <n v="33"/>
    <x v="2"/>
    <n v="1"/>
    <n v="3419.33"/>
    <n v="3890.36"/>
    <n v="3073.3844000000004"/>
    <n v="101421.68520000001"/>
    <n v="112837.89"/>
    <n v="-11416.204799999992"/>
    <n v="-0.11256177391933132"/>
    <s v="Loss"/>
    <x v="0"/>
    <n v="0.21"/>
    <s v="Cash"/>
    <s v="Retail"/>
    <s v="South-Alice"/>
  </r>
  <r>
    <n v="1087"/>
    <x v="192"/>
    <x v="4"/>
    <x v="2"/>
    <n v="20"/>
    <x v="1"/>
    <n v="1"/>
    <n v="3625.94"/>
    <n v="3880.53"/>
    <n v="2949.2028"/>
    <n v="58984.056000000004"/>
    <n v="72518.8"/>
    <n v="-13534.743999999999"/>
    <n v="-0.22946445052880049"/>
    <s v="Loss"/>
    <x v="1"/>
    <n v="0.24"/>
    <s v="Bank Transfer"/>
    <s v="Online"/>
    <s v="East-Charlie"/>
  </r>
  <r>
    <n v="1087"/>
    <x v="265"/>
    <x v="2"/>
    <x v="2"/>
    <n v="43"/>
    <x v="1"/>
    <n v="1"/>
    <n v="481"/>
    <n v="531.02"/>
    <n v="440.74659999999994"/>
    <n v="18952.103800000001"/>
    <n v="20683"/>
    <n v="-1730.8961999999992"/>
    <n v="-9.1330029545321462E-2"/>
    <s v="Loss"/>
    <x v="1"/>
    <n v="0.17"/>
    <s v="Cash"/>
    <s v="Online"/>
    <s v="East-Eve"/>
  </r>
  <r>
    <n v="1087"/>
    <x v="300"/>
    <x v="2"/>
    <x v="2"/>
    <n v="30"/>
    <x v="3"/>
    <n v="1"/>
    <n v="698.74"/>
    <n v="882.28"/>
    <n v="749.93799999999999"/>
    <n v="22498.139999999996"/>
    <n v="20962.2"/>
    <n v="1535.9399999999951"/>
    <n v="6.8269643623872694E-2"/>
    <s v="Profit"/>
    <x v="0"/>
    <n v="0.15"/>
    <s v="Credit Card"/>
    <s v="Online"/>
    <s v="East-Eve"/>
  </r>
  <r>
    <n v="1087"/>
    <x v="290"/>
    <x v="2"/>
    <x v="3"/>
    <n v="46"/>
    <x v="1"/>
    <n v="1"/>
    <n v="3702.51"/>
    <n v="3964.65"/>
    <n v="3488.8920000000003"/>
    <n v="160489.03200000001"/>
    <n v="170315.46000000002"/>
    <n v="-9826.4280000000144"/>
    <n v="-6.1228034573727219E-2"/>
    <s v="Loss"/>
    <x v="1"/>
    <n v="0.12"/>
    <s v="Bank Transfer"/>
    <s v="Online"/>
    <s v="South-Eve"/>
  </r>
  <r>
    <n v="1087"/>
    <x v="48"/>
    <x v="4"/>
    <x v="1"/>
    <n v="20"/>
    <x v="2"/>
    <n v="1"/>
    <n v="193.27"/>
    <n v="297.69"/>
    <n v="232.19820000000001"/>
    <n v="4643.9639999999999"/>
    <n v="3865.4"/>
    <n v="778.56399999999985"/>
    <n v="0.16765073975594985"/>
    <s v="Profit"/>
    <x v="1"/>
    <n v="0.22"/>
    <s v="Cash"/>
    <s v="Online"/>
    <s v="North-Charlie"/>
  </r>
  <r>
    <n v="1087"/>
    <x v="104"/>
    <x v="4"/>
    <x v="1"/>
    <n v="21"/>
    <x v="0"/>
    <n v="1"/>
    <n v="3724.38"/>
    <n v="3988.7"/>
    <n v="3869.0389999999998"/>
    <n v="81249.818999999989"/>
    <n v="78211.98"/>
    <n v="3037.8389999999927"/>
    <n v="3.7388870983207888E-2"/>
    <s v="Profit"/>
    <x v="1"/>
    <n v="0.03"/>
    <s v="Bank Transfer"/>
    <s v="Retail"/>
    <s v="North-Charlie"/>
  </r>
  <r>
    <n v="1087"/>
    <x v="9"/>
    <x v="4"/>
    <x v="0"/>
    <n v="10"/>
    <x v="3"/>
    <n v="1"/>
    <n v="3988.52"/>
    <n v="4240.2299999999996"/>
    <n v="4028.2184999999995"/>
    <n v="40282.18499999999"/>
    <n v="39885.199999999997"/>
    <n v="396.98499999999331"/>
    <n v="9.8551009584011747E-3"/>
    <s v="Profit"/>
    <x v="1"/>
    <n v="0.05"/>
    <s v="Credit Card"/>
    <s v="Online"/>
    <s v="West-Charlie"/>
  </r>
  <r>
    <n v="1087"/>
    <x v="190"/>
    <x v="0"/>
    <x v="2"/>
    <n v="28"/>
    <x v="2"/>
    <n v="1"/>
    <n v="551.83000000000004"/>
    <n v="569.63"/>
    <n v="495.57810000000001"/>
    <n v="13876.186799999999"/>
    <n v="15451.240000000002"/>
    <n v="-1575.0532000000021"/>
    <n v="-0.11350763885651945"/>
    <s v="Loss"/>
    <x v="1"/>
    <n v="0.13"/>
    <s v="Credit Card"/>
    <s v="Retail"/>
    <s v="East-Bob"/>
  </r>
  <r>
    <n v="1087"/>
    <x v="328"/>
    <x v="2"/>
    <x v="1"/>
    <n v="27"/>
    <x v="0"/>
    <n v="1"/>
    <n v="3139.36"/>
    <n v="3423.66"/>
    <n v="2807.4012000000002"/>
    <n v="75799.832399999999"/>
    <n v="84762.72"/>
    <n v="-8962.8876000000018"/>
    <n v="-0.11824416118365985"/>
    <s v="Loss"/>
    <x v="1"/>
    <n v="0.18"/>
    <s v="Credit Card"/>
    <s v="Online"/>
    <s v="North-Eve"/>
  </r>
  <r>
    <n v="1087"/>
    <x v="68"/>
    <x v="3"/>
    <x v="0"/>
    <n v="15"/>
    <x v="1"/>
    <n v="1"/>
    <n v="4074.66"/>
    <n v="4261.1099999999997"/>
    <n v="4048.0544999999993"/>
    <n v="60720.81749999999"/>
    <n v="61119.899999999994"/>
    <n v="-399.08250000000407"/>
    <n v="-6.5724164533852688E-3"/>
    <s v="Loss"/>
    <x v="0"/>
    <n v="0.05"/>
    <s v="Credit Card"/>
    <s v="Retail"/>
    <s v="West-Alice"/>
  </r>
  <r>
    <n v="1088"/>
    <x v="319"/>
    <x v="0"/>
    <x v="2"/>
    <n v="40"/>
    <x v="3"/>
    <n v="1"/>
    <n v="4904.93"/>
    <n v="5034.3500000000004"/>
    <n v="4530.9150000000009"/>
    <n v="181236.6"/>
    <n v="196197.2"/>
    <n v="-14960.600000000006"/>
    <n v="-8.2547344189860136E-2"/>
    <s v="Loss"/>
    <x v="1"/>
    <n v="0.1"/>
    <s v="Credit Card"/>
    <s v="Retail"/>
    <s v="East-Bob"/>
  </r>
  <r>
    <n v="1088"/>
    <x v="57"/>
    <x v="1"/>
    <x v="3"/>
    <n v="8"/>
    <x v="0"/>
    <n v="1"/>
    <n v="1786.35"/>
    <n v="1935.29"/>
    <n v="1857.8783999999998"/>
    <n v="14863.027199999999"/>
    <n v="14290.8"/>
    <n v="572.22719999999936"/>
    <n v="3.8500043921066054E-2"/>
    <s v="Profit"/>
    <x v="1"/>
    <n v="0.04"/>
    <s v="Cash"/>
    <s v="Online"/>
    <s v="South-David"/>
  </r>
  <r>
    <n v="1088"/>
    <x v="241"/>
    <x v="3"/>
    <x v="3"/>
    <n v="11"/>
    <x v="0"/>
    <n v="1"/>
    <n v="3884.13"/>
    <n v="3915.41"/>
    <n v="3837.1017999999999"/>
    <n v="42208.119799999993"/>
    <n v="42725.43"/>
    <n v="-517.31020000000717"/>
    <n v="-1.2256177305486306E-2"/>
    <s v="Loss"/>
    <x v="0"/>
    <n v="0.02"/>
    <s v="Cash"/>
    <s v="Online"/>
    <s v="South-Alice"/>
  </r>
  <r>
    <n v="1088"/>
    <x v="123"/>
    <x v="2"/>
    <x v="1"/>
    <n v="13"/>
    <x v="1"/>
    <n v="1"/>
    <n v="2440.11"/>
    <n v="2517.6"/>
    <n v="1938.5519999999999"/>
    <n v="25201.175999999999"/>
    <n v="31721.43"/>
    <n v="-6520.2540000000008"/>
    <n v="-0.25872816411424615"/>
    <s v="Loss"/>
    <x v="1"/>
    <n v="0.23"/>
    <s v="Bank Transfer"/>
    <s v="Retail"/>
    <s v="North-Eve"/>
  </r>
  <r>
    <n v="1088"/>
    <x v="284"/>
    <x v="2"/>
    <x v="0"/>
    <n v="16"/>
    <x v="1"/>
    <n v="1"/>
    <n v="3016.9"/>
    <n v="3040.73"/>
    <n v="2250.1401999999998"/>
    <n v="36002.243199999997"/>
    <n v="48270.400000000001"/>
    <n v="-12268.156800000004"/>
    <n v="-0.34076090014302235"/>
    <s v="Loss"/>
    <x v="1"/>
    <n v="0.26"/>
    <s v="Bank Transfer"/>
    <s v="Retail"/>
    <s v="West-Eve"/>
  </r>
  <r>
    <n v="1088"/>
    <x v="202"/>
    <x v="3"/>
    <x v="2"/>
    <n v="20"/>
    <x v="2"/>
    <n v="1"/>
    <n v="4590.24"/>
    <n v="5088.28"/>
    <n v="4274.1551999999992"/>
    <n v="85483.103999999992"/>
    <n v="91804.799999999988"/>
    <n v="-6321.6959999999963"/>
    <n v="-7.3952578979818009E-2"/>
    <s v="Loss"/>
    <x v="1"/>
    <n v="0.16"/>
    <s v="Bank Transfer"/>
    <s v="Retail"/>
    <s v="East-Alice"/>
  </r>
  <r>
    <n v="1088"/>
    <x v="83"/>
    <x v="4"/>
    <x v="2"/>
    <n v="29"/>
    <x v="1"/>
    <n v="1"/>
    <n v="639.58000000000004"/>
    <n v="1107.45"/>
    <n v="786.28949999999998"/>
    <n v="22802.395500000002"/>
    <n v="18547.82"/>
    <n v="4254.5755000000026"/>
    <n v="0.18658458493977101"/>
    <s v="Profit"/>
    <x v="1"/>
    <n v="0.28999999999999998"/>
    <s v="Cash"/>
    <s v="Retail"/>
    <s v="East-Charlie"/>
  </r>
  <r>
    <n v="1088"/>
    <x v="252"/>
    <x v="2"/>
    <x v="1"/>
    <n v="12"/>
    <x v="2"/>
    <n v="1"/>
    <n v="4389.24"/>
    <n v="4856.22"/>
    <n v="4127.7870000000003"/>
    <n v="49533.443999999996"/>
    <n v="52670.879999999997"/>
    <n v="-3137.4360000000015"/>
    <n v="-6.3339750815630785E-2"/>
    <s v="Loss"/>
    <x v="0"/>
    <n v="0.15"/>
    <s v="Cash"/>
    <s v="Retail"/>
    <s v="North-Eve"/>
  </r>
  <r>
    <n v="1088"/>
    <x v="255"/>
    <x v="2"/>
    <x v="2"/>
    <n v="1"/>
    <x v="1"/>
    <n v="1"/>
    <n v="4384.6400000000003"/>
    <n v="4693.8999999999996"/>
    <n v="4036.7539999999995"/>
    <n v="4036.7539999999995"/>
    <n v="4384.6400000000003"/>
    <n v="-347.88600000000088"/>
    <n v="-8.6179638392629557E-2"/>
    <s v="Loss"/>
    <x v="1"/>
    <n v="0.14000000000000001"/>
    <s v="Cash"/>
    <s v="Retail"/>
    <s v="East-Eve"/>
  </r>
  <r>
    <n v="1089"/>
    <x v="70"/>
    <x v="4"/>
    <x v="1"/>
    <n v="35"/>
    <x v="2"/>
    <n v="1"/>
    <n v="4071.01"/>
    <n v="4304.7"/>
    <n v="3702.0419999999999"/>
    <n v="129571.47"/>
    <n v="142485.35"/>
    <n v="-12913.880000000005"/>
    <n v="-9.9666076181739741E-2"/>
    <s v="Loss"/>
    <x v="1"/>
    <n v="0.14000000000000001"/>
    <s v="Credit Card"/>
    <s v="Online"/>
    <s v="North-Charlie"/>
  </r>
  <r>
    <n v="1089"/>
    <x v="64"/>
    <x v="4"/>
    <x v="1"/>
    <n v="4"/>
    <x v="1"/>
    <n v="1"/>
    <n v="4117.67"/>
    <n v="4280.0600000000004"/>
    <n v="3509.6492000000007"/>
    <n v="14038.596800000003"/>
    <n v="16470.68"/>
    <n v="-2432.0831999999973"/>
    <n v="-0.17324261353527845"/>
    <s v="Loss"/>
    <x v="0"/>
    <n v="0.18"/>
    <s v="Bank Transfer"/>
    <s v="Online"/>
    <s v="North-Charlie"/>
  </r>
  <r>
    <n v="1089"/>
    <x v="281"/>
    <x v="0"/>
    <x v="0"/>
    <n v="47"/>
    <x v="1"/>
    <n v="1"/>
    <n v="4157.62"/>
    <n v="4314.5600000000004"/>
    <n v="3581.0848000000001"/>
    <n v="168310.98559999999"/>
    <n v="195408.13999999998"/>
    <n v="-27097.154399999999"/>
    <n v="-0.16099456790299968"/>
    <s v="Loss"/>
    <x v="1"/>
    <n v="0.17"/>
    <s v="Bank Transfer"/>
    <s v="Retail"/>
    <s v="West-Bob"/>
  </r>
  <r>
    <n v="1089"/>
    <x v="48"/>
    <x v="0"/>
    <x v="0"/>
    <n v="40"/>
    <x v="1"/>
    <n v="1"/>
    <n v="4089.66"/>
    <n v="4275.96"/>
    <n v="3292.4892"/>
    <n v="131699.568"/>
    <n v="163586.4"/>
    <n v="-31886.831999999995"/>
    <n v="-0.2421179695896952"/>
    <s v="Loss"/>
    <x v="1"/>
    <n v="0.23"/>
    <s v="Credit Card"/>
    <s v="Online"/>
    <s v="West-Bob"/>
  </r>
  <r>
    <n v="1089"/>
    <x v="84"/>
    <x v="1"/>
    <x v="3"/>
    <n v="25"/>
    <x v="1"/>
    <n v="1"/>
    <n v="3512.69"/>
    <n v="3964.63"/>
    <n v="3845.6911"/>
    <n v="96142.277499999997"/>
    <n v="87817.25"/>
    <n v="8325.0274999999965"/>
    <n v="8.6590704073969918E-2"/>
    <s v="Profit"/>
    <x v="0"/>
    <n v="0.03"/>
    <s v="Credit Card"/>
    <s v="Retail"/>
    <s v="South-David"/>
  </r>
  <r>
    <n v="1089"/>
    <x v="28"/>
    <x v="4"/>
    <x v="1"/>
    <n v="31"/>
    <x v="2"/>
    <n v="1"/>
    <n v="845.14"/>
    <n v="1001.77"/>
    <n v="971.71690000000001"/>
    <n v="30123.223899999997"/>
    <n v="26199.34"/>
    <n v="3923.8838999999971"/>
    <n v="0.13026108735990896"/>
    <s v="Profit"/>
    <x v="1"/>
    <n v="0.03"/>
    <s v="Cash"/>
    <s v="Online"/>
    <s v="North-Charlie"/>
  </r>
  <r>
    <n v="1089"/>
    <x v="284"/>
    <x v="1"/>
    <x v="1"/>
    <n v="15"/>
    <x v="0"/>
    <n v="1"/>
    <n v="3841.05"/>
    <n v="4323.62"/>
    <n v="3069.7701999999999"/>
    <n v="46046.552999999993"/>
    <n v="57615.75"/>
    <n v="-11569.197000000007"/>
    <n v="-0.25125001213445902"/>
    <s v="Loss"/>
    <x v="0"/>
    <n v="0.28999999999999998"/>
    <s v="Credit Card"/>
    <s v="Retail"/>
    <s v="North-David"/>
  </r>
  <r>
    <n v="1089"/>
    <x v="256"/>
    <x v="2"/>
    <x v="0"/>
    <n v="23"/>
    <x v="0"/>
    <n v="1"/>
    <n v="2120.54"/>
    <n v="2597.67"/>
    <n v="1922.2758000000001"/>
    <n v="44212.343400000005"/>
    <n v="48772.42"/>
    <n v="-4560.0765999999931"/>
    <n v="-0.10314035061982244"/>
    <s v="Loss"/>
    <x v="0"/>
    <n v="0.26"/>
    <s v="Credit Card"/>
    <s v="Retail"/>
    <s v="West-Eve"/>
  </r>
  <r>
    <n v="1089"/>
    <x v="312"/>
    <x v="2"/>
    <x v="1"/>
    <n v="4"/>
    <x v="1"/>
    <n v="1"/>
    <n v="4231.75"/>
    <n v="4727.75"/>
    <n v="4160.42"/>
    <n v="16641.68"/>
    <n v="16927"/>
    <n v="-285.31999999999971"/>
    <n v="-1.7144903639536375E-2"/>
    <s v="Loss"/>
    <x v="0"/>
    <n v="0.12"/>
    <s v="Credit Card"/>
    <s v="Retail"/>
    <s v="North-Eve"/>
  </r>
  <r>
    <n v="1089"/>
    <x v="50"/>
    <x v="0"/>
    <x v="3"/>
    <n v="48"/>
    <x v="0"/>
    <n v="1"/>
    <n v="2246.67"/>
    <n v="2486.14"/>
    <n v="2411.5557999999996"/>
    <n v="115754.6784"/>
    <n v="107840.16"/>
    <n v="7914.5184000000008"/>
    <n v="6.8373205380526547E-2"/>
    <s v="Profit"/>
    <x v="1"/>
    <n v="0.03"/>
    <s v="Cash"/>
    <s v="Retail"/>
    <s v="South-Bob"/>
  </r>
  <r>
    <n v="1089"/>
    <x v="53"/>
    <x v="2"/>
    <x v="3"/>
    <n v="32"/>
    <x v="2"/>
    <n v="1"/>
    <n v="4248.5"/>
    <n v="4706.7"/>
    <n v="4659.6329999999998"/>
    <n v="149108.25599999999"/>
    <n v="135952"/>
    <n v="13156.255999999994"/>
    <n v="8.8232914480603913E-2"/>
    <s v="Profit"/>
    <x v="1"/>
    <n v="0.01"/>
    <s v="Bank Transfer"/>
    <s v="Retail"/>
    <s v="South-Eve"/>
  </r>
  <r>
    <n v="1089"/>
    <x v="131"/>
    <x v="2"/>
    <x v="1"/>
    <n v="35"/>
    <x v="1"/>
    <n v="1"/>
    <n v="3925.85"/>
    <n v="4082.11"/>
    <n v="3184.0458000000003"/>
    <n v="111441.603"/>
    <n v="137404.75"/>
    <n v="-25963.146999999997"/>
    <n v="-0.23297535481430573"/>
    <s v="Loss"/>
    <x v="1"/>
    <n v="0.22"/>
    <s v="Cash"/>
    <s v="Online"/>
    <s v="North-Eve"/>
  </r>
  <r>
    <n v="1089"/>
    <x v="328"/>
    <x v="1"/>
    <x v="1"/>
    <n v="43"/>
    <x v="1"/>
    <n v="1"/>
    <n v="3851.45"/>
    <n v="4186.9799999999996"/>
    <n v="2930.8859999999995"/>
    <n v="126028.09799999998"/>
    <n v="165612.35"/>
    <n v="-39584.252000000022"/>
    <n v="-0.3140906879353208"/>
    <s v="Loss"/>
    <x v="0"/>
    <n v="0.3"/>
    <s v="Credit Card"/>
    <s v="Online"/>
    <s v="North-David"/>
  </r>
  <r>
    <n v="1089"/>
    <x v="54"/>
    <x v="1"/>
    <x v="0"/>
    <n v="8"/>
    <x v="1"/>
    <n v="1"/>
    <n v="4349.34"/>
    <n v="4629.9799999999996"/>
    <n v="4583.6801999999998"/>
    <n v="36669.441599999998"/>
    <n v="34794.720000000001"/>
    <n v="1874.7215999999971"/>
    <n v="5.1124901776524387E-2"/>
    <s v="Profit"/>
    <x v="0"/>
    <n v="0.01"/>
    <s v="Credit Card"/>
    <s v="Online"/>
    <s v="West-David"/>
  </r>
  <r>
    <n v="1090"/>
    <x v="191"/>
    <x v="1"/>
    <x v="1"/>
    <n v="31"/>
    <x v="1"/>
    <n v="1"/>
    <n v="4496.8599999999997"/>
    <n v="4880.8"/>
    <n v="4587.9520000000002"/>
    <n v="142226.51200000002"/>
    <n v="139402.66"/>
    <n v="2823.8520000000135"/>
    <n v="1.9854610510310577E-2"/>
    <s v="Profit"/>
    <x v="1"/>
    <n v="0.06"/>
    <s v="Cash"/>
    <s v="Retail"/>
    <s v="North-David"/>
  </r>
  <r>
    <n v="1090"/>
    <x v="127"/>
    <x v="2"/>
    <x v="1"/>
    <n v="41"/>
    <x v="1"/>
    <n v="1"/>
    <n v="2055.4899999999998"/>
    <n v="2441.46"/>
    <n v="1855.5096000000001"/>
    <n v="76075.893599999996"/>
    <n v="84275.09"/>
    <n v="-8199.1964000000007"/>
    <n v="-0.10777653750753972"/>
    <s v="Loss"/>
    <x v="1"/>
    <n v="0.24"/>
    <s v="Credit Card"/>
    <s v="Online"/>
    <s v="North-Eve"/>
  </r>
  <r>
    <n v="1090"/>
    <x v="127"/>
    <x v="1"/>
    <x v="3"/>
    <n v="47"/>
    <x v="1"/>
    <n v="1"/>
    <n v="85.35"/>
    <n v="360.54"/>
    <n v="259.58879999999999"/>
    <n v="12200.6736"/>
    <n v="4011.45"/>
    <n v="8189.2236000000003"/>
    <n v="0.67121077642795068"/>
    <s v="Profit"/>
    <x v="1"/>
    <n v="0.28000000000000003"/>
    <s v="Cash"/>
    <s v="Online"/>
    <s v="South-David"/>
  </r>
  <r>
    <n v="1090"/>
    <x v="16"/>
    <x v="2"/>
    <x v="1"/>
    <n v="14"/>
    <x v="1"/>
    <n v="1"/>
    <n v="4037.21"/>
    <n v="4323.71"/>
    <n v="3156.3083000000001"/>
    <n v="44188.316200000001"/>
    <n v="56520.94"/>
    <n v="-12332.623800000001"/>
    <n v="-0.27909241312073352"/>
    <s v="Loss"/>
    <x v="0"/>
    <n v="0.27"/>
    <s v="Credit Card"/>
    <s v="Online"/>
    <s v="North-Eve"/>
  </r>
  <r>
    <n v="1090"/>
    <x v="120"/>
    <x v="4"/>
    <x v="1"/>
    <n v="44"/>
    <x v="2"/>
    <n v="1"/>
    <n v="3542.18"/>
    <n v="3578.49"/>
    <n v="3149.0711999999999"/>
    <n v="138559.13279999999"/>
    <n v="155855.91999999998"/>
    <n v="-17296.787199999992"/>
    <n v="-0.1248332524205867"/>
    <s v="Loss"/>
    <x v="0"/>
    <n v="0.12"/>
    <s v="Cash"/>
    <s v="Online"/>
    <s v="North-Charlie"/>
  </r>
  <r>
    <n v="1090"/>
    <x v="152"/>
    <x v="3"/>
    <x v="1"/>
    <n v="16"/>
    <x v="2"/>
    <n v="1"/>
    <n v="2183.37"/>
    <n v="2263.36"/>
    <n v="2263.36"/>
    <n v="36213.760000000002"/>
    <n v="34933.919999999998"/>
    <n v="1279.8400000000038"/>
    <n v="3.5341262547716773E-2"/>
    <s v="Profit"/>
    <x v="0"/>
    <n v="0"/>
    <s v="Bank Transfer"/>
    <s v="Retail"/>
    <s v="North-Alice"/>
  </r>
  <r>
    <n v="1090"/>
    <x v="94"/>
    <x v="3"/>
    <x v="2"/>
    <n v="17"/>
    <x v="2"/>
    <n v="1"/>
    <n v="2382.98"/>
    <n v="2839.73"/>
    <n v="2186.5920999999998"/>
    <n v="37172.065700000006"/>
    <n v="40510.660000000003"/>
    <n v="-3338.594299999997"/>
    <n v="-8.9814602366851959E-2"/>
    <s v="Loss"/>
    <x v="0"/>
    <n v="0.23"/>
    <s v="Bank Transfer"/>
    <s v="Retail"/>
    <s v="East-Alice"/>
  </r>
  <r>
    <n v="1090"/>
    <x v="163"/>
    <x v="1"/>
    <x v="2"/>
    <n v="47"/>
    <x v="1"/>
    <n v="1"/>
    <n v="2310.8200000000002"/>
    <n v="2714.71"/>
    <n v="2198.9151000000002"/>
    <n v="103349.00970000001"/>
    <n v="108608.54000000001"/>
    <n v="-5259.5302999999985"/>
    <n v="-5.0890959819230835E-2"/>
    <s v="Loss"/>
    <x v="1"/>
    <n v="0.19"/>
    <s v="Cash"/>
    <s v="Retail"/>
    <s v="East-David"/>
  </r>
  <r>
    <n v="1090"/>
    <x v="10"/>
    <x v="4"/>
    <x v="0"/>
    <n v="47"/>
    <x v="2"/>
    <n v="1"/>
    <n v="2357.9499999999998"/>
    <n v="2693.33"/>
    <n v="2208.5306"/>
    <n v="103800.9382"/>
    <n v="110823.65"/>
    <n v="-7022.71179999999"/>
    <n v="-6.7655571537020939E-2"/>
    <s v="Loss"/>
    <x v="1"/>
    <n v="0.18"/>
    <s v="Bank Transfer"/>
    <s v="Online"/>
    <s v="West-Charlie"/>
  </r>
  <r>
    <n v="1090"/>
    <x v="11"/>
    <x v="0"/>
    <x v="2"/>
    <n v="1"/>
    <x v="2"/>
    <n v="1"/>
    <n v="60.28"/>
    <n v="260.73"/>
    <n v="216.4059"/>
    <n v="216.4059"/>
    <n v="60.28"/>
    <n v="156.1259"/>
    <n v="0.72144936898670509"/>
    <s v="Profit"/>
    <x v="0"/>
    <n v="0.17"/>
    <s v="Cash"/>
    <s v="Online"/>
    <s v="East-Bob"/>
  </r>
  <r>
    <n v="1090"/>
    <x v="184"/>
    <x v="4"/>
    <x v="3"/>
    <n v="48"/>
    <x v="3"/>
    <n v="1"/>
    <n v="4766.53"/>
    <n v="5253.07"/>
    <n v="5200.5392999999995"/>
    <n v="249625.88639999999"/>
    <n v="228793.44"/>
    <n v="20832.446399999986"/>
    <n v="8.3454671710681952E-2"/>
    <s v="Profit"/>
    <x v="0"/>
    <n v="0.01"/>
    <s v="Bank Transfer"/>
    <s v="Online"/>
    <s v="South-Charlie"/>
  </r>
  <r>
    <n v="1090"/>
    <x v="28"/>
    <x v="1"/>
    <x v="1"/>
    <n v="14"/>
    <x v="3"/>
    <n v="1"/>
    <n v="1350.47"/>
    <n v="1514.61"/>
    <n v="1211.6879999999999"/>
    <n v="16963.631999999998"/>
    <n v="18906.580000000002"/>
    <n v="-1942.948000000004"/>
    <n v="-0.1145360851968496"/>
    <s v="Loss"/>
    <x v="1"/>
    <n v="0.2"/>
    <s v="Credit Card"/>
    <s v="Retail"/>
    <s v="North-David"/>
  </r>
  <r>
    <n v="1090"/>
    <x v="293"/>
    <x v="4"/>
    <x v="0"/>
    <n v="10"/>
    <x v="1"/>
    <n v="1"/>
    <n v="2387.63"/>
    <n v="2438.9699999999998"/>
    <n v="2390.1905999999999"/>
    <n v="23901.905999999995"/>
    <n v="23876.300000000003"/>
    <n v="25.605999999992491"/>
    <n v="1.0712953184567162E-3"/>
    <s v="Profit"/>
    <x v="0"/>
    <n v="0.02"/>
    <s v="Bank Transfer"/>
    <s v="Retail"/>
    <s v="West-Charlie"/>
  </r>
  <r>
    <n v="1090"/>
    <x v="329"/>
    <x v="0"/>
    <x v="0"/>
    <n v="31"/>
    <x v="2"/>
    <n v="1"/>
    <n v="2347.81"/>
    <n v="2668.02"/>
    <n v="2427.8982000000001"/>
    <n v="75264.844199999992"/>
    <n v="72782.11"/>
    <n v="2482.7341999999917"/>
    <n v="3.2986638401890055E-2"/>
    <s v="Profit"/>
    <x v="0"/>
    <n v="0.09"/>
    <s v="Bank Transfer"/>
    <s v="Retail"/>
    <s v="West-Bob"/>
  </r>
  <r>
    <n v="1090"/>
    <x v="99"/>
    <x v="3"/>
    <x v="0"/>
    <n v="32"/>
    <x v="3"/>
    <n v="1"/>
    <n v="2678.99"/>
    <n v="3152.28"/>
    <n v="2458.7784000000001"/>
    <n v="78680.908800000005"/>
    <n v="85727.679999999993"/>
    <n v="-7046.7711999999883"/>
    <n v="-8.9561385442461838E-2"/>
    <s v="Loss"/>
    <x v="0"/>
    <n v="0.22"/>
    <s v="Cash"/>
    <s v="Retail"/>
    <s v="West-Alice"/>
  </r>
  <r>
    <n v="1090"/>
    <x v="83"/>
    <x v="1"/>
    <x v="0"/>
    <n v="35"/>
    <x v="3"/>
    <n v="1"/>
    <n v="1130.5999999999999"/>
    <n v="1466.18"/>
    <n v="1275.5766000000001"/>
    <n v="44645.181000000004"/>
    <n v="39571"/>
    <n v="5074.1810000000041"/>
    <n v="0.11365573811874576"/>
    <s v="Profit"/>
    <x v="0"/>
    <n v="0.13"/>
    <s v="Cash"/>
    <s v="Online"/>
    <s v="West-David"/>
  </r>
  <r>
    <n v="1090"/>
    <x v="91"/>
    <x v="4"/>
    <x v="3"/>
    <n v="17"/>
    <x v="2"/>
    <n v="1"/>
    <n v="4190.26"/>
    <n v="4645.3500000000004"/>
    <n v="4087.9080000000004"/>
    <n v="69494.436000000016"/>
    <n v="71234.42"/>
    <n v="-1739.9839999999822"/>
    <n v="-2.5037745467852732E-2"/>
    <s v="Loss"/>
    <x v="1"/>
    <n v="0.12"/>
    <s v="Credit Card"/>
    <s v="Retail"/>
    <s v="South-Charlie"/>
  </r>
  <r>
    <n v="1090"/>
    <x v="61"/>
    <x v="2"/>
    <x v="1"/>
    <n v="11"/>
    <x v="3"/>
    <n v="1"/>
    <n v="210.33"/>
    <n v="552.29"/>
    <n v="452.87779999999998"/>
    <n v="4981.6558000000005"/>
    <n v="2313.63"/>
    <n v="2668.0258000000003"/>
    <n v="0.53557008093574032"/>
    <s v="Profit"/>
    <x v="0"/>
    <n v="0.18"/>
    <s v="Cash"/>
    <s v="Retail"/>
    <s v="North-Eve"/>
  </r>
  <r>
    <n v="1090"/>
    <x v="43"/>
    <x v="4"/>
    <x v="1"/>
    <n v="41"/>
    <x v="2"/>
    <n v="1"/>
    <n v="3736.88"/>
    <n v="3946.77"/>
    <n v="3709.9638"/>
    <n v="152108.51579999999"/>
    <n v="153212.08000000002"/>
    <n v="-1103.5642000000225"/>
    <n v="-7.2551112223791913E-3"/>
    <s v="Loss"/>
    <x v="0"/>
    <n v="0.06"/>
    <s v="Credit Card"/>
    <s v="Online"/>
    <s v="North-Charlie"/>
  </r>
  <r>
    <n v="1090"/>
    <x v="35"/>
    <x v="2"/>
    <x v="0"/>
    <n v="46"/>
    <x v="2"/>
    <n v="1"/>
    <n v="4665.12"/>
    <n v="4675.8999999999996"/>
    <n v="3787.4789999999998"/>
    <n v="174224.03400000001"/>
    <n v="214595.52"/>
    <n v="-40371.485999999975"/>
    <n v="-0.23172168083308167"/>
    <s v="Loss"/>
    <x v="1"/>
    <n v="0.19"/>
    <s v="Cash"/>
    <s v="Retail"/>
    <s v="West-Eve"/>
  </r>
  <r>
    <n v="1091"/>
    <x v="317"/>
    <x v="2"/>
    <x v="2"/>
    <n v="15"/>
    <x v="3"/>
    <n v="1"/>
    <n v="1534.7"/>
    <n v="1972.62"/>
    <n v="1854.2627999999997"/>
    <n v="27813.941999999999"/>
    <n v="23020.5"/>
    <n v="4793.4419999999991"/>
    <n v="0.172339541083389"/>
    <s v="Profit"/>
    <x v="0"/>
    <n v="0.06"/>
    <s v="Credit Card"/>
    <s v="Retail"/>
    <s v="East-Eve"/>
  </r>
  <r>
    <n v="1091"/>
    <x v="305"/>
    <x v="4"/>
    <x v="3"/>
    <n v="44"/>
    <x v="0"/>
    <n v="1"/>
    <n v="2085.46"/>
    <n v="2406.58"/>
    <n v="2262.1851999999999"/>
    <n v="99536.148799999981"/>
    <n v="91760.24"/>
    <n v="7775.9087999999756"/>
    <n v="7.8121455307902946E-2"/>
    <s v="Profit"/>
    <x v="0"/>
    <n v="0.06"/>
    <s v="Bank Transfer"/>
    <s v="Retail"/>
    <s v="South-Charlie"/>
  </r>
  <r>
    <n v="1091"/>
    <x v="74"/>
    <x v="2"/>
    <x v="0"/>
    <n v="36"/>
    <x v="3"/>
    <n v="1"/>
    <n v="3951.59"/>
    <n v="4387.01"/>
    <n v="4079.9193"/>
    <n v="146877.09479999999"/>
    <n v="142257.24"/>
    <n v="4619.854800000001"/>
    <n v="3.1453881943204129E-2"/>
    <s v="Profit"/>
    <x v="1"/>
    <n v="7.0000000000000007E-2"/>
    <s v="Bank Transfer"/>
    <s v="Retail"/>
    <s v="West-Eve"/>
  </r>
  <r>
    <n v="1091"/>
    <x v="52"/>
    <x v="3"/>
    <x v="1"/>
    <n v="24"/>
    <x v="2"/>
    <n v="1"/>
    <n v="3639.3"/>
    <n v="3750.63"/>
    <n v="2887.9851000000003"/>
    <n v="69311.642399999997"/>
    <n v="87343.200000000012"/>
    <n v="-18031.557600000015"/>
    <n v="-0.26015193083925559"/>
    <s v="Loss"/>
    <x v="1"/>
    <n v="0.23"/>
    <s v="Bank Transfer"/>
    <s v="Retail"/>
    <s v="North-Alice"/>
  </r>
  <r>
    <n v="1091"/>
    <x v="216"/>
    <x v="0"/>
    <x v="0"/>
    <n v="39"/>
    <x v="1"/>
    <n v="1"/>
    <n v="2184.4899999999998"/>
    <n v="2540.42"/>
    <n v="1854.5065999999999"/>
    <n v="72325.757400000002"/>
    <n v="85195.109999999986"/>
    <n v="-12869.352599999984"/>
    <n v="-0.17793595342286708"/>
    <s v="Loss"/>
    <x v="0"/>
    <n v="0.27"/>
    <s v="Bank Transfer"/>
    <s v="Online"/>
    <s v="West-Bob"/>
  </r>
  <r>
    <n v="1092"/>
    <x v="89"/>
    <x v="1"/>
    <x v="2"/>
    <n v="6"/>
    <x v="2"/>
    <n v="1"/>
    <n v="422.74"/>
    <n v="737.49"/>
    <n v="597.3669000000001"/>
    <n v="3584.2014000000008"/>
    <n v="2536.44"/>
    <n v="1047.7614000000008"/>
    <n v="0.29232771350404596"/>
    <s v="Profit"/>
    <x v="0"/>
    <n v="0.19"/>
    <s v="Credit Card"/>
    <s v="Retail"/>
    <s v="East-David"/>
  </r>
  <r>
    <n v="1092"/>
    <x v="36"/>
    <x v="3"/>
    <x v="3"/>
    <n v="14"/>
    <x v="1"/>
    <n v="1"/>
    <n v="2559.65"/>
    <n v="2709.4"/>
    <n v="2411.366"/>
    <n v="33759.123999999996"/>
    <n v="35835.1"/>
    <n v="-2075.9760000000024"/>
    <n v="-6.149377572711906E-2"/>
    <s v="Loss"/>
    <x v="0"/>
    <n v="0.11"/>
    <s v="Credit Card"/>
    <s v="Retail"/>
    <s v="South-Alice"/>
  </r>
  <r>
    <n v="1092"/>
    <x v="158"/>
    <x v="1"/>
    <x v="0"/>
    <n v="34"/>
    <x v="1"/>
    <n v="1"/>
    <n v="2037.41"/>
    <n v="2238.65"/>
    <n v="1567.0550000000001"/>
    <n v="53279.87"/>
    <n v="69271.94"/>
    <n v="-15992.07"/>
    <n v="-0.30015219631729578"/>
    <s v="Loss"/>
    <x v="1"/>
    <n v="0.3"/>
    <s v="Credit Card"/>
    <s v="Online"/>
    <s v="West-David"/>
  </r>
  <r>
    <n v="1092"/>
    <x v="158"/>
    <x v="3"/>
    <x v="3"/>
    <n v="14"/>
    <x v="2"/>
    <n v="1"/>
    <n v="3586.58"/>
    <n v="4068.43"/>
    <n v="3173.3753999999999"/>
    <n v="44427.255599999997"/>
    <n v="50212.119999999995"/>
    <n v="-5784.8643999999986"/>
    <n v="-0.13020980751284578"/>
    <s v="Loss"/>
    <x v="1"/>
    <n v="0.22"/>
    <s v="Credit Card"/>
    <s v="Online"/>
    <s v="South-Alice"/>
  </r>
  <r>
    <n v="1092"/>
    <x v="176"/>
    <x v="0"/>
    <x v="2"/>
    <n v="47"/>
    <x v="1"/>
    <n v="1"/>
    <n v="3681.53"/>
    <n v="4076.96"/>
    <n v="3383.8768"/>
    <n v="159042.2096"/>
    <n v="173031.91"/>
    <n v="-13989.700400000002"/>
    <n v="-8.7962185857357461E-2"/>
    <s v="Loss"/>
    <x v="0"/>
    <n v="0.17"/>
    <s v="Cash"/>
    <s v="Retail"/>
    <s v="East-Bob"/>
  </r>
  <r>
    <n v="1092"/>
    <x v="182"/>
    <x v="2"/>
    <x v="2"/>
    <n v="33"/>
    <x v="3"/>
    <n v="1"/>
    <n v="2595.42"/>
    <n v="3083.06"/>
    <n v="2836.4151999999999"/>
    <n v="93601.7016"/>
    <n v="85648.86"/>
    <n v="7952.8415999999997"/>
    <n v="8.4964711795367617E-2"/>
    <s v="Profit"/>
    <x v="1"/>
    <n v="0.08"/>
    <s v="Credit Card"/>
    <s v="Online"/>
    <s v="East-Eve"/>
  </r>
  <r>
    <n v="1092"/>
    <x v="310"/>
    <x v="4"/>
    <x v="1"/>
    <n v="15"/>
    <x v="2"/>
    <n v="1"/>
    <n v="2273.88"/>
    <n v="2696.02"/>
    <n v="1887.2139999999999"/>
    <n v="28308.21"/>
    <n v="34108.200000000004"/>
    <n v="-5799.9900000000052"/>
    <n v="-0.20488720410085998"/>
    <s v="Loss"/>
    <x v="1"/>
    <n v="0.3"/>
    <s v="Cash"/>
    <s v="Online"/>
    <s v="North-Charlie"/>
  </r>
  <r>
    <n v="1092"/>
    <x v="11"/>
    <x v="2"/>
    <x v="2"/>
    <n v="28"/>
    <x v="2"/>
    <n v="1"/>
    <n v="3936.69"/>
    <n v="4362.51"/>
    <n v="4057.1342999999997"/>
    <n v="113599.76039999998"/>
    <n v="110227.32"/>
    <n v="3372.4403999999777"/>
    <n v="2.9687037966674955E-2"/>
    <s v="Profit"/>
    <x v="0"/>
    <n v="7.0000000000000007E-2"/>
    <s v="Credit Card"/>
    <s v="Retail"/>
    <s v="East-Eve"/>
  </r>
  <r>
    <n v="1092"/>
    <x v="207"/>
    <x v="1"/>
    <x v="2"/>
    <n v="47"/>
    <x v="3"/>
    <n v="1"/>
    <n v="3034.32"/>
    <n v="3375.79"/>
    <n v="2430.5688"/>
    <n v="114236.73359999999"/>
    <n v="142613.04"/>
    <n v="-28376.306400000016"/>
    <n v="-0.24839914015188558"/>
    <s v="Loss"/>
    <x v="1"/>
    <n v="0.28000000000000003"/>
    <s v="Credit Card"/>
    <s v="Online"/>
    <s v="East-David"/>
  </r>
  <r>
    <n v="1092"/>
    <x v="243"/>
    <x v="3"/>
    <x v="2"/>
    <n v="47"/>
    <x v="1"/>
    <n v="1"/>
    <n v="1447.45"/>
    <n v="1703.02"/>
    <n v="1498.6576"/>
    <n v="70436.907200000001"/>
    <n v="68030.150000000009"/>
    <n v="2406.7571999999927"/>
    <n v="3.4168978958235584E-2"/>
    <s v="Profit"/>
    <x v="0"/>
    <n v="0.12"/>
    <s v="Bank Transfer"/>
    <s v="Retail"/>
    <s v="East-Alice"/>
  </r>
  <r>
    <n v="1092"/>
    <x v="243"/>
    <x v="1"/>
    <x v="2"/>
    <n v="21"/>
    <x v="2"/>
    <n v="1"/>
    <n v="2792.2"/>
    <n v="3254.55"/>
    <n v="3189.4590000000003"/>
    <n v="66978.638999999996"/>
    <n v="58636.2"/>
    <n v="8342.4389999999985"/>
    <n v="0.12455372525559975"/>
    <s v="Profit"/>
    <x v="1"/>
    <n v="0.02"/>
    <s v="Credit Card"/>
    <s v="Retail"/>
    <s v="East-David"/>
  </r>
  <r>
    <n v="1092"/>
    <x v="140"/>
    <x v="4"/>
    <x v="2"/>
    <n v="40"/>
    <x v="3"/>
    <n v="1"/>
    <n v="4624.16"/>
    <n v="4731.9799999999996"/>
    <n v="3785.5839999999998"/>
    <n v="151423.35999999999"/>
    <n v="184966.39999999999"/>
    <n v="-33543.040000000008"/>
    <n v="-0.22151826508142478"/>
    <s v="Loss"/>
    <x v="1"/>
    <n v="0.2"/>
    <s v="Bank Transfer"/>
    <s v="Retail"/>
    <s v="East-Charlie"/>
  </r>
  <r>
    <n v="1092"/>
    <x v="330"/>
    <x v="1"/>
    <x v="2"/>
    <n v="29"/>
    <x v="2"/>
    <n v="1"/>
    <n v="1742.24"/>
    <n v="2070.52"/>
    <n v="1822.0576000000001"/>
    <n v="52839.670400000003"/>
    <n v="50524.959999999999"/>
    <n v="2314.7104000000036"/>
    <n v="4.3806298988572107E-2"/>
    <s v="Profit"/>
    <x v="1"/>
    <n v="0.12"/>
    <s v="Cash"/>
    <s v="Online"/>
    <s v="East-David"/>
  </r>
  <r>
    <n v="1092"/>
    <x v="209"/>
    <x v="0"/>
    <x v="3"/>
    <n v="18"/>
    <x v="0"/>
    <n v="1"/>
    <n v="3070.47"/>
    <n v="3475.29"/>
    <n v="2780.232"/>
    <n v="50044.176000000007"/>
    <n v="55268.46"/>
    <n v="-5224.2839999999924"/>
    <n v="-0.10439344630232281"/>
    <s v="Loss"/>
    <x v="0"/>
    <n v="0.2"/>
    <s v="Bank Transfer"/>
    <s v="Online"/>
    <s v="South-Bob"/>
  </r>
  <r>
    <n v="1092"/>
    <x v="51"/>
    <x v="3"/>
    <x v="0"/>
    <n v="49"/>
    <x v="1"/>
    <n v="1"/>
    <n v="2315"/>
    <n v="2467.2800000000002"/>
    <n v="2097.1880000000001"/>
    <n v="102762.21200000001"/>
    <n v="113435"/>
    <n v="-10672.787999999986"/>
    <n v="-0.10385907224340388"/>
    <s v="Loss"/>
    <x v="1"/>
    <n v="0.15"/>
    <s v="Bank Transfer"/>
    <s v="Retail"/>
    <s v="West-Alice"/>
  </r>
  <r>
    <n v="1092"/>
    <x v="52"/>
    <x v="0"/>
    <x v="2"/>
    <n v="20"/>
    <x v="0"/>
    <n v="1"/>
    <n v="668.11"/>
    <n v="803.49"/>
    <n v="634.75710000000004"/>
    <n v="12695.142"/>
    <n v="13362.2"/>
    <n v="-667.0580000000009"/>
    <n v="-5.2544351217182206E-2"/>
    <s v="Loss"/>
    <x v="1"/>
    <n v="0.21"/>
    <s v="Bank Transfer"/>
    <s v="Online"/>
    <s v="East-Bob"/>
  </r>
  <r>
    <n v="1092"/>
    <x v="132"/>
    <x v="1"/>
    <x v="0"/>
    <n v="26"/>
    <x v="1"/>
    <n v="1"/>
    <n v="3697.29"/>
    <n v="4003.96"/>
    <n v="3043.0095999999999"/>
    <n v="79118.24960000001"/>
    <n v="96129.54"/>
    <n v="-17011.290399999983"/>
    <n v="-0.21501095494407882"/>
    <s v="Loss"/>
    <x v="1"/>
    <n v="0.24"/>
    <s v="Cash"/>
    <s v="Online"/>
    <s v="West-David"/>
  </r>
  <r>
    <n v="1092"/>
    <x v="69"/>
    <x v="0"/>
    <x v="3"/>
    <n v="13"/>
    <x v="2"/>
    <n v="1"/>
    <n v="2684.5"/>
    <n v="2913.78"/>
    <n v="2680.6776000000004"/>
    <n v="34848.808799999999"/>
    <n v="34898.5"/>
    <n v="-49.691200000001118"/>
    <n v="-1.4259081360623472E-3"/>
    <s v="Loss"/>
    <x v="1"/>
    <n v="0.08"/>
    <s v="Credit Card"/>
    <s v="Retail"/>
    <s v="South-Bob"/>
  </r>
  <r>
    <n v="1092"/>
    <x v="150"/>
    <x v="2"/>
    <x v="3"/>
    <n v="47"/>
    <x v="0"/>
    <n v="1"/>
    <n v="4284.9799999999996"/>
    <n v="4462.3999999999996"/>
    <n v="3212.9279999999994"/>
    <n v="151007.61599999998"/>
    <n v="201394.05999999997"/>
    <n v="-50386.443999999989"/>
    <n v="-0.33366823034938842"/>
    <s v="Loss"/>
    <x v="1"/>
    <n v="0.28000000000000003"/>
    <s v="Credit Card"/>
    <s v="Retail"/>
    <s v="South-Eve"/>
  </r>
  <r>
    <n v="1093"/>
    <x v="317"/>
    <x v="2"/>
    <x v="2"/>
    <n v="22"/>
    <x v="3"/>
    <n v="1"/>
    <n v="2593.64"/>
    <n v="2955.51"/>
    <n v="2955.51"/>
    <n v="65021.22"/>
    <n v="57060.079999999994"/>
    <n v="7961.1400000000067"/>
    <n v="0.12243910526440455"/>
    <s v="Profit"/>
    <x v="0"/>
    <n v="0"/>
    <s v="Bank Transfer"/>
    <s v="Retail"/>
    <s v="East-Eve"/>
  </r>
  <r>
    <n v="1093"/>
    <x v="80"/>
    <x v="4"/>
    <x v="1"/>
    <n v="46"/>
    <x v="2"/>
    <n v="1"/>
    <n v="401.64"/>
    <n v="757.26"/>
    <n v="598.23540000000003"/>
    <n v="27518.828400000002"/>
    <n v="18475.439999999999"/>
    <n v="9043.3884000000035"/>
    <n v="0.32862548755891086"/>
    <s v="Profit"/>
    <x v="1"/>
    <n v="0.21"/>
    <s v="Credit Card"/>
    <s v="Retail"/>
    <s v="North-Charlie"/>
  </r>
  <r>
    <n v="1093"/>
    <x v="269"/>
    <x v="0"/>
    <x v="0"/>
    <n v="43"/>
    <x v="3"/>
    <n v="1"/>
    <n v="1486.76"/>
    <n v="1505.44"/>
    <n v="1385.0048000000002"/>
    <n v="59555.20640000001"/>
    <n v="63930.68"/>
    <n v="-4375.4735999999903"/>
    <n v="-7.3469203861242754E-2"/>
    <s v="Loss"/>
    <x v="1"/>
    <n v="0.08"/>
    <s v="Cash"/>
    <s v="Retail"/>
    <s v="West-Bob"/>
  </r>
  <r>
    <n v="1093"/>
    <x v="189"/>
    <x v="0"/>
    <x v="2"/>
    <n v="17"/>
    <x v="1"/>
    <n v="1"/>
    <n v="727.38"/>
    <n v="764.54"/>
    <n v="634.56819999999993"/>
    <n v="10787.6594"/>
    <n v="12365.46"/>
    <n v="-1577.8005999999987"/>
    <n v="-0.14625977160532141"/>
    <s v="Loss"/>
    <x v="0"/>
    <n v="0.17"/>
    <s v="Credit Card"/>
    <s v="Retail"/>
    <s v="East-Bob"/>
  </r>
  <r>
    <n v="1093"/>
    <x v="134"/>
    <x v="0"/>
    <x v="3"/>
    <n v="38"/>
    <x v="0"/>
    <n v="1"/>
    <n v="86.59"/>
    <n v="390.89"/>
    <n v="293.16750000000002"/>
    <n v="11140.365"/>
    <n v="3290.42"/>
    <n v="7849.9449999999997"/>
    <n v="0.70463983899988913"/>
    <s v="Profit"/>
    <x v="0"/>
    <n v="0.25"/>
    <s v="Credit Card"/>
    <s v="Online"/>
    <s v="South-Bob"/>
  </r>
  <r>
    <n v="1093"/>
    <x v="105"/>
    <x v="1"/>
    <x v="0"/>
    <n v="6"/>
    <x v="0"/>
    <n v="1"/>
    <n v="235.12"/>
    <n v="677.5"/>
    <n v="569.1"/>
    <n v="3414.6"/>
    <n v="1410.72"/>
    <n v="2003.8799999999999"/>
    <n v="0.58685643999297132"/>
    <s v="Profit"/>
    <x v="0"/>
    <n v="0.16"/>
    <s v="Credit Card"/>
    <s v="Online"/>
    <s v="West-David"/>
  </r>
  <r>
    <n v="1093"/>
    <x v="59"/>
    <x v="1"/>
    <x v="0"/>
    <n v="19"/>
    <x v="3"/>
    <n v="1"/>
    <n v="3808.59"/>
    <n v="3844.51"/>
    <n v="3037.1629000000003"/>
    <n v="57706.095100000006"/>
    <n v="72363.210000000006"/>
    <n v="-14657.1149"/>
    <n v="-0.25399595787239465"/>
    <s v="Loss"/>
    <x v="1"/>
    <n v="0.21"/>
    <s v="Credit Card"/>
    <s v="Online"/>
    <s v="West-David"/>
  </r>
  <r>
    <n v="1093"/>
    <x v="83"/>
    <x v="0"/>
    <x v="0"/>
    <n v="17"/>
    <x v="1"/>
    <n v="1"/>
    <n v="3816.39"/>
    <n v="4209.4399999999996"/>
    <n v="3746.4015999999997"/>
    <n v="63688.8272"/>
    <n v="64878.63"/>
    <n v="-1189.8027999999977"/>
    <n v="-1.8681499602178225E-2"/>
    <s v="Loss"/>
    <x v="0"/>
    <n v="0.11"/>
    <s v="Cash"/>
    <s v="Retail"/>
    <s v="West-Bob"/>
  </r>
  <r>
    <n v="1093"/>
    <x v="117"/>
    <x v="4"/>
    <x v="1"/>
    <n v="22"/>
    <x v="1"/>
    <n v="1"/>
    <n v="3285.25"/>
    <n v="3634.58"/>
    <n v="3162.0846000000001"/>
    <n v="69565.861199999999"/>
    <n v="72275.5"/>
    <n v="-2709.6388000000006"/>
    <n v="-3.8950697271034437E-2"/>
    <s v="Loss"/>
    <x v="1"/>
    <n v="0.13"/>
    <s v="Bank Transfer"/>
    <s v="Online"/>
    <s v="North-Charlie"/>
  </r>
  <r>
    <n v="1093"/>
    <x v="221"/>
    <x v="4"/>
    <x v="1"/>
    <n v="40"/>
    <x v="1"/>
    <n v="1"/>
    <n v="1047.25"/>
    <n v="1075.8900000000001"/>
    <n v="774.64080000000001"/>
    <n v="30985.632000000001"/>
    <n v="41890"/>
    <n v="-10904.367999999999"/>
    <n v="-0.35191691426529553"/>
    <s v="Loss"/>
    <x v="1"/>
    <n v="0.28000000000000003"/>
    <s v="Credit Card"/>
    <s v="Retail"/>
    <s v="North-Charlie"/>
  </r>
  <r>
    <n v="1093"/>
    <x v="280"/>
    <x v="3"/>
    <x v="1"/>
    <n v="34"/>
    <x v="0"/>
    <n v="1"/>
    <n v="4201.1099999999997"/>
    <n v="4436.5"/>
    <n v="4214.6750000000002"/>
    <n v="143298.94999999998"/>
    <n v="142837.74"/>
    <n v="461.20999999999185"/>
    <n v="3.2185162557017474E-3"/>
    <s v="Profit"/>
    <x v="1"/>
    <n v="0.05"/>
    <s v="Cash"/>
    <s v="Online"/>
    <s v="North-Alice"/>
  </r>
  <r>
    <n v="1094"/>
    <x v="81"/>
    <x v="0"/>
    <x v="1"/>
    <n v="49"/>
    <x v="0"/>
    <n v="1"/>
    <n v="615.47"/>
    <n v="715.84"/>
    <n v="565.5136"/>
    <n v="27710.166400000006"/>
    <n v="30158.030000000002"/>
    <n v="-2447.8635999999969"/>
    <n v="-8.8338105396580963E-2"/>
    <s v="Loss"/>
    <x v="0"/>
    <n v="0.21"/>
    <s v="Credit Card"/>
    <s v="Retail"/>
    <s v="North-Bob"/>
  </r>
  <r>
    <n v="1094"/>
    <x v="71"/>
    <x v="2"/>
    <x v="2"/>
    <n v="12"/>
    <x v="1"/>
    <n v="1"/>
    <n v="333.32"/>
    <n v="700.25"/>
    <n v="602.21500000000003"/>
    <n v="7226.58"/>
    <n v="3999.84"/>
    <n v="3226.74"/>
    <n v="0.44650996737045739"/>
    <s v="Profit"/>
    <x v="0"/>
    <n v="0.14000000000000001"/>
    <s v="Cash"/>
    <s v="Online"/>
    <s v="East-Eve"/>
  </r>
  <r>
    <n v="1094"/>
    <x v="272"/>
    <x v="2"/>
    <x v="1"/>
    <n v="25"/>
    <x v="3"/>
    <n v="1"/>
    <n v="1933.39"/>
    <n v="1982.92"/>
    <n v="1645.8235999999999"/>
    <n v="41145.589999999997"/>
    <n v="48334.75"/>
    <n v="-7189.1600000000035"/>
    <n v="-0.17472492191751302"/>
    <s v="Loss"/>
    <x v="1"/>
    <n v="0.17"/>
    <s v="Bank Transfer"/>
    <s v="Online"/>
    <s v="North-Eve"/>
  </r>
  <r>
    <n v="1094"/>
    <x v="104"/>
    <x v="2"/>
    <x v="0"/>
    <n v="38"/>
    <x v="0"/>
    <n v="1"/>
    <n v="3443.98"/>
    <n v="3820.3"/>
    <n v="3782.0970000000002"/>
    <n v="143719.68599999999"/>
    <n v="130871.24"/>
    <n v="12848.445999999982"/>
    <n v="8.9399346447222153E-2"/>
    <s v="Profit"/>
    <x v="0"/>
    <n v="0.01"/>
    <s v="Credit Card"/>
    <s v="Retail"/>
    <s v="West-Eve"/>
  </r>
  <r>
    <n v="1094"/>
    <x v="136"/>
    <x v="0"/>
    <x v="1"/>
    <n v="45"/>
    <x v="1"/>
    <n v="1"/>
    <n v="4470.91"/>
    <n v="4695.54"/>
    <n v="4413.8076000000001"/>
    <n v="198621.34199999998"/>
    <n v="201190.94999999998"/>
    <n v="-2569.6080000000075"/>
    <n v="-1.2937220009318072E-2"/>
    <s v="Loss"/>
    <x v="0"/>
    <n v="0.06"/>
    <s v="Cash"/>
    <s v="Retail"/>
    <s v="North-Bob"/>
  </r>
  <r>
    <n v="1094"/>
    <x v="183"/>
    <x v="4"/>
    <x v="3"/>
    <n v="47"/>
    <x v="0"/>
    <n v="1"/>
    <n v="3450.36"/>
    <n v="3557.38"/>
    <n v="2845.9040000000005"/>
    <n v="133757.48800000001"/>
    <n v="162166.92000000001"/>
    <n v="-28409.432000000001"/>
    <n v="-0.21239507727597276"/>
    <s v="Loss"/>
    <x v="1"/>
    <n v="0.2"/>
    <s v="Credit Card"/>
    <s v="Online"/>
    <s v="South-Charlie"/>
  </r>
  <r>
    <n v="1094"/>
    <x v="78"/>
    <x v="0"/>
    <x v="0"/>
    <n v="7"/>
    <x v="1"/>
    <n v="1"/>
    <n v="4122.38"/>
    <n v="4358.78"/>
    <n v="3225.4971999999998"/>
    <n v="22578.4804"/>
    <n v="28856.66"/>
    <n v="-6278.1795999999995"/>
    <n v="-0.27806032508724543"/>
    <s v="Loss"/>
    <x v="0"/>
    <n v="0.26"/>
    <s v="Bank Transfer"/>
    <s v="Retail"/>
    <s v="West-Bob"/>
  </r>
  <r>
    <n v="1094"/>
    <x v="35"/>
    <x v="0"/>
    <x v="3"/>
    <n v="15"/>
    <x v="0"/>
    <n v="1"/>
    <n v="4111.93"/>
    <n v="4338.67"/>
    <n v="3210.6158"/>
    <n v="48159.237000000001"/>
    <n v="61678.950000000004"/>
    <n v="-13519.713000000003"/>
    <n v="-0.28072938530982133"/>
    <s v="Loss"/>
    <x v="0"/>
    <n v="0.26"/>
    <s v="Credit Card"/>
    <s v="Online"/>
    <s v="South-Bob"/>
  </r>
  <r>
    <n v="1095"/>
    <x v="64"/>
    <x v="2"/>
    <x v="2"/>
    <n v="16"/>
    <x v="3"/>
    <n v="1"/>
    <n v="3591.05"/>
    <n v="3625.35"/>
    <n v="3444.0824999999995"/>
    <n v="55105.319999999992"/>
    <n v="57456.800000000003"/>
    <n v="-2351.4800000000105"/>
    <n v="-4.2672467921427745E-2"/>
    <s v="Loss"/>
    <x v="0"/>
    <n v="0.05"/>
    <s v="Credit Card"/>
    <s v="Retail"/>
    <s v="East-Eve"/>
  </r>
  <r>
    <n v="1095"/>
    <x v="331"/>
    <x v="4"/>
    <x v="2"/>
    <n v="9"/>
    <x v="0"/>
    <n v="1"/>
    <n v="2650.95"/>
    <n v="2860.42"/>
    <n v="2517.1696000000002"/>
    <n v="22654.526399999999"/>
    <n v="23858.55"/>
    <n v="-1204.0236000000004"/>
    <n v="-5.3147153850896682E-2"/>
    <s v="Loss"/>
    <x v="1"/>
    <n v="0.12"/>
    <s v="Cash"/>
    <s v="Retail"/>
    <s v="East-Charlie"/>
  </r>
  <r>
    <n v="1095"/>
    <x v="281"/>
    <x v="4"/>
    <x v="0"/>
    <n v="32"/>
    <x v="2"/>
    <n v="1"/>
    <n v="4266.6400000000003"/>
    <n v="4523.3599999999997"/>
    <n v="3166.3519999999994"/>
    <n v="101323.26399999998"/>
    <n v="136532.48000000001"/>
    <n v="-35209.216000000029"/>
    <n v="-0.34749389834105654"/>
    <s v="Loss"/>
    <x v="1"/>
    <n v="0.3"/>
    <s v="Bank Transfer"/>
    <s v="Retail"/>
    <s v="West-Charlie"/>
  </r>
  <r>
    <n v="1095"/>
    <x v="72"/>
    <x v="2"/>
    <x v="2"/>
    <n v="4"/>
    <x v="2"/>
    <n v="1"/>
    <n v="3191.05"/>
    <n v="3555.35"/>
    <n v="2559.8519999999999"/>
    <n v="10239.407999999999"/>
    <n v="12764.2"/>
    <n v="-2524.7920000000013"/>
    <n v="-0.24657597392349259"/>
    <s v="Loss"/>
    <x v="1"/>
    <n v="0.28000000000000003"/>
    <s v="Credit Card"/>
    <s v="Online"/>
    <s v="East-Eve"/>
  </r>
  <r>
    <n v="1095"/>
    <x v="267"/>
    <x v="1"/>
    <x v="1"/>
    <n v="21"/>
    <x v="2"/>
    <n v="1"/>
    <n v="621.04999999999995"/>
    <n v="820.37"/>
    <n v="623.48120000000006"/>
    <n v="13093.1052"/>
    <n v="13042.05"/>
    <n v="51.055200000000696"/>
    <n v="3.8993958438522814E-3"/>
    <s v="Profit"/>
    <x v="0"/>
    <n v="0.24"/>
    <s v="Bank Transfer"/>
    <s v="Online"/>
    <s v="North-David"/>
  </r>
  <r>
    <n v="1095"/>
    <x v="128"/>
    <x v="2"/>
    <x v="3"/>
    <n v="43"/>
    <x v="1"/>
    <n v="1"/>
    <n v="1331.86"/>
    <n v="1758.98"/>
    <n v="1354.4146000000001"/>
    <n v="58239.827799999999"/>
    <n v="57269.979999999996"/>
    <n v="969.84780000000319"/>
    <n v="1.665265569346349E-2"/>
    <s v="Profit"/>
    <x v="0"/>
    <n v="0.23"/>
    <s v="Bank Transfer"/>
    <s v="Retail"/>
    <s v="South-Eve"/>
  </r>
  <r>
    <n v="1095"/>
    <x v="312"/>
    <x v="0"/>
    <x v="0"/>
    <n v="20"/>
    <x v="0"/>
    <n v="1"/>
    <n v="729.27"/>
    <n v="999.18"/>
    <n v="899.26199999999994"/>
    <n v="17985.239999999998"/>
    <n v="14585.4"/>
    <n v="3399.8399999999983"/>
    <n v="0.1890350087071398"/>
    <s v="Profit"/>
    <x v="1"/>
    <n v="0.1"/>
    <s v="Bank Transfer"/>
    <s v="Online"/>
    <s v="West-Bob"/>
  </r>
  <r>
    <n v="1095"/>
    <x v="233"/>
    <x v="0"/>
    <x v="3"/>
    <n v="10"/>
    <x v="3"/>
    <n v="1"/>
    <n v="3155.97"/>
    <n v="3263.49"/>
    <n v="3132.9503999999997"/>
    <n v="31329.503999999997"/>
    <n v="31559.699999999997"/>
    <n v="-230.19599999999991"/>
    <n v="-7.3475788189943875E-3"/>
    <s v="Loss"/>
    <x v="0"/>
    <n v="0.04"/>
    <s v="Credit Card"/>
    <s v="Online"/>
    <s v="South-Bob"/>
  </r>
  <r>
    <n v="1095"/>
    <x v="314"/>
    <x v="3"/>
    <x v="2"/>
    <n v="37"/>
    <x v="3"/>
    <n v="1"/>
    <n v="407.77"/>
    <n v="860.95"/>
    <n v="774.85500000000002"/>
    <n v="28669.635000000002"/>
    <n v="15087.49"/>
    <n v="13582.145000000002"/>
    <n v="0.47374670099567018"/>
    <s v="Profit"/>
    <x v="1"/>
    <n v="0.1"/>
    <s v="Credit Card"/>
    <s v="Retail"/>
    <s v="East-Alice"/>
  </r>
  <r>
    <n v="1095"/>
    <x v="208"/>
    <x v="4"/>
    <x v="0"/>
    <n v="7"/>
    <x v="0"/>
    <n v="1"/>
    <n v="4257.24"/>
    <n v="4355.87"/>
    <n v="4225.1939000000002"/>
    <n v="29576.3573"/>
    <n v="29800.68"/>
    <n v="-224.32270000000062"/>
    <n v="-7.5845276591921824E-3"/>
    <s v="Loss"/>
    <x v="0"/>
    <n v="0.03"/>
    <s v="Bank Transfer"/>
    <s v="Online"/>
    <s v="West-Charlie"/>
  </r>
  <r>
    <n v="1096"/>
    <x v="80"/>
    <x v="0"/>
    <x v="3"/>
    <n v="17"/>
    <x v="0"/>
    <n v="1"/>
    <n v="2774.24"/>
    <n v="3069.94"/>
    <n v="2363.8538000000003"/>
    <n v="40185.514600000002"/>
    <n v="47162.079999999994"/>
    <n v="-6976.5653999999922"/>
    <n v="-0.1736089600803567"/>
    <s v="Loss"/>
    <x v="0"/>
    <n v="0.23"/>
    <s v="Bank Transfer"/>
    <s v="Retail"/>
    <s v="South-Bob"/>
  </r>
  <r>
    <n v="1096"/>
    <x v="275"/>
    <x v="0"/>
    <x v="2"/>
    <n v="20"/>
    <x v="1"/>
    <n v="1"/>
    <n v="1994.9"/>
    <n v="2066.5"/>
    <n v="1942.51"/>
    <n v="38850.199999999997"/>
    <n v="39898"/>
    <n v="-1047.8000000000029"/>
    <n v="-2.6970260127361069E-2"/>
    <s v="Loss"/>
    <x v="0"/>
    <n v="0.06"/>
    <s v="Bank Transfer"/>
    <s v="Online"/>
    <s v="East-Bob"/>
  </r>
  <r>
    <n v="1096"/>
    <x v="332"/>
    <x v="3"/>
    <x v="2"/>
    <n v="31"/>
    <x v="3"/>
    <n v="1"/>
    <n v="1724.24"/>
    <n v="2036.2"/>
    <n v="1690.046"/>
    <n v="52391.425999999999"/>
    <n v="53451.44"/>
    <n v="-1060.0140000000029"/>
    <n v="-2.0232585385249923E-2"/>
    <s v="Loss"/>
    <x v="1"/>
    <n v="0.17"/>
    <s v="Cash"/>
    <s v="Online"/>
    <s v="East-Alice"/>
  </r>
  <r>
    <n v="1096"/>
    <x v="220"/>
    <x v="3"/>
    <x v="2"/>
    <n v="32"/>
    <x v="1"/>
    <n v="1"/>
    <n v="991.63"/>
    <n v="1065.55"/>
    <n v="831.12900000000002"/>
    <n v="26596.128000000001"/>
    <n v="31732.16"/>
    <n v="-5136.0319999999992"/>
    <n v="-0.19311201991507934"/>
    <s v="Loss"/>
    <x v="0"/>
    <n v="0.22"/>
    <s v="Bank Transfer"/>
    <s v="Retail"/>
    <s v="East-Alice"/>
  </r>
  <r>
    <n v="1096"/>
    <x v="200"/>
    <x v="0"/>
    <x v="1"/>
    <n v="30"/>
    <x v="3"/>
    <n v="1"/>
    <n v="3969.86"/>
    <n v="4281.79"/>
    <n v="3939.2468000000003"/>
    <n v="118177.40400000001"/>
    <n v="119095.8"/>
    <n v="-918.39599999999336"/>
    <n v="-7.7713333422013003E-3"/>
    <s v="Loss"/>
    <x v="0"/>
    <n v="0.08"/>
    <s v="Bank Transfer"/>
    <s v="Retail"/>
    <s v="North-Bob"/>
  </r>
  <r>
    <n v="1096"/>
    <x v="161"/>
    <x v="0"/>
    <x v="3"/>
    <n v="14"/>
    <x v="1"/>
    <n v="1"/>
    <n v="2251.9499999999998"/>
    <n v="2626.32"/>
    <n v="2074.7928000000002"/>
    <n v="29047.099200000004"/>
    <n v="31527.299999999996"/>
    <n v="-2480.2007999999914"/>
    <n v="-8.5385490059537203E-2"/>
    <s v="Loss"/>
    <x v="0"/>
    <n v="0.21"/>
    <s v="Credit Card"/>
    <s v="Online"/>
    <s v="South-Bob"/>
  </r>
  <r>
    <n v="1096"/>
    <x v="65"/>
    <x v="4"/>
    <x v="3"/>
    <n v="45"/>
    <x v="2"/>
    <n v="1"/>
    <n v="357.92"/>
    <n v="461.3"/>
    <n v="332.13600000000002"/>
    <n v="14946.119999999999"/>
    <n v="16106.400000000001"/>
    <n v="-1160.2800000000025"/>
    <n v="-7.7630850013247751E-2"/>
    <s v="Loss"/>
    <x v="0"/>
    <n v="0.28000000000000003"/>
    <s v="Cash"/>
    <s v="Online"/>
    <s v="South-Charlie"/>
  </r>
  <r>
    <n v="1096"/>
    <x v="198"/>
    <x v="4"/>
    <x v="3"/>
    <n v="6"/>
    <x v="1"/>
    <n v="1"/>
    <n v="252.62"/>
    <n v="742"/>
    <n v="578.76"/>
    <n v="3472.56"/>
    <n v="1515.72"/>
    <n v="1956.84"/>
    <n v="0.56351510125095028"/>
    <s v="Profit"/>
    <x v="1"/>
    <n v="0.22"/>
    <s v="Credit Card"/>
    <s v="Retail"/>
    <s v="South-Charlie"/>
  </r>
  <r>
    <n v="1096"/>
    <x v="27"/>
    <x v="2"/>
    <x v="3"/>
    <n v="23"/>
    <x v="3"/>
    <n v="1"/>
    <n v="608.57000000000005"/>
    <n v="1032.22"/>
    <n v="774.16499999999996"/>
    <n v="17805.795000000002"/>
    <n v="13997.11"/>
    <n v="3808.6850000000013"/>
    <n v="0.21390142928187147"/>
    <s v="Profit"/>
    <x v="1"/>
    <n v="0.25"/>
    <s v="Cash"/>
    <s v="Retail"/>
    <s v="South-Eve"/>
  </r>
  <r>
    <n v="1096"/>
    <x v="21"/>
    <x v="1"/>
    <x v="3"/>
    <n v="10"/>
    <x v="2"/>
    <n v="1"/>
    <n v="2927.02"/>
    <n v="3387.21"/>
    <n v="2980.7447999999999"/>
    <n v="29807.448"/>
    <n v="29270.2"/>
    <n v="537.24799999999959"/>
    <n v="1.8023951597600694E-2"/>
    <s v="Profit"/>
    <x v="0"/>
    <n v="0.12"/>
    <s v="Cash"/>
    <s v="Retail"/>
    <s v="South-David"/>
  </r>
  <r>
    <n v="1096"/>
    <x v="91"/>
    <x v="4"/>
    <x v="0"/>
    <n v="27"/>
    <x v="2"/>
    <n v="1"/>
    <n v="4809"/>
    <n v="4967.4399999999996"/>
    <n v="4371.3471999999992"/>
    <n v="118026.37439999999"/>
    <n v="129843"/>
    <n v="-11816.625600000014"/>
    <n v="-0.10011851723880467"/>
    <s v="Loss"/>
    <x v="1"/>
    <n v="0.12"/>
    <s v="Cash"/>
    <s v="Online"/>
    <s v="West-Charlie"/>
  </r>
  <r>
    <n v="1096"/>
    <x v="87"/>
    <x v="3"/>
    <x v="1"/>
    <n v="48"/>
    <x v="2"/>
    <n v="1"/>
    <n v="2449.21"/>
    <n v="2714.12"/>
    <n v="2686.9787999999999"/>
    <n v="128974.98239999999"/>
    <n v="117562.08"/>
    <n v="11412.902399999992"/>
    <n v="8.8489272784734979E-2"/>
    <s v="Profit"/>
    <x v="1"/>
    <n v="0.01"/>
    <s v="Credit Card"/>
    <s v="Online"/>
    <s v="North-Alice"/>
  </r>
  <r>
    <n v="1096"/>
    <x v="246"/>
    <x v="4"/>
    <x v="0"/>
    <n v="38"/>
    <x v="3"/>
    <n v="1"/>
    <n v="3955.66"/>
    <n v="4270.59"/>
    <n v="3630.0014999999999"/>
    <n v="137940.057"/>
    <n v="150315.07999999999"/>
    <n v="-12375.022999999986"/>
    <n v="-8.9713048327941358E-2"/>
    <s v="Loss"/>
    <x v="0"/>
    <n v="0.15"/>
    <s v="Credit Card"/>
    <s v="Online"/>
    <s v="West-Charlie"/>
  </r>
  <r>
    <n v="1097"/>
    <x v="306"/>
    <x v="3"/>
    <x v="0"/>
    <n v="27"/>
    <x v="3"/>
    <n v="1"/>
    <n v="3955.19"/>
    <n v="4393.68"/>
    <n v="4217.9328000000005"/>
    <n v="113884.18560000001"/>
    <n v="106790.13"/>
    <n v="7094.055600000007"/>
    <n v="6.2291841159726448E-2"/>
    <s v="Profit"/>
    <x v="0"/>
    <n v="0.04"/>
    <s v="Credit Card"/>
    <s v="Online"/>
    <s v="West-Alice"/>
  </r>
  <r>
    <n v="1097"/>
    <x v="206"/>
    <x v="4"/>
    <x v="2"/>
    <n v="10"/>
    <x v="1"/>
    <n v="1"/>
    <n v="2162.9499999999998"/>
    <n v="2191.19"/>
    <n v="1752.9520000000002"/>
    <n v="17529.52"/>
    <n v="21629.5"/>
    <n v="-4099.9799999999996"/>
    <n v="-0.23389003235684716"/>
    <s v="Loss"/>
    <x v="0"/>
    <n v="0.2"/>
    <s v="Credit Card"/>
    <s v="Online"/>
    <s v="East-Charlie"/>
  </r>
  <r>
    <n v="1097"/>
    <x v="231"/>
    <x v="1"/>
    <x v="3"/>
    <n v="35"/>
    <x v="0"/>
    <n v="1"/>
    <n v="1958.49"/>
    <n v="2254.84"/>
    <n v="1894.0656000000001"/>
    <n v="66292.296000000002"/>
    <n v="68547.149999999994"/>
    <n v="-2254.8539999999921"/>
    <n v="-3.4013816628103995E-2"/>
    <s v="Loss"/>
    <x v="1"/>
    <n v="0.16"/>
    <s v="Credit Card"/>
    <s v="Online"/>
    <s v="South-David"/>
  </r>
  <r>
    <n v="1097"/>
    <x v="333"/>
    <x v="1"/>
    <x v="1"/>
    <n v="45"/>
    <x v="2"/>
    <n v="1"/>
    <n v="1525.13"/>
    <n v="1868.32"/>
    <n v="1419.9232"/>
    <n v="63896.543999999994"/>
    <n v="68630.850000000006"/>
    <n v="-4734.3060000000114"/>
    <n v="-7.4093303074419983E-2"/>
    <s v="Loss"/>
    <x v="0"/>
    <n v="0.24"/>
    <s v="Cash"/>
    <s v="Retail"/>
    <s v="North-David"/>
  </r>
  <r>
    <n v="1097"/>
    <x v="287"/>
    <x v="2"/>
    <x v="1"/>
    <n v="6"/>
    <x v="3"/>
    <n v="1"/>
    <n v="4885.9799999999996"/>
    <n v="4949.95"/>
    <n v="4108.4584999999997"/>
    <n v="24650.750999999997"/>
    <n v="29315.879999999997"/>
    <n v="-4665.1290000000008"/>
    <n v="-0.1892489604069264"/>
    <s v="Loss"/>
    <x v="0"/>
    <n v="0.17"/>
    <s v="Bank Transfer"/>
    <s v="Online"/>
    <s v="North-Eve"/>
  </r>
  <r>
    <n v="1097"/>
    <x v="50"/>
    <x v="3"/>
    <x v="2"/>
    <n v="9"/>
    <x v="0"/>
    <n v="1"/>
    <n v="4067.28"/>
    <n v="4548.09"/>
    <n v="4002.3192000000004"/>
    <n v="36020.872799999997"/>
    <n v="36605.520000000004"/>
    <n v="-584.64720000000671"/>
    <n v="-1.6230789388312843E-2"/>
    <s v="Loss"/>
    <x v="0"/>
    <n v="0.12"/>
    <s v="Credit Card"/>
    <s v="Retail"/>
    <s v="East-Alice"/>
  </r>
  <r>
    <n v="1097"/>
    <x v="334"/>
    <x v="1"/>
    <x v="2"/>
    <n v="7"/>
    <x v="2"/>
    <n v="1"/>
    <n v="1896.35"/>
    <n v="2394.1999999999998"/>
    <n v="1867.4759999999999"/>
    <n v="13072.331999999999"/>
    <n v="13274.449999999999"/>
    <n v="-202.11800000000039"/>
    <n v="-1.5461510616468463E-2"/>
    <s v="Loss"/>
    <x v="1"/>
    <n v="0.22"/>
    <s v="Bank Transfer"/>
    <s v="Online"/>
    <s v="East-David"/>
  </r>
  <r>
    <n v="1097"/>
    <x v="335"/>
    <x v="3"/>
    <x v="2"/>
    <n v="27"/>
    <x v="3"/>
    <n v="1"/>
    <n v="4686.79"/>
    <n v="5046.51"/>
    <n v="4794.1845000000003"/>
    <n v="129442.98150000001"/>
    <n v="126543.33"/>
    <n v="2899.6515000000072"/>
    <n v="2.240099437140983E-2"/>
    <s v="Profit"/>
    <x v="0"/>
    <n v="0.05"/>
    <s v="Credit Card"/>
    <s v="Retail"/>
    <s v="East-Alice"/>
  </r>
  <r>
    <n v="1097"/>
    <x v="203"/>
    <x v="2"/>
    <x v="0"/>
    <n v="49"/>
    <x v="3"/>
    <n v="1"/>
    <n v="4264.46"/>
    <n v="4315.5200000000004"/>
    <n v="4013.4336000000003"/>
    <n v="196658.2464"/>
    <n v="208958.54"/>
    <n v="-12300.293600000005"/>
    <n v="-6.2546543687679326E-2"/>
    <s v="Loss"/>
    <x v="1"/>
    <n v="7.0000000000000007E-2"/>
    <s v="Cash"/>
    <s v="Retail"/>
    <s v="West-Eve"/>
  </r>
  <r>
    <n v="1098"/>
    <x v="281"/>
    <x v="3"/>
    <x v="0"/>
    <n v="31"/>
    <x v="0"/>
    <n v="1"/>
    <n v="2407.8000000000002"/>
    <n v="2502.7600000000002"/>
    <n v="1827.0148000000002"/>
    <n v="56637.458800000008"/>
    <n v="74641.8"/>
    <n v="-18004.341199999995"/>
    <n v="-0.3178875179336258"/>
    <s v="Loss"/>
    <x v="0"/>
    <n v="0.27"/>
    <s v="Cash"/>
    <s v="Retail"/>
    <s v="West-Alice"/>
  </r>
  <r>
    <n v="1098"/>
    <x v="65"/>
    <x v="2"/>
    <x v="1"/>
    <n v="5"/>
    <x v="3"/>
    <n v="1"/>
    <n v="2947.22"/>
    <n v="3145.27"/>
    <n v="2830.7429999999999"/>
    <n v="14153.715"/>
    <n v="14736.099999999999"/>
    <n v="-582.3849999999984"/>
    <n v="-4.1147147586340291E-2"/>
    <s v="Loss"/>
    <x v="1"/>
    <n v="0.1"/>
    <s v="Credit Card"/>
    <s v="Retail"/>
    <s v="North-Eve"/>
  </r>
  <r>
    <n v="1098"/>
    <x v="159"/>
    <x v="2"/>
    <x v="2"/>
    <n v="28"/>
    <x v="3"/>
    <n v="1"/>
    <n v="3895.62"/>
    <n v="4055.44"/>
    <n v="3933.7768000000001"/>
    <n v="110145.7504"/>
    <n v="109077.36"/>
    <n v="1068.3904000000039"/>
    <n v="9.6997877459646768E-3"/>
    <s v="Profit"/>
    <x v="1"/>
    <n v="0.03"/>
    <s v="Bank Transfer"/>
    <s v="Retail"/>
    <s v="East-Eve"/>
  </r>
  <r>
    <n v="1098"/>
    <x v="146"/>
    <x v="0"/>
    <x v="3"/>
    <n v="11"/>
    <x v="2"/>
    <n v="1"/>
    <n v="213.41"/>
    <n v="503.36"/>
    <n v="367.45280000000002"/>
    <n v="4041.9807999999998"/>
    <n v="2347.5099999999998"/>
    <n v="1694.4708000000001"/>
    <n v="0.41921792404357788"/>
    <s v="Profit"/>
    <x v="0"/>
    <n v="0.27"/>
    <s v="Bank Transfer"/>
    <s v="Online"/>
    <s v="South-Bob"/>
  </r>
  <r>
    <n v="1098"/>
    <x v="231"/>
    <x v="1"/>
    <x v="3"/>
    <n v="11"/>
    <x v="1"/>
    <n v="1"/>
    <n v="741.48"/>
    <n v="878.09"/>
    <n v="623.44389999999999"/>
    <n v="6857.8828999999996"/>
    <n v="8156.2800000000007"/>
    <n v="-1298.397100000001"/>
    <n v="-0.18932914412988899"/>
    <s v="Loss"/>
    <x v="1"/>
    <n v="0.28999999999999998"/>
    <s v="Cash"/>
    <s v="Retail"/>
    <s v="South-David"/>
  </r>
  <r>
    <n v="1098"/>
    <x v="284"/>
    <x v="2"/>
    <x v="0"/>
    <n v="21"/>
    <x v="1"/>
    <n v="1"/>
    <n v="725.03"/>
    <n v="828.95"/>
    <n v="679.73900000000003"/>
    <n v="14274.519000000002"/>
    <n v="15225.63"/>
    <n v="-951.11099999999715"/>
    <n v="-6.6629985921066559E-2"/>
    <s v="Loss"/>
    <x v="1"/>
    <n v="0.18"/>
    <s v="Bank Transfer"/>
    <s v="Online"/>
    <s v="West-Eve"/>
  </r>
  <r>
    <n v="1098"/>
    <x v="336"/>
    <x v="3"/>
    <x v="3"/>
    <n v="19"/>
    <x v="3"/>
    <n v="1"/>
    <n v="4055.51"/>
    <n v="4258.84"/>
    <n v="4131.0748000000003"/>
    <n v="78490.421199999997"/>
    <n v="77054.69"/>
    <n v="1435.7311999999947"/>
    <n v="1.8291801445957774E-2"/>
    <s v="Profit"/>
    <x v="0"/>
    <n v="0.03"/>
    <s v="Credit Card"/>
    <s v="Online"/>
    <s v="South-Alice"/>
  </r>
  <r>
    <n v="1099"/>
    <x v="101"/>
    <x v="3"/>
    <x v="3"/>
    <n v="2"/>
    <x v="3"/>
    <n v="1"/>
    <n v="2038.4"/>
    <n v="2073.3200000000002"/>
    <n v="1741.5888"/>
    <n v="3483.1776"/>
    <n v="4076.8"/>
    <n v="-593.6224000000002"/>
    <n v="-0.17042553328317231"/>
    <s v="Loss"/>
    <x v="1"/>
    <n v="0.16"/>
    <s v="Cash"/>
    <s v="Retail"/>
    <s v="South-Alice"/>
  </r>
  <r>
    <n v="1099"/>
    <x v="192"/>
    <x v="0"/>
    <x v="2"/>
    <n v="31"/>
    <x v="1"/>
    <n v="1"/>
    <n v="4632.8500000000004"/>
    <n v="4711.7"/>
    <n v="3722.2429999999999"/>
    <n v="115389.533"/>
    <n v="143618.35"/>
    <n v="-28228.81700000001"/>
    <n v="-0.24463932096856664"/>
    <s v="Loss"/>
    <x v="1"/>
    <n v="0.21"/>
    <s v="Cash"/>
    <s v="Retail"/>
    <s v="East-Bob"/>
  </r>
  <r>
    <n v="1099"/>
    <x v="331"/>
    <x v="3"/>
    <x v="1"/>
    <n v="30"/>
    <x v="1"/>
    <n v="1"/>
    <n v="4495.82"/>
    <n v="4794.01"/>
    <n v="3931.0882000000006"/>
    <n v="117932.64600000002"/>
    <n v="134874.59999999998"/>
    <n v="-16941.953999999954"/>
    <n v="-0.14365788078730932"/>
    <s v="Loss"/>
    <x v="1"/>
    <n v="0.18"/>
    <s v="Bank Transfer"/>
    <s v="Retail"/>
    <s v="North-Alice"/>
  </r>
  <r>
    <n v="1099"/>
    <x v="81"/>
    <x v="1"/>
    <x v="2"/>
    <n v="10"/>
    <x v="1"/>
    <n v="1"/>
    <n v="1531.2"/>
    <n v="1955.56"/>
    <n v="1955.56"/>
    <n v="19555.599999999999"/>
    <n v="15312"/>
    <n v="4243.5999999999985"/>
    <n v="0.21700177954141006"/>
    <s v="Profit"/>
    <x v="1"/>
    <n v="0"/>
    <s v="Credit Card"/>
    <s v="Online"/>
    <s v="East-David"/>
  </r>
  <r>
    <n v="1099"/>
    <x v="111"/>
    <x v="4"/>
    <x v="2"/>
    <n v="31"/>
    <x v="0"/>
    <n v="1"/>
    <n v="1974.4"/>
    <n v="2259.5"/>
    <n v="1649.4349999999999"/>
    <n v="51132.485000000001"/>
    <n v="61206.400000000001"/>
    <n v="-10073.915000000001"/>
    <n v="-0.19701594788518495"/>
    <s v="Loss"/>
    <x v="1"/>
    <n v="0.27"/>
    <s v="Cash"/>
    <s v="Retail"/>
    <s v="East-Charlie"/>
  </r>
  <r>
    <n v="1099"/>
    <x v="337"/>
    <x v="0"/>
    <x v="2"/>
    <n v="22"/>
    <x v="1"/>
    <n v="1"/>
    <n v="2471.67"/>
    <n v="2533.04"/>
    <n v="2482.3791999999999"/>
    <n v="54612.342399999994"/>
    <n v="54376.740000000005"/>
    <n v="235.60239999998885"/>
    <n v="4.3140870661498836E-3"/>
    <s v="Profit"/>
    <x v="0"/>
    <n v="0.02"/>
    <s v="Bank Transfer"/>
    <s v="Retail"/>
    <s v="East-Bob"/>
  </r>
  <r>
    <n v="1099"/>
    <x v="6"/>
    <x v="3"/>
    <x v="3"/>
    <n v="48"/>
    <x v="0"/>
    <n v="1"/>
    <n v="3441.61"/>
    <n v="3693.45"/>
    <n v="2991.6945000000001"/>
    <n v="143601.33599999998"/>
    <n v="165197.28"/>
    <n v="-21595.944000000018"/>
    <n v="-0.15038818301801887"/>
    <s v="Loss"/>
    <x v="0"/>
    <n v="0.19"/>
    <s v="Bank Transfer"/>
    <s v="Online"/>
    <s v="South-Alice"/>
  </r>
  <r>
    <n v="1099"/>
    <x v="75"/>
    <x v="4"/>
    <x v="1"/>
    <n v="14"/>
    <x v="0"/>
    <n v="1"/>
    <n v="1996.64"/>
    <n v="2341.4699999999998"/>
    <n v="1826.3465999999999"/>
    <n v="25568.852399999996"/>
    <n v="27952.960000000003"/>
    <n v="-2384.1076000000066"/>
    <n v="-9.3242651750768721E-2"/>
    <s v="Loss"/>
    <x v="0"/>
    <n v="0.22"/>
    <s v="Credit Card"/>
    <s v="Online"/>
    <s v="North-Charlie"/>
  </r>
  <r>
    <n v="1099"/>
    <x v="242"/>
    <x v="1"/>
    <x v="3"/>
    <n v="32"/>
    <x v="2"/>
    <n v="1"/>
    <n v="1517.86"/>
    <n v="1948.46"/>
    <n v="1909.4908"/>
    <n v="61103.705600000001"/>
    <n v="48571.519999999997"/>
    <n v="12532.185600000004"/>
    <n v="0.20509698187600597"/>
    <s v="Profit"/>
    <x v="1"/>
    <n v="0.02"/>
    <s v="Credit Card"/>
    <s v="Online"/>
    <s v="South-David"/>
  </r>
  <r>
    <n v="1099"/>
    <x v="8"/>
    <x v="3"/>
    <x v="2"/>
    <n v="27"/>
    <x v="0"/>
    <n v="1"/>
    <n v="4929.55"/>
    <n v="4990.33"/>
    <n v="3543.1342999999997"/>
    <n v="95664.626099999994"/>
    <n v="133097.85"/>
    <n v="-37433.223900000012"/>
    <n v="-0.39129640104243313"/>
    <s v="Loss"/>
    <x v="0"/>
    <n v="0.28999999999999998"/>
    <s v="Credit Card"/>
    <s v="Online"/>
    <s v="East-Alice"/>
  </r>
  <r>
    <n v="1099"/>
    <x v="184"/>
    <x v="1"/>
    <x v="2"/>
    <n v="39"/>
    <x v="3"/>
    <n v="1"/>
    <n v="3592.89"/>
    <n v="4004"/>
    <n v="3483.48"/>
    <n v="135855.72"/>
    <n v="140122.71"/>
    <n v="-4266.9899999999907"/>
    <n v="-3.1408246925488235E-2"/>
    <s v="Loss"/>
    <x v="1"/>
    <n v="0.13"/>
    <s v="Cash"/>
    <s v="Online"/>
    <s v="East-David"/>
  </r>
  <r>
    <n v="1099"/>
    <x v="21"/>
    <x v="1"/>
    <x v="3"/>
    <n v="23"/>
    <x v="2"/>
    <n v="1"/>
    <n v="93.45"/>
    <n v="181.62"/>
    <n v="127.134"/>
    <n v="2924.0819999999999"/>
    <n v="2149.35"/>
    <n v="774.73199999999997"/>
    <n v="0.26494879418566236"/>
    <s v="Profit"/>
    <x v="0"/>
    <n v="0.3"/>
    <s v="Bank Transfer"/>
    <s v="Retail"/>
    <s v="South-David"/>
  </r>
  <r>
    <n v="1099"/>
    <x v="100"/>
    <x v="0"/>
    <x v="0"/>
    <n v="43"/>
    <x v="2"/>
    <n v="1"/>
    <n v="906.47"/>
    <n v="1283.04"/>
    <n v="975.11040000000003"/>
    <n v="41929.747199999998"/>
    <n v="38978.21"/>
    <n v="2951.5371999999988"/>
    <n v="7.0392439666318779E-2"/>
    <s v="Profit"/>
    <x v="1"/>
    <n v="0.24"/>
    <s v="Cash"/>
    <s v="Online"/>
    <s v="West-Bob"/>
  </r>
  <r>
    <n v="1099"/>
    <x v="78"/>
    <x v="1"/>
    <x v="2"/>
    <n v="35"/>
    <x v="2"/>
    <n v="1"/>
    <n v="2610.19"/>
    <n v="2682.53"/>
    <n v="2306.9758000000002"/>
    <n v="80744.153000000006"/>
    <n v="91356.650000000009"/>
    <n v="-10612.497000000003"/>
    <n v="-0.13143362838916647"/>
    <s v="Loss"/>
    <x v="1"/>
    <n v="0.14000000000000001"/>
    <s v="Cash"/>
    <s v="Retail"/>
    <s v="East-David"/>
  </r>
  <r>
    <n v="1099"/>
    <x v="338"/>
    <x v="1"/>
    <x v="0"/>
    <n v="17"/>
    <x v="0"/>
    <n v="1"/>
    <n v="2471.73"/>
    <n v="2568.73"/>
    <n v="2440.2934999999998"/>
    <n v="41484.989500000003"/>
    <n v="42019.41"/>
    <n v="-534.42050000000017"/>
    <n v="-1.2882261908249974E-2"/>
    <s v="Loss"/>
    <x v="1"/>
    <n v="0.05"/>
    <s v="Cash"/>
    <s v="Retail"/>
    <s v="West-David"/>
  </r>
  <r>
    <n v="1099"/>
    <x v="181"/>
    <x v="2"/>
    <x v="0"/>
    <n v="25"/>
    <x v="3"/>
    <n v="1"/>
    <n v="4148.4799999999996"/>
    <n v="4293.6899999999996"/>
    <n v="3821.3840999999998"/>
    <n v="95534.602499999994"/>
    <n v="103711.99999999999"/>
    <n v="-8177.3974999999919"/>
    <n v="-8.5596184900648881E-2"/>
    <s v="Loss"/>
    <x v="1"/>
    <n v="0.11"/>
    <s v="Bank Transfer"/>
    <s v="Online"/>
    <s v="West-Eve"/>
  </r>
  <r>
    <n v="1099"/>
    <x v="238"/>
    <x v="3"/>
    <x v="0"/>
    <n v="44"/>
    <x v="2"/>
    <n v="1"/>
    <n v="4933.1099999999997"/>
    <n v="5245.86"/>
    <n v="4563.8981999999996"/>
    <n v="200811.5208"/>
    <n v="217056.84"/>
    <n v="-16245.319199999998"/>
    <n v="-8.0898342561628561E-2"/>
    <s v="Loss"/>
    <x v="0"/>
    <n v="0.13"/>
    <s v="Bank Transfer"/>
    <s v="Retail"/>
    <s v="West-Alice"/>
  </r>
  <r>
    <n v="1099"/>
    <x v="34"/>
    <x v="0"/>
    <x v="0"/>
    <n v="29"/>
    <x v="3"/>
    <n v="1"/>
    <n v="3124.87"/>
    <n v="3383.67"/>
    <n v="3214.4865"/>
    <n v="93220.108500000002"/>
    <n v="90621.23"/>
    <n v="2598.8785000000062"/>
    <n v="2.7878947383975703E-2"/>
    <s v="Profit"/>
    <x v="1"/>
    <n v="0.05"/>
    <s v="Credit Card"/>
    <s v="Retail"/>
    <s v="West-Bob"/>
  </r>
  <r>
    <n v="1100"/>
    <x v="275"/>
    <x v="3"/>
    <x v="2"/>
    <n v="34"/>
    <x v="1"/>
    <n v="1"/>
    <n v="4991.09"/>
    <n v="5402.28"/>
    <n v="5402.28"/>
    <n v="183677.52"/>
    <n v="169697.06"/>
    <n v="13980.459999999992"/>
    <n v="7.6114159206853368E-2"/>
    <s v="Profit"/>
    <x v="0"/>
    <n v="0"/>
    <s v="Cash"/>
    <s v="Retail"/>
    <s v="East-Alice"/>
  </r>
  <r>
    <n v="1100"/>
    <x v="105"/>
    <x v="0"/>
    <x v="0"/>
    <n v="43"/>
    <x v="0"/>
    <n v="1"/>
    <n v="1100.81"/>
    <n v="1137.44"/>
    <n v="1046.4448"/>
    <n v="44997.126400000008"/>
    <n v="47334.829999999994"/>
    <n v="-2337.7035999999862"/>
    <n v="-5.1952286446451515E-2"/>
    <s v="Loss"/>
    <x v="0"/>
    <n v="0.08"/>
    <s v="Bank Transfer"/>
    <s v="Online"/>
    <s v="West-Bob"/>
  </r>
  <r>
    <n v="1100"/>
    <x v="207"/>
    <x v="2"/>
    <x v="2"/>
    <n v="2"/>
    <x v="1"/>
    <n v="1"/>
    <n v="1036.76"/>
    <n v="1189.3499999999999"/>
    <n v="868.2254999999999"/>
    <n v="1736.4509999999998"/>
    <n v="2073.52"/>
    <n v="-337.06900000000019"/>
    <n v="-0.19411374118820526"/>
    <s v="Loss"/>
    <x v="1"/>
    <n v="0.27"/>
    <s v="Bank Transfer"/>
    <s v="Online"/>
    <s v="East-Eve"/>
  </r>
  <r>
    <n v="1100"/>
    <x v="339"/>
    <x v="4"/>
    <x v="1"/>
    <n v="17"/>
    <x v="3"/>
    <n v="1"/>
    <n v="83.64"/>
    <n v="528.49"/>
    <n v="459.78629999999998"/>
    <n v="7816.3670999999995"/>
    <n v="1421.88"/>
    <n v="6394.4870999999994"/>
    <n v="0.81808940370776595"/>
    <s v="Profit"/>
    <x v="1"/>
    <n v="0.13"/>
    <s v="Credit Card"/>
    <s v="Online"/>
    <s v="North-Charlie"/>
  </r>
  <r>
    <n v="1100"/>
    <x v="292"/>
    <x v="0"/>
    <x v="2"/>
    <n v="13"/>
    <x v="0"/>
    <n v="1"/>
    <n v="366.2"/>
    <n v="732.69"/>
    <n v="703.38240000000008"/>
    <n v="9143.9712"/>
    <n v="4760.5999999999995"/>
    <n v="4383.3712000000005"/>
    <n v="0.47937281342268451"/>
    <s v="Profit"/>
    <x v="1"/>
    <n v="0.04"/>
    <s v="Cash"/>
    <s v="Retail"/>
    <s v="East-Bob"/>
  </r>
  <r>
    <n v="1100"/>
    <x v="76"/>
    <x v="1"/>
    <x v="0"/>
    <n v="39"/>
    <x v="3"/>
    <n v="1"/>
    <n v="3685.03"/>
    <n v="3743.39"/>
    <n v="3705.9560999999999"/>
    <n v="144532.2879"/>
    <n v="143716.17000000001"/>
    <n v="816.11789999998291"/>
    <n v="5.6466130292259975E-3"/>
    <s v="Profit"/>
    <x v="1"/>
    <n v="0.01"/>
    <s v="Bank Transfer"/>
    <s v="Online"/>
    <s v="West-David"/>
  </r>
  <r>
    <n v="1100"/>
    <x v="254"/>
    <x v="2"/>
    <x v="1"/>
    <n v="43"/>
    <x v="1"/>
    <n v="1"/>
    <n v="2116.09"/>
    <n v="2472.98"/>
    <n v="2448.2501999999999"/>
    <n v="105274.7586"/>
    <n v="90991.87000000001"/>
    <n v="14282.888599999991"/>
    <n v="0.13567248968263121"/>
    <s v="Profit"/>
    <x v="1"/>
    <n v="0.01"/>
    <s v="Credit Card"/>
    <s v="Retail"/>
    <s v="North-Eve"/>
  </r>
  <r>
    <n v="1100"/>
    <x v="245"/>
    <x v="0"/>
    <x v="0"/>
    <n v="29"/>
    <x v="0"/>
    <n v="1"/>
    <n v="3559.56"/>
    <n v="3607.15"/>
    <n v="2849.6485000000002"/>
    <n v="82639.806500000006"/>
    <n v="103227.24"/>
    <n v="-20587.433499999999"/>
    <n v="-0.24912247949176886"/>
    <s v="Loss"/>
    <x v="0"/>
    <n v="0.21"/>
    <s v="Cash"/>
    <s v="Retail"/>
    <s v="West-Bob"/>
  </r>
  <r>
    <n v="1100"/>
    <x v="221"/>
    <x v="4"/>
    <x v="1"/>
    <n v="19"/>
    <x v="3"/>
    <n v="1"/>
    <n v="1820.89"/>
    <n v="2257.92"/>
    <n v="1986.9696000000001"/>
    <n v="37752.422400000003"/>
    <n v="34596.910000000003"/>
    <n v="3155.5123999999996"/>
    <n v="8.3584368880127796E-2"/>
    <s v="Profit"/>
    <x v="1"/>
    <n v="0.12"/>
    <s v="Cash"/>
    <s v="Retail"/>
    <s v="North-Charli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31" cacheId="36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2">
  <location ref="A396:B399" firstHeaderRow="1" firstDataRow="1" firstDataCol="1"/>
  <pivotFields count="25">
    <pivotField showAll="0"/>
    <pivotField numFmtId="14" showAll="0">
      <items count="15">
        <item x="0"/>
        <item x="1"/>
        <item x="2"/>
        <item x="3"/>
        <item x="4"/>
        <item x="5"/>
        <item x="6"/>
        <item x="7"/>
        <item x="8"/>
        <item x="9"/>
        <item x="10"/>
        <item x="11"/>
        <item x="12"/>
        <item x="13"/>
        <item t="default"/>
      </items>
    </pivotField>
    <pivotField showAll="0">
      <items count="6">
        <item x="3"/>
        <item x="0"/>
        <item x="4"/>
        <item x="1"/>
        <item x="2"/>
        <item t="default"/>
      </items>
    </pivotField>
    <pivotField showAll="0">
      <items count="5">
        <item x="2"/>
        <item x="1"/>
        <item x="3"/>
        <item x="0"/>
        <item t="default"/>
      </items>
    </pivotField>
    <pivotField showAll="0"/>
    <pivotField showAll="0">
      <items count="5">
        <item x="2"/>
        <item x="3"/>
        <item x="0"/>
        <item x="1"/>
        <item t="default"/>
      </items>
    </pivotField>
    <pivotField showAll="0" defaultSubtotal="0"/>
    <pivotField numFmtId="1" showAll="0"/>
    <pivotField numFmtId="1" showAll="0" defaultSubtotal="0"/>
    <pivotField numFmtId="1" showAll="0"/>
    <pivotField dataField="1" numFmtId="1" showAll="0"/>
    <pivotField numFmtId="1" showAll="0"/>
    <pivotField numFmtId="1" showAll="0"/>
    <pivotField numFmtId="9" showAll="0"/>
    <pivotField showAll="0"/>
    <pivotField axis="axisRow" showAll="0">
      <items count="3">
        <item x="1"/>
        <item x="0"/>
        <item t="default"/>
      </items>
    </pivotField>
    <pivotField showAll="0"/>
    <pivotField showAll="0"/>
    <pivotField showAll="0"/>
    <pivotField showAll="0"/>
    <pivotField showAll="0" defaultSubtotal="0">
      <items count="2">
        <item x="1"/>
        <item x="0"/>
      </items>
    </pivotField>
    <pivotField showAll="0" defaultSubtotal="0">
      <items count="6">
        <item sd="0" x="0"/>
        <item sd="0" x="1"/>
        <item sd="0" x="2"/>
        <item sd="0" x="3"/>
        <item sd="0" x="4"/>
        <item sd="0" x="5"/>
      </items>
    </pivotField>
    <pivotField showAll="0" defaultSubtotal="0">
      <items count="4">
        <item sd="0" x="0"/>
        <item x="1"/>
        <item x="2"/>
        <item sd="0" x="3"/>
      </items>
    </pivotField>
    <pivotField dragToRow="0" dragToCol="0" dragToPage="0" showAll="0" defaultSubtotal="0"/>
    <pivotField dragToRow="0" dragToCol="0" dragToPage="0" showAll="0" defaultSubtotal="0"/>
  </pivotFields>
  <rowFields count="1">
    <field x="15"/>
  </rowFields>
  <rowItems count="3">
    <i>
      <x/>
    </i>
    <i>
      <x v="1"/>
    </i>
    <i t="grand">
      <x/>
    </i>
  </rowItems>
  <colItems count="1">
    <i/>
  </colItems>
  <dataFields count="1">
    <dataField name="Sum of Sales Amount" fld="10" baseField="0" baseItem="0"/>
  </dataFields>
  <formats count="5">
    <format dxfId="37">
      <pivotArea outline="0" collapsedLevelsAreSubtotals="1" fieldPosition="0"/>
    </format>
    <format dxfId="38">
      <pivotArea outline="0" collapsedLevelsAreSubtotals="1" fieldPosition="0"/>
    </format>
    <format dxfId="39">
      <pivotArea outline="0" collapsedLevelsAreSubtotals="1" fieldPosition="0"/>
    </format>
    <format dxfId="40">
      <pivotArea outline="0" collapsedLevelsAreSubtotals="1" fieldPosition="0"/>
    </format>
    <format dxfId="41">
      <pivotArea outline="0" collapsedLevelsAreSubtotals="1" fieldPosition="0"/>
    </format>
  </formats>
  <chartFormats count="7">
    <chartFormat chart="47" format="0" series="1">
      <pivotArea type="data" outline="0" fieldPosition="0">
        <references count="1">
          <reference field="4294967294" count="1" selected="0">
            <x v="0"/>
          </reference>
        </references>
      </pivotArea>
    </chartFormat>
    <chartFormat chart="48" format="1" series="1">
      <pivotArea type="data" outline="0" fieldPosition="0">
        <references count="1">
          <reference field="4294967294" count="1" selected="0">
            <x v="0"/>
          </reference>
        </references>
      </pivotArea>
    </chartFormat>
    <chartFormat chart="48" format="2">
      <pivotArea type="data" outline="0" fieldPosition="0">
        <references count="2">
          <reference field="4294967294" count="1" selected="0">
            <x v="0"/>
          </reference>
          <reference field="15" count="1" selected="0">
            <x v="0"/>
          </reference>
        </references>
      </pivotArea>
    </chartFormat>
    <chartFormat chart="48" format="3">
      <pivotArea type="data" outline="0" fieldPosition="0">
        <references count="2">
          <reference field="4294967294" count="1" selected="0">
            <x v="0"/>
          </reference>
          <reference field="15" count="1" selected="0">
            <x v="1"/>
          </reference>
        </references>
      </pivotArea>
    </chartFormat>
    <chartFormat chart="49" format="4" series="1">
      <pivotArea type="data" outline="0" fieldPosition="0">
        <references count="1">
          <reference field="4294967294" count="1" selected="0">
            <x v="0"/>
          </reference>
        </references>
      </pivotArea>
    </chartFormat>
    <chartFormat chart="49" format="5">
      <pivotArea type="data" outline="0" fieldPosition="0">
        <references count="2">
          <reference field="4294967294" count="1" selected="0">
            <x v="0"/>
          </reference>
          <reference field="15" count="1" selected="0">
            <x v="0"/>
          </reference>
        </references>
      </pivotArea>
    </chartFormat>
    <chartFormat chart="49" format="6">
      <pivotArea type="data" outline="0" fieldPosition="0">
        <references count="2">
          <reference field="4294967294" count="1" selected="0">
            <x v="0"/>
          </reference>
          <reference field="1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4" cacheId="36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4">
  <location ref="A378:C383" firstHeaderRow="0" firstDataRow="1" firstDataCol="1"/>
  <pivotFields count="25">
    <pivotField showAll="0"/>
    <pivotField numFmtId="14" showAll="0">
      <items count="15">
        <item x="0"/>
        <item x="1"/>
        <item x="2"/>
        <item x="3"/>
        <item x="4"/>
        <item x="5"/>
        <item x="6"/>
        <item x="7"/>
        <item x="8"/>
        <item x="9"/>
        <item x="10"/>
        <item x="11"/>
        <item x="12"/>
        <item x="13"/>
        <item t="default"/>
      </items>
    </pivotField>
    <pivotField showAll="0">
      <items count="6">
        <item x="3"/>
        <item x="0"/>
        <item x="4"/>
        <item x="1"/>
        <item x="2"/>
        <item t="default"/>
      </items>
    </pivotField>
    <pivotField showAll="0">
      <items count="5">
        <item x="2"/>
        <item x="1"/>
        <item x="3"/>
        <item x="0"/>
        <item t="default"/>
      </items>
    </pivotField>
    <pivotField showAll="0"/>
    <pivotField axis="axisRow" showAll="0" sortType="descending">
      <items count="5">
        <item x="2"/>
        <item x="3"/>
        <item x="0"/>
        <item x="1"/>
        <item t="default"/>
      </items>
      <autoSortScope>
        <pivotArea dataOnly="0" outline="0" fieldPosition="0">
          <references count="1">
            <reference field="4294967294" count="1" selected="0">
              <x v="0"/>
            </reference>
          </references>
        </pivotArea>
      </autoSortScope>
    </pivotField>
    <pivotField showAll="0" defaultSubtotal="0"/>
    <pivotField dataField="1" numFmtId="1" showAll="0"/>
    <pivotField numFmtId="1" showAll="0" defaultSubtotal="0"/>
    <pivotField numFmtId="1" showAll="0"/>
    <pivotField dataField="1" numFmtId="1" showAll="0"/>
    <pivotField numFmtId="1" showAll="0"/>
    <pivotField numFmtId="1" showAll="0"/>
    <pivotField numFmtId="9" showAll="0"/>
    <pivotField showAll="0"/>
    <pivotField showAll="0"/>
    <pivotField showAll="0"/>
    <pivotField showAll="0"/>
    <pivotField showAll="0"/>
    <pivotField showAll="0"/>
    <pivotField showAll="0" defaultSubtotal="0">
      <items count="2">
        <item x="1"/>
        <item x="0"/>
      </items>
    </pivotField>
    <pivotField showAll="0" defaultSubtotal="0">
      <items count="6">
        <item sd="0" x="0"/>
        <item sd="0" x="1"/>
        <item sd="0" x="2"/>
        <item sd="0" x="3"/>
        <item sd="0" x="4"/>
        <item sd="0" x="5"/>
      </items>
    </pivotField>
    <pivotField showAll="0" defaultSubtotal="0">
      <items count="4">
        <item sd="0" x="0"/>
        <item x="1"/>
        <item x="2"/>
        <item sd="0" x="3"/>
      </items>
    </pivotField>
    <pivotField dragToRow="0" dragToCol="0" dragToPage="0" showAll="0" defaultSubtotal="0"/>
    <pivotField dragToRow="0" dragToCol="0" dragToPage="0" showAll="0" defaultSubtotal="0"/>
  </pivotFields>
  <rowFields count="1">
    <field x="5"/>
  </rowFields>
  <rowItems count="5">
    <i>
      <x/>
    </i>
    <i>
      <x v="3"/>
    </i>
    <i>
      <x v="1"/>
    </i>
    <i>
      <x v="2"/>
    </i>
    <i t="grand">
      <x/>
    </i>
  </rowItems>
  <colFields count="1">
    <field x="-2"/>
  </colFields>
  <colItems count="2">
    <i>
      <x/>
    </i>
    <i i="1">
      <x v="1"/>
    </i>
  </colItems>
  <dataFields count="2">
    <dataField name="Sum of Unit_Cost" fld="7" baseField="0" baseItem="0"/>
    <dataField name="Sum of Sales Amount" fld="10" baseField="0" baseItem="0"/>
  </dataFields>
  <formats count="5">
    <format dxfId="1769">
      <pivotArea outline="0" collapsedLevelsAreSubtotals="1" fieldPosition="0"/>
    </format>
    <format dxfId="1770">
      <pivotArea outline="0" collapsedLevelsAreSubtotals="1" fieldPosition="0"/>
    </format>
    <format dxfId="1771">
      <pivotArea outline="0" collapsedLevelsAreSubtotals="1" fieldPosition="0"/>
    </format>
    <format dxfId="1772">
      <pivotArea outline="0" collapsedLevelsAreSubtotals="1" fieldPosition="0"/>
    </format>
    <format dxfId="177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20" cacheId="36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4">
  <location ref="A319:G328" firstHeaderRow="1" firstDataRow="2" firstDataCol="1"/>
  <pivotFields count="25">
    <pivotField showAll="0"/>
    <pivotField numFmtId="14" showAll="0">
      <items count="15">
        <item x="0"/>
        <item x="1"/>
        <item x="2"/>
        <item x="3"/>
        <item x="4"/>
        <item x="5"/>
        <item x="6"/>
        <item x="7"/>
        <item x="8"/>
        <item x="9"/>
        <item x="10"/>
        <item x="11"/>
        <item x="12"/>
        <item x="13"/>
        <item t="default"/>
      </items>
    </pivotField>
    <pivotField axis="axisCol" showAll="0">
      <items count="6">
        <item x="3"/>
        <item x="0"/>
        <item x="4"/>
        <item x="1"/>
        <item x="2"/>
        <item t="default"/>
      </items>
    </pivotField>
    <pivotField showAll="0">
      <items count="5">
        <item x="2"/>
        <item x="1"/>
        <item x="3"/>
        <item x="0"/>
        <item t="default"/>
      </items>
    </pivotField>
    <pivotField showAll="0"/>
    <pivotField showAll="0">
      <items count="5">
        <item x="2"/>
        <item x="3"/>
        <item x="0"/>
        <item x="1"/>
        <item t="default"/>
      </items>
    </pivotField>
    <pivotField showAll="0" defaultSubtotal="0"/>
    <pivotField numFmtId="1" showAll="0"/>
    <pivotField numFmtId="1" showAll="0" defaultSubtotal="0"/>
    <pivotField numFmtId="1" showAll="0"/>
    <pivotField dataField="1" numFmtId="1" showAll="0"/>
    <pivotField numFmtId="1" showAll="0"/>
    <pivotField numFmtId="1" showAll="0"/>
    <pivotField numFmtId="9" showAll="0"/>
    <pivotField showAll="0"/>
    <pivotField showAll="0"/>
    <pivotField showAll="0"/>
    <pivotField showAll="0"/>
    <pivotField showAll="0"/>
    <pivotField showAll="0"/>
    <pivotField showAll="0" defaultSubtotal="0">
      <items count="2">
        <item x="1"/>
        <item x="0"/>
      </items>
    </pivotField>
    <pivotField axis="axisRow" showAll="0" defaultSubtotal="0">
      <items count="6">
        <item sd="0" x="0"/>
        <item sd="0" x="1"/>
        <item sd="0" x="2"/>
        <item sd="0" x="3"/>
        <item sd="0" x="4"/>
        <item sd="0" x="5"/>
      </items>
    </pivotField>
    <pivotField axis="axisRow" showAll="0" defaultSubtotal="0">
      <items count="4">
        <item sd="0" x="0"/>
        <item x="1"/>
        <item x="2"/>
        <item sd="0" x="3"/>
      </items>
    </pivotField>
    <pivotField dragToRow="0" dragToCol="0" dragToPage="0" showAll="0" defaultSubtotal="0"/>
    <pivotField dragToRow="0" dragToCol="0" dragToPage="0" showAll="0" defaultSubtotal="0"/>
  </pivotFields>
  <rowFields count="2">
    <field x="22"/>
    <field x="21"/>
  </rowFields>
  <rowItems count="8">
    <i>
      <x v="1"/>
    </i>
    <i r="1">
      <x v="1"/>
    </i>
    <i r="1">
      <x v="2"/>
    </i>
    <i r="1">
      <x v="3"/>
    </i>
    <i r="1">
      <x v="4"/>
    </i>
    <i>
      <x v="2"/>
    </i>
    <i r="1">
      <x v="1"/>
    </i>
    <i t="grand">
      <x/>
    </i>
  </rowItems>
  <colFields count="1">
    <field x="2"/>
  </colFields>
  <colItems count="6">
    <i>
      <x/>
    </i>
    <i>
      <x v="1"/>
    </i>
    <i>
      <x v="2"/>
    </i>
    <i>
      <x v="3"/>
    </i>
    <i>
      <x v="4"/>
    </i>
    <i t="grand">
      <x/>
    </i>
  </colItems>
  <dataFields count="1">
    <dataField name="Sum of Sales Amount" fld="10" baseField="0" baseItem="0" numFmtId="164"/>
  </dataFields>
  <formats count="5">
    <format dxfId="1778">
      <pivotArea outline="0" collapsedLevelsAreSubtotals="1" fieldPosition="0"/>
    </format>
    <format dxfId="1777">
      <pivotArea outline="0" collapsedLevelsAreSubtotals="1" fieldPosition="0"/>
    </format>
    <format dxfId="1776">
      <pivotArea outline="0" collapsedLevelsAreSubtotals="1" fieldPosition="0"/>
    </format>
    <format dxfId="1775">
      <pivotArea outline="0" collapsedLevelsAreSubtotals="1" fieldPosition="0"/>
    </format>
    <format dxfId="1774">
      <pivotArea outline="0" collapsedLevelsAreSubtotals="1" fieldPosition="0"/>
    </format>
  </formats>
  <chartFormats count="12">
    <chartFormat chart="20" format="0" series="1">
      <pivotArea type="data" outline="0" fieldPosition="0">
        <references count="2">
          <reference field="4294967294" count="1" selected="0">
            <x v="0"/>
          </reference>
          <reference field="2" count="1" selected="0">
            <x v="0"/>
          </reference>
        </references>
      </pivotArea>
    </chartFormat>
    <chartFormat chart="20" format="1" series="1">
      <pivotArea type="data" outline="0" fieldPosition="0">
        <references count="2">
          <reference field="4294967294" count="1" selected="0">
            <x v="0"/>
          </reference>
          <reference field="2" count="1" selected="0">
            <x v="1"/>
          </reference>
        </references>
      </pivotArea>
    </chartFormat>
    <chartFormat chart="20" format="2" series="1">
      <pivotArea type="data" outline="0" fieldPosition="0">
        <references count="2">
          <reference field="4294967294" count="1" selected="0">
            <x v="0"/>
          </reference>
          <reference field="2" count="1" selected="0">
            <x v="2"/>
          </reference>
        </references>
      </pivotArea>
    </chartFormat>
    <chartFormat chart="20" format="3" series="1">
      <pivotArea type="data" outline="0" fieldPosition="0">
        <references count="2">
          <reference field="4294967294" count="1" selected="0">
            <x v="0"/>
          </reference>
          <reference field="2" count="1" selected="0">
            <x v="3"/>
          </reference>
        </references>
      </pivotArea>
    </chartFormat>
    <chartFormat chart="20" format="4" series="1">
      <pivotArea type="data" outline="0" fieldPosition="0">
        <references count="2">
          <reference field="4294967294" count="1" selected="0">
            <x v="0"/>
          </reference>
          <reference field="2" count="1" selected="0">
            <x v="4"/>
          </reference>
        </references>
      </pivotArea>
    </chartFormat>
    <chartFormat chart="26" format="10" series="1">
      <pivotArea type="data" outline="0" fieldPosition="0">
        <references count="2">
          <reference field="4294967294" count="1" selected="0">
            <x v="0"/>
          </reference>
          <reference field="2" count="1" selected="0">
            <x v="0"/>
          </reference>
        </references>
      </pivotArea>
    </chartFormat>
    <chartFormat chart="26" format="11" series="1">
      <pivotArea type="data" outline="0" fieldPosition="0">
        <references count="2">
          <reference field="4294967294" count="1" selected="0">
            <x v="0"/>
          </reference>
          <reference field="2" count="1" selected="0">
            <x v="1"/>
          </reference>
        </references>
      </pivotArea>
    </chartFormat>
    <chartFormat chart="26" format="12" series="1">
      <pivotArea type="data" outline="0" fieldPosition="0">
        <references count="2">
          <reference field="4294967294" count="1" selected="0">
            <x v="0"/>
          </reference>
          <reference field="2" count="1" selected="0">
            <x v="2"/>
          </reference>
        </references>
      </pivotArea>
    </chartFormat>
    <chartFormat chart="26" format="13" series="1">
      <pivotArea type="data" outline="0" fieldPosition="0">
        <references count="2">
          <reference field="4294967294" count="1" selected="0">
            <x v="0"/>
          </reference>
          <reference field="2" count="1" selected="0">
            <x v="3"/>
          </reference>
        </references>
      </pivotArea>
    </chartFormat>
    <chartFormat chart="26" format="14" series="1">
      <pivotArea type="data" outline="0" fieldPosition="0">
        <references count="2">
          <reference field="4294967294" count="1" selected="0">
            <x v="0"/>
          </reference>
          <reference field="2" count="1" selected="0">
            <x v="4"/>
          </reference>
        </references>
      </pivotArea>
    </chartFormat>
    <chartFormat chart="26" format="15" series="1">
      <pivotArea type="data" outline="0" fieldPosition="0">
        <references count="1">
          <reference field="4294967294" count="1" selected="0">
            <x v="0"/>
          </reference>
        </references>
      </pivotArea>
    </chartFormat>
    <chartFormat chart="20"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3" cacheId="36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2">
  <location ref="A116:G130" firstHeaderRow="1" firstDataRow="2" firstDataCol="1"/>
  <pivotFields count="25">
    <pivotField showAll="0"/>
    <pivotField axis="axisRow" numFmtId="14" showAll="0">
      <items count="15">
        <item x="0"/>
        <item x="1"/>
        <item x="2"/>
        <item x="3"/>
        <item x="4"/>
        <item x="5"/>
        <item x="6"/>
        <item x="7"/>
        <item x="8"/>
        <item x="9"/>
        <item x="10"/>
        <item x="11"/>
        <item x="12"/>
        <item x="13"/>
        <item t="default"/>
      </items>
    </pivotField>
    <pivotField axis="axisCol" showAll="0">
      <items count="6">
        <item x="3"/>
        <item x="0"/>
        <item x="4"/>
        <item x="1"/>
        <item x="2"/>
        <item t="default"/>
      </items>
    </pivotField>
    <pivotField showAll="0">
      <items count="5">
        <item x="2"/>
        <item x="1"/>
        <item x="3"/>
        <item x="0"/>
        <item t="default"/>
      </items>
    </pivotField>
    <pivotField showAll="0"/>
    <pivotField showAll="0">
      <items count="5">
        <item x="2"/>
        <item x="3"/>
        <item x="0"/>
        <item x="1"/>
        <item t="default"/>
      </items>
    </pivotField>
    <pivotField showAll="0" defaultSubtotal="0"/>
    <pivotField numFmtId="1" showAll="0"/>
    <pivotField numFmtId="1" showAll="0" defaultSubtotal="0"/>
    <pivotField numFmtId="1" showAll="0"/>
    <pivotField dataField="1" numFmtId="1" showAll="0"/>
    <pivotField numFmtId="1" showAll="0"/>
    <pivotField numFmtId="1" showAll="0"/>
    <pivotField numFmtId="9" showAll="0"/>
    <pivotField showAll="0"/>
    <pivotField showAll="0"/>
    <pivotField showAll="0"/>
    <pivotField showAll="0"/>
    <pivotField showAll="0"/>
    <pivotField showAll="0"/>
    <pivotField showAll="0" defaultSubtotal="0">
      <items count="2">
        <item x="1"/>
        <item x="0"/>
      </items>
    </pivotField>
    <pivotField showAll="0" defaultSubtotal="0">
      <items count="6">
        <item sd="0" x="0"/>
        <item sd="0" x="1"/>
        <item sd="0" x="2"/>
        <item sd="0" x="3"/>
        <item sd="0" x="4"/>
        <item sd="0" x="5"/>
      </items>
    </pivotField>
    <pivotField showAll="0" defaultSubtotal="0">
      <items count="4">
        <item sd="0" x="0"/>
        <item x="1"/>
        <item sd="0" x="2"/>
        <item sd="0" x="3"/>
      </items>
    </pivotField>
    <pivotField dragToRow="0" dragToCol="0" dragToPage="0" showAll="0" defaultSubtotal="0"/>
    <pivotField dragToRow="0" dragToCol="0" dragToPage="0" showAll="0" defaultSubtotal="0"/>
  </pivotFields>
  <rowFields count="1">
    <field x="1"/>
  </rowFields>
  <rowItems count="13">
    <i>
      <x v="1"/>
    </i>
    <i>
      <x v="2"/>
    </i>
    <i>
      <x v="3"/>
    </i>
    <i>
      <x v="4"/>
    </i>
    <i>
      <x v="5"/>
    </i>
    <i>
      <x v="6"/>
    </i>
    <i>
      <x v="7"/>
    </i>
    <i>
      <x v="8"/>
    </i>
    <i>
      <x v="9"/>
    </i>
    <i>
      <x v="10"/>
    </i>
    <i>
      <x v="11"/>
    </i>
    <i>
      <x v="12"/>
    </i>
    <i t="grand">
      <x/>
    </i>
  </rowItems>
  <colFields count="1">
    <field x="2"/>
  </colFields>
  <colItems count="6">
    <i>
      <x/>
    </i>
    <i>
      <x v="1"/>
    </i>
    <i>
      <x v="2"/>
    </i>
    <i>
      <x v="3"/>
    </i>
    <i>
      <x v="4"/>
    </i>
    <i t="grand">
      <x/>
    </i>
  </colItems>
  <dataFields count="1">
    <dataField name="Sum of Sales Amount" fld="10" showDataAs="percentOfTotal" baseField="0" baseItem="0" numFmtId="10"/>
  </dataFields>
  <formats count="33">
    <format dxfId="1811">
      <pivotArea outline="0" collapsedLevelsAreSubtotals="1" fieldPosition="0"/>
    </format>
    <format dxfId="1810">
      <pivotArea outline="0" collapsedLevelsAreSubtotals="1" fieldPosition="0"/>
    </format>
    <format dxfId="1809">
      <pivotArea outline="0" collapsedLevelsAreSubtotals="1" fieldPosition="0"/>
    </format>
    <format dxfId="1808">
      <pivotArea outline="0" collapsedLevelsAreSubtotals="1" fieldPosition="0"/>
    </format>
    <format dxfId="1807">
      <pivotArea outline="0" collapsedLevelsAreSubtotals="1" fieldPosition="0"/>
    </format>
    <format dxfId="1806">
      <pivotArea type="all" dataOnly="0" outline="0" fieldPosition="0"/>
    </format>
    <format dxfId="1805">
      <pivotArea outline="0" collapsedLevelsAreSubtotals="1" fieldPosition="0"/>
    </format>
    <format dxfId="1804">
      <pivotArea type="origin" dataOnly="0" labelOnly="1" outline="0" fieldPosition="0"/>
    </format>
    <format dxfId="1803">
      <pivotArea field="2" type="button" dataOnly="0" labelOnly="1" outline="0" axis="axisCol" fieldPosition="0"/>
    </format>
    <format dxfId="1802">
      <pivotArea type="topRight" dataOnly="0" labelOnly="1" outline="0" fieldPosition="0"/>
    </format>
    <format dxfId="1801">
      <pivotArea field="21" type="button" dataOnly="0" labelOnly="1" outline="0"/>
    </format>
    <format dxfId="1800">
      <pivotArea dataOnly="0" labelOnly="1" grandRow="1" outline="0" fieldPosition="0"/>
    </format>
    <format dxfId="1799">
      <pivotArea dataOnly="0" labelOnly="1" fieldPosition="0">
        <references count="1">
          <reference field="2" count="0"/>
        </references>
      </pivotArea>
    </format>
    <format dxfId="1798">
      <pivotArea dataOnly="0" labelOnly="1" grandCol="1" outline="0" fieldPosition="0"/>
    </format>
    <format dxfId="1797">
      <pivotArea type="all" dataOnly="0" outline="0" fieldPosition="0"/>
    </format>
    <format dxfId="1796">
      <pivotArea outline="0" collapsedLevelsAreSubtotals="1" fieldPosition="0"/>
    </format>
    <format dxfId="1795">
      <pivotArea type="origin" dataOnly="0" labelOnly="1" outline="0" fieldPosition="0"/>
    </format>
    <format dxfId="1794">
      <pivotArea field="2" type="button" dataOnly="0" labelOnly="1" outline="0" axis="axisCol" fieldPosition="0"/>
    </format>
    <format dxfId="1793">
      <pivotArea type="topRight" dataOnly="0" labelOnly="1" outline="0" fieldPosition="0"/>
    </format>
    <format dxfId="1792">
      <pivotArea field="21" type="button" dataOnly="0" labelOnly="1" outline="0"/>
    </format>
    <format dxfId="1791">
      <pivotArea dataOnly="0" labelOnly="1" grandRow="1" outline="0" fieldPosition="0"/>
    </format>
    <format dxfId="1790">
      <pivotArea dataOnly="0" labelOnly="1" fieldPosition="0">
        <references count="1">
          <reference field="2" count="0"/>
        </references>
      </pivotArea>
    </format>
    <format dxfId="1789">
      <pivotArea dataOnly="0" labelOnly="1" grandCol="1" outline="0" fieldPosition="0"/>
    </format>
    <format dxfId="1788">
      <pivotArea type="all" dataOnly="0" outline="0" fieldPosition="0"/>
    </format>
    <format dxfId="1787">
      <pivotArea outline="0" collapsedLevelsAreSubtotals="1" fieldPosition="0"/>
    </format>
    <format dxfId="1786">
      <pivotArea type="origin" dataOnly="0" labelOnly="1" outline="0" fieldPosition="0"/>
    </format>
    <format dxfId="1785">
      <pivotArea field="2" type="button" dataOnly="0" labelOnly="1" outline="0" axis="axisCol" fieldPosition="0"/>
    </format>
    <format dxfId="1784">
      <pivotArea type="topRight" dataOnly="0" labelOnly="1" outline="0" fieldPosition="0"/>
    </format>
    <format dxfId="1783">
      <pivotArea field="21" type="button" dataOnly="0" labelOnly="1" outline="0"/>
    </format>
    <format dxfId="1782">
      <pivotArea dataOnly="0" labelOnly="1" grandRow="1" outline="0" fieldPosition="0"/>
    </format>
    <format dxfId="1781">
      <pivotArea dataOnly="0" labelOnly="1" fieldPosition="0">
        <references count="1">
          <reference field="2" count="0"/>
        </references>
      </pivotArea>
    </format>
    <format dxfId="1780">
      <pivotArea dataOnly="0" labelOnly="1" grandCol="1" outline="0" fieldPosition="0"/>
    </format>
    <format dxfId="1779">
      <pivotArea outline="0" fieldPosition="0">
        <references count="1">
          <reference field="4294967294" count="1">
            <x v="0"/>
          </reference>
        </references>
      </pivotArea>
    </format>
  </formats>
  <chartFormats count="20">
    <chartFormat chart="11" format="20" series="1">
      <pivotArea type="data" outline="0" fieldPosition="0">
        <references count="1">
          <reference field="2" count="1" selected="0">
            <x v="0"/>
          </reference>
        </references>
      </pivotArea>
    </chartFormat>
    <chartFormat chart="11" format="21" series="1">
      <pivotArea type="data" outline="0" fieldPosition="0">
        <references count="1">
          <reference field="2" count="1" selected="0">
            <x v="1"/>
          </reference>
        </references>
      </pivotArea>
    </chartFormat>
    <chartFormat chart="11" format="22" series="1">
      <pivotArea type="data" outline="0" fieldPosition="0">
        <references count="1">
          <reference field="2" count="1" selected="0">
            <x v="2"/>
          </reference>
        </references>
      </pivotArea>
    </chartFormat>
    <chartFormat chart="11" format="23" series="1">
      <pivotArea type="data" outline="0" fieldPosition="0">
        <references count="1">
          <reference field="2" count="1" selected="0">
            <x v="3"/>
          </reference>
        </references>
      </pivotArea>
    </chartFormat>
    <chartFormat chart="11" format="24" series="1">
      <pivotArea type="data" outline="0" fieldPosition="0">
        <references count="1">
          <reference field="2" count="1" selected="0">
            <x v="4"/>
          </reference>
        </references>
      </pivotArea>
    </chartFormat>
    <chartFormat chart="8" format="15" series="1">
      <pivotArea type="data" outline="0" fieldPosition="0">
        <references count="1">
          <reference field="2" count="1" selected="0">
            <x v="0"/>
          </reference>
        </references>
      </pivotArea>
    </chartFormat>
    <chartFormat chart="8" format="16" series="1">
      <pivotArea type="data" outline="0" fieldPosition="0">
        <references count="1">
          <reference field="2" count="1" selected="0">
            <x v="1"/>
          </reference>
        </references>
      </pivotArea>
    </chartFormat>
    <chartFormat chart="8" format="17" series="1">
      <pivotArea type="data" outline="0" fieldPosition="0">
        <references count="1">
          <reference field="2" count="1" selected="0">
            <x v="2"/>
          </reference>
        </references>
      </pivotArea>
    </chartFormat>
    <chartFormat chart="8" format="18" series="1">
      <pivotArea type="data" outline="0" fieldPosition="0">
        <references count="1">
          <reference field="2" count="1" selected="0">
            <x v="3"/>
          </reference>
        </references>
      </pivotArea>
    </chartFormat>
    <chartFormat chart="8" format="19" series="1">
      <pivotArea type="data" outline="0" fieldPosition="0">
        <references count="1">
          <reference field="2" count="1" selected="0">
            <x v="4"/>
          </reference>
        </references>
      </pivotArea>
    </chartFormat>
    <chartFormat chart="8" format="20" series="1">
      <pivotArea type="data" outline="0" fieldPosition="0">
        <references count="2">
          <reference field="4294967294" count="1" selected="0">
            <x v="0"/>
          </reference>
          <reference field="2" count="1" selected="0">
            <x v="1"/>
          </reference>
        </references>
      </pivotArea>
    </chartFormat>
    <chartFormat chart="8" format="21" series="1">
      <pivotArea type="data" outline="0" fieldPosition="0">
        <references count="2">
          <reference field="4294967294" count="1" selected="0">
            <x v="0"/>
          </reference>
          <reference field="2" count="1" selected="0">
            <x v="2"/>
          </reference>
        </references>
      </pivotArea>
    </chartFormat>
    <chartFormat chart="8" format="22" series="1">
      <pivotArea type="data" outline="0" fieldPosition="0">
        <references count="2">
          <reference field="4294967294" count="1" selected="0">
            <x v="0"/>
          </reference>
          <reference field="2" count="1" selected="0">
            <x v="3"/>
          </reference>
        </references>
      </pivotArea>
    </chartFormat>
    <chartFormat chart="8" format="23" series="1">
      <pivotArea type="data" outline="0" fieldPosition="0">
        <references count="2">
          <reference field="4294967294" count="1" selected="0">
            <x v="0"/>
          </reference>
          <reference field="2" count="1" selected="0">
            <x v="4"/>
          </reference>
        </references>
      </pivotArea>
    </chartFormat>
    <chartFormat chart="11" format="25" series="1">
      <pivotArea type="data" outline="0" fieldPosition="0">
        <references count="2">
          <reference field="4294967294" count="1" selected="0">
            <x v="0"/>
          </reference>
          <reference field="2" count="1" selected="0">
            <x v="1"/>
          </reference>
        </references>
      </pivotArea>
    </chartFormat>
    <chartFormat chart="11" format="26" series="1">
      <pivotArea type="data" outline="0" fieldPosition="0">
        <references count="2">
          <reference field="4294967294" count="1" selected="0">
            <x v="0"/>
          </reference>
          <reference field="2" count="1" selected="0">
            <x v="2"/>
          </reference>
        </references>
      </pivotArea>
    </chartFormat>
    <chartFormat chart="11" format="27" series="1">
      <pivotArea type="data" outline="0" fieldPosition="0">
        <references count="2">
          <reference field="4294967294" count="1" selected="0">
            <x v="0"/>
          </reference>
          <reference field="2" count="1" selected="0">
            <x v="3"/>
          </reference>
        </references>
      </pivotArea>
    </chartFormat>
    <chartFormat chart="11" format="28" series="1">
      <pivotArea type="data" outline="0" fieldPosition="0">
        <references count="2">
          <reference field="4294967294" count="1" selected="0">
            <x v="0"/>
          </reference>
          <reference field="2" count="1" selected="0">
            <x v="4"/>
          </reference>
        </references>
      </pivotArea>
    </chartFormat>
    <chartFormat chart="11" format="29" series="1">
      <pivotArea type="data" outline="0" fieldPosition="0">
        <references count="1">
          <reference field="4294967294" count="1" selected="0">
            <x v="0"/>
          </reference>
        </references>
      </pivotArea>
    </chartFormat>
    <chartFormat chart="8" format="2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21" cacheId="36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1">
  <location ref="A173:B178" firstHeaderRow="1" firstDataRow="1" firstDataCol="1"/>
  <pivotFields count="25">
    <pivotField showAll="0"/>
    <pivotField numFmtId="14" showAll="0">
      <items count="15">
        <item x="0"/>
        <item x="1"/>
        <item x="2"/>
        <item x="3"/>
        <item x="4"/>
        <item x="5"/>
        <item x="6"/>
        <item x="7"/>
        <item x="8"/>
        <item x="9"/>
        <item x="10"/>
        <item x="11"/>
        <item x="12"/>
        <item x="13"/>
        <item t="default"/>
      </items>
    </pivotField>
    <pivotField showAll="0">
      <items count="6">
        <item x="3"/>
        <item x="0"/>
        <item x="4"/>
        <item x="1"/>
        <item x="2"/>
        <item t="default"/>
      </items>
    </pivotField>
    <pivotField showAll="0">
      <items count="5">
        <item x="2"/>
        <item x="1"/>
        <item x="3"/>
        <item x="0"/>
        <item t="default"/>
      </items>
    </pivotField>
    <pivotField showAll="0"/>
    <pivotField axis="axisRow" showAll="0" sortType="descending">
      <items count="5">
        <item x="2"/>
        <item x="3"/>
        <item x="0"/>
        <item x="1"/>
        <item t="default"/>
      </items>
      <autoSortScope>
        <pivotArea dataOnly="0" outline="0" fieldPosition="0">
          <references count="1">
            <reference field="4294967294" count="1" selected="0">
              <x v="0"/>
            </reference>
          </references>
        </pivotArea>
      </autoSortScope>
    </pivotField>
    <pivotField showAll="0" defaultSubtotal="0"/>
    <pivotField numFmtId="1" showAll="0"/>
    <pivotField numFmtId="1" showAll="0" defaultSubtotal="0"/>
    <pivotField numFmtId="1" showAll="0"/>
    <pivotField numFmtId="1" showAll="0"/>
    <pivotField numFmtId="1" showAll="0"/>
    <pivotField dataField="1" numFmtId="1" showAll="0"/>
    <pivotField numFmtId="9" showAll="0"/>
    <pivotField showAll="0"/>
    <pivotField showAll="0"/>
    <pivotField showAll="0"/>
    <pivotField showAll="0"/>
    <pivotField showAll="0"/>
    <pivotField showAll="0"/>
    <pivotField showAll="0" defaultSubtotal="0">
      <items count="2">
        <item x="1"/>
        <item x="0"/>
      </items>
    </pivotField>
    <pivotField showAll="0" defaultSubtotal="0">
      <items count="6">
        <item sd="0" x="0"/>
        <item sd="0" x="1"/>
        <item sd="0" x="2"/>
        <item sd="0" x="3"/>
        <item sd="0" x="4"/>
        <item sd="0" x="5"/>
      </items>
    </pivotField>
    <pivotField showAll="0" defaultSubtotal="0">
      <items count="4">
        <item sd="0" x="0"/>
        <item x="1"/>
        <item sd="0" x="2"/>
        <item sd="0" x="3"/>
      </items>
    </pivotField>
    <pivotField dragToRow="0" dragToCol="0" dragToPage="0" showAll="0" defaultSubtotal="0"/>
    <pivotField dragToRow="0" dragToCol="0" dragToPage="0" showAll="0" defaultSubtotal="0"/>
  </pivotFields>
  <rowFields count="1">
    <field x="5"/>
  </rowFields>
  <rowItems count="5">
    <i>
      <x v="1"/>
    </i>
    <i>
      <x v="2"/>
    </i>
    <i>
      <x v="3"/>
    </i>
    <i>
      <x/>
    </i>
    <i t="grand">
      <x/>
    </i>
  </rowItems>
  <colItems count="1">
    <i/>
  </colItems>
  <dataFields count="1">
    <dataField name="Sum of Profit" fld="12" baseField="0" baseItem="0" numFmtId="1"/>
  </dataFields>
  <formats count="50">
    <format dxfId="1861">
      <pivotArea outline="0" collapsedLevelsAreSubtotals="1" fieldPosition="0"/>
    </format>
    <format dxfId="1860">
      <pivotArea outline="0" collapsedLevelsAreSubtotals="1" fieldPosition="0"/>
    </format>
    <format dxfId="1859">
      <pivotArea outline="0" collapsedLevelsAreSubtotals="1" fieldPosition="0"/>
    </format>
    <format dxfId="1858">
      <pivotArea outline="0" collapsedLevelsAreSubtotals="1" fieldPosition="0"/>
    </format>
    <format dxfId="1857">
      <pivotArea outline="0" collapsedLevelsAreSubtotals="1" fieldPosition="0"/>
    </format>
    <format dxfId="1856">
      <pivotArea type="all" dataOnly="0" outline="0" fieldPosition="0"/>
    </format>
    <format dxfId="1855">
      <pivotArea outline="0" collapsedLevelsAreSubtotals="1" fieldPosition="0"/>
    </format>
    <format dxfId="1854">
      <pivotArea type="origin" dataOnly="0" labelOnly="1" outline="0" fieldPosition="0"/>
    </format>
    <format dxfId="1853">
      <pivotArea field="2" type="button" dataOnly="0" labelOnly="1" outline="0"/>
    </format>
    <format dxfId="1852">
      <pivotArea type="topRight" dataOnly="0" labelOnly="1" outline="0" fieldPosition="0"/>
    </format>
    <format dxfId="1851">
      <pivotArea field="21" type="button" dataOnly="0" labelOnly="1" outline="0"/>
    </format>
    <format dxfId="1850">
      <pivotArea dataOnly="0" labelOnly="1" grandRow="1" outline="0" fieldPosition="0"/>
    </format>
    <format dxfId="1849">
      <pivotArea dataOnly="0" labelOnly="1" grandCol="1" outline="0" fieldPosition="0"/>
    </format>
    <format dxfId="1848">
      <pivotArea type="all" dataOnly="0" outline="0" fieldPosition="0"/>
    </format>
    <format dxfId="1847">
      <pivotArea outline="0" collapsedLevelsAreSubtotals="1" fieldPosition="0"/>
    </format>
    <format dxfId="1846">
      <pivotArea type="origin" dataOnly="0" labelOnly="1" outline="0" fieldPosition="0"/>
    </format>
    <format dxfId="1845">
      <pivotArea field="2" type="button" dataOnly="0" labelOnly="1" outline="0"/>
    </format>
    <format dxfId="1844">
      <pivotArea type="topRight" dataOnly="0" labelOnly="1" outline="0" fieldPosition="0"/>
    </format>
    <format dxfId="1843">
      <pivotArea field="21" type="button" dataOnly="0" labelOnly="1" outline="0"/>
    </format>
    <format dxfId="1842">
      <pivotArea dataOnly="0" labelOnly="1" grandRow="1" outline="0" fieldPosition="0"/>
    </format>
    <format dxfId="1841">
      <pivotArea dataOnly="0" labelOnly="1" grandCol="1" outline="0" fieldPosition="0"/>
    </format>
    <format dxfId="1840">
      <pivotArea type="all" dataOnly="0" outline="0" fieldPosition="0"/>
    </format>
    <format dxfId="1839">
      <pivotArea outline="0" collapsedLevelsAreSubtotals="1" fieldPosition="0"/>
    </format>
    <format dxfId="1838">
      <pivotArea type="origin" dataOnly="0" labelOnly="1" outline="0" fieldPosition="0"/>
    </format>
    <format dxfId="1837">
      <pivotArea field="2" type="button" dataOnly="0" labelOnly="1" outline="0"/>
    </format>
    <format dxfId="1836">
      <pivotArea type="topRight" dataOnly="0" labelOnly="1" outline="0" fieldPosition="0"/>
    </format>
    <format dxfId="1835">
      <pivotArea field="21" type="button" dataOnly="0" labelOnly="1" outline="0"/>
    </format>
    <format dxfId="1834">
      <pivotArea dataOnly="0" labelOnly="1" grandRow="1" outline="0" fieldPosition="0"/>
    </format>
    <format dxfId="1833">
      <pivotArea dataOnly="0" labelOnly="1" grandCol="1" outline="0" fieldPosition="0"/>
    </format>
    <format dxfId="1832">
      <pivotArea type="all" dataOnly="0" outline="0" fieldPosition="0"/>
    </format>
    <format dxfId="1831">
      <pivotArea outline="0" collapsedLevelsAreSubtotals="1" fieldPosition="0"/>
    </format>
    <format dxfId="1830">
      <pivotArea type="origin" dataOnly="0" labelOnly="1" outline="0" fieldPosition="0"/>
    </format>
    <format dxfId="1829">
      <pivotArea field="5" type="button" dataOnly="0" labelOnly="1" outline="0" axis="axisRow" fieldPosition="0"/>
    </format>
    <format dxfId="1828">
      <pivotArea type="topRight" dataOnly="0" labelOnly="1" outline="0" fieldPosition="0"/>
    </format>
    <format dxfId="1827">
      <pivotArea field="3" type="button" dataOnly="0" labelOnly="1" outline="0"/>
    </format>
    <format dxfId="1826">
      <pivotArea dataOnly="0" labelOnly="1" grandRow="1" outline="0" fieldPosition="0"/>
    </format>
    <format dxfId="1825">
      <pivotArea dataOnly="0" labelOnly="1" fieldPosition="0">
        <references count="1">
          <reference field="5" count="0"/>
        </references>
      </pivotArea>
    </format>
    <format dxfId="1824">
      <pivotArea dataOnly="0" labelOnly="1" grandCol="1" outline="0" fieldPosition="0"/>
    </format>
    <format dxfId="1823">
      <pivotArea type="all" dataOnly="0" outline="0" fieldPosition="0"/>
    </format>
    <format dxfId="1822">
      <pivotArea outline="0" collapsedLevelsAreSubtotals="1" fieldPosition="0"/>
    </format>
    <format dxfId="1821">
      <pivotArea type="origin" dataOnly="0" labelOnly="1" outline="0" fieldPosition="0"/>
    </format>
    <format dxfId="1820">
      <pivotArea field="5" type="button" dataOnly="0" labelOnly="1" outline="0" axis="axisRow" fieldPosition="0"/>
    </format>
    <format dxfId="1819">
      <pivotArea type="topRight" dataOnly="0" labelOnly="1" outline="0" fieldPosition="0"/>
    </format>
    <format dxfId="1818">
      <pivotArea field="3" type="button" dataOnly="0" labelOnly="1" outline="0"/>
    </format>
    <format dxfId="1817">
      <pivotArea dataOnly="0" labelOnly="1" grandRow="1" outline="0" fieldPosition="0"/>
    </format>
    <format dxfId="1816">
      <pivotArea dataOnly="0" labelOnly="1" fieldPosition="0">
        <references count="1">
          <reference field="5" count="0"/>
        </references>
      </pivotArea>
    </format>
    <format dxfId="1815">
      <pivotArea dataOnly="0" labelOnly="1" grandCol="1" outline="0" fieldPosition="0"/>
    </format>
    <format dxfId="1814">
      <pivotArea outline="0" fieldPosition="0">
        <references count="1">
          <reference field="4294967294" count="1">
            <x v="0"/>
          </reference>
        </references>
      </pivotArea>
    </format>
    <format dxfId="1813">
      <pivotArea outline="0" collapsedLevelsAreSubtotals="1" fieldPosition="0"/>
    </format>
    <format dxfId="1812">
      <pivotArea outline="0" collapsedLevelsAreSubtotals="1" fieldPosition="0"/>
    </format>
  </formats>
  <chartFormats count="2">
    <chartFormat chart="10" format="2" series="1">
      <pivotArea type="data" outline="0" fieldPosition="0">
        <references count="1">
          <reference field="4294967294" count="1" selected="0">
            <x v="0"/>
          </reference>
        </references>
      </pivotArea>
    </chartFormat>
    <chartFormat chart="1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18" cacheId="36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1">
  <location ref="A216:A217" firstHeaderRow="1" firstDataRow="1" firstDataCol="0"/>
  <pivotFields count="24">
    <pivotField showAll="0"/>
    <pivotField numFmtId="14" showAll="0">
      <items count="15">
        <item x="0"/>
        <item x="1"/>
        <item x="2"/>
        <item x="3"/>
        <item x="4"/>
        <item x="5"/>
        <item x="6"/>
        <item x="7"/>
        <item x="8"/>
        <item x="9"/>
        <item x="10"/>
        <item x="11"/>
        <item x="12"/>
        <item x="13"/>
        <item t="default"/>
      </items>
    </pivotField>
    <pivotField showAll="0">
      <items count="6">
        <item x="3"/>
        <item x="0"/>
        <item x="4"/>
        <item x="1"/>
        <item x="2"/>
        <item t="default"/>
      </items>
    </pivotField>
    <pivotField showAll="0">
      <items count="5">
        <item x="2"/>
        <item x="1"/>
        <item x="3"/>
        <item x="0"/>
        <item t="default"/>
      </items>
    </pivotField>
    <pivotField showAll="0"/>
    <pivotField showAll="0">
      <items count="5">
        <item x="2"/>
        <item x="3"/>
        <item x="0"/>
        <item x="1"/>
        <item t="default"/>
      </items>
    </pivotField>
    <pivotField showAll="0" defaultSubtotal="0"/>
    <pivotField numFmtId="1" showAll="0"/>
    <pivotField numFmtId="1" showAll="0" defaultSubtotal="0"/>
    <pivotField numFmtId="1" showAll="0"/>
    <pivotField dataField="1" numFmtId="1" showAll="0"/>
    <pivotField numFmtId="1" showAll="0"/>
    <pivotField numFmtId="1" showAll="0"/>
    <pivotField numFmtId="9" showAll="0"/>
    <pivotField showAll="0"/>
    <pivotField showAll="0"/>
    <pivotField showAll="0"/>
    <pivotField showAll="0"/>
    <pivotField showAll="0"/>
    <pivotField showAll="0"/>
    <pivotField showAll="0" defaultSubtotal="0">
      <items count="6">
        <item sd="0" x="0"/>
        <item sd="0" x="1"/>
        <item sd="0" x="2"/>
        <item sd="0" x="3"/>
        <item sd="0" x="4"/>
        <item sd="0" x="5"/>
      </items>
    </pivotField>
    <pivotField showAll="0" defaultSubtotal="0">
      <items count="4">
        <item sd="0" x="0"/>
        <item x="1"/>
        <item sd="0" x="2"/>
        <item sd="0" x="3"/>
      </items>
    </pivotField>
    <pivotField dragToRow="0" dragToCol="0" dragToPage="0" showAll="0" defaultSubtotal="0"/>
    <pivotField dragToRow="0" dragToCol="0" dragToPage="0" showAll="0" defaultSubtotal="0"/>
  </pivotFields>
  <rowItems count="1">
    <i/>
  </rowItems>
  <colItems count="1">
    <i/>
  </colItems>
  <dataFields count="1">
    <dataField name="Sum of Sales Amount" fld="10" baseField="0" baseItem="0"/>
  </dataFields>
  <formats count="50">
    <format dxfId="1911">
      <pivotArea outline="0" collapsedLevelsAreSubtotals="1" fieldPosition="0"/>
    </format>
    <format dxfId="1910">
      <pivotArea outline="0" collapsedLevelsAreSubtotals="1" fieldPosition="0"/>
    </format>
    <format dxfId="1909">
      <pivotArea outline="0" collapsedLevelsAreSubtotals="1" fieldPosition="0"/>
    </format>
    <format dxfId="1908">
      <pivotArea outline="0" collapsedLevelsAreSubtotals="1" fieldPosition="0"/>
    </format>
    <format dxfId="1907">
      <pivotArea outline="0" collapsedLevelsAreSubtotals="1" fieldPosition="0"/>
    </format>
    <format dxfId="1906">
      <pivotArea type="all" dataOnly="0" outline="0" fieldPosition="0"/>
    </format>
    <format dxfId="1905">
      <pivotArea outline="0" collapsedLevelsAreSubtotals="1" fieldPosition="0"/>
    </format>
    <format dxfId="1904">
      <pivotArea type="origin" dataOnly="0" labelOnly="1" outline="0" fieldPosition="0"/>
    </format>
    <format dxfId="1903">
      <pivotArea field="2" type="button" dataOnly="0" labelOnly="1" outline="0"/>
    </format>
    <format dxfId="1902">
      <pivotArea type="topRight" dataOnly="0" labelOnly="1" outline="0" fieldPosition="0"/>
    </format>
    <format dxfId="1901">
      <pivotArea field="20" type="button" dataOnly="0" labelOnly="1" outline="0"/>
    </format>
    <format dxfId="1900">
      <pivotArea dataOnly="0" labelOnly="1" grandRow="1" outline="0" fieldPosition="0"/>
    </format>
    <format dxfId="1899">
      <pivotArea dataOnly="0" labelOnly="1" grandCol="1" outline="0" fieldPosition="0"/>
    </format>
    <format dxfId="1898">
      <pivotArea type="all" dataOnly="0" outline="0" fieldPosition="0"/>
    </format>
    <format dxfId="1897">
      <pivotArea outline="0" collapsedLevelsAreSubtotals="1" fieldPosition="0"/>
    </format>
    <format dxfId="1896">
      <pivotArea type="origin" dataOnly="0" labelOnly="1" outline="0" fieldPosition="0"/>
    </format>
    <format dxfId="1895">
      <pivotArea field="2" type="button" dataOnly="0" labelOnly="1" outline="0"/>
    </format>
    <format dxfId="1894">
      <pivotArea type="topRight" dataOnly="0" labelOnly="1" outline="0" fieldPosition="0"/>
    </format>
    <format dxfId="1893">
      <pivotArea field="20" type="button" dataOnly="0" labelOnly="1" outline="0"/>
    </format>
    <format dxfId="1892">
      <pivotArea dataOnly="0" labelOnly="1" grandRow="1" outline="0" fieldPosition="0"/>
    </format>
    <format dxfId="1891">
      <pivotArea dataOnly="0" labelOnly="1" grandCol="1" outline="0" fieldPosition="0"/>
    </format>
    <format dxfId="1890">
      <pivotArea type="all" dataOnly="0" outline="0" fieldPosition="0"/>
    </format>
    <format dxfId="1889">
      <pivotArea outline="0" collapsedLevelsAreSubtotals="1" fieldPosition="0"/>
    </format>
    <format dxfId="1888">
      <pivotArea type="origin" dataOnly="0" labelOnly="1" outline="0" fieldPosition="0"/>
    </format>
    <format dxfId="1887">
      <pivotArea field="2" type="button" dataOnly="0" labelOnly="1" outline="0"/>
    </format>
    <format dxfId="1886">
      <pivotArea type="topRight" dataOnly="0" labelOnly="1" outline="0" fieldPosition="0"/>
    </format>
    <format dxfId="1885">
      <pivotArea field="20" type="button" dataOnly="0" labelOnly="1" outline="0"/>
    </format>
    <format dxfId="1884">
      <pivotArea dataOnly="0" labelOnly="1" grandRow="1" outline="0" fieldPosition="0"/>
    </format>
    <format dxfId="1883">
      <pivotArea dataOnly="0" labelOnly="1" grandCol="1" outline="0" fieldPosition="0"/>
    </format>
    <format dxfId="1882">
      <pivotArea type="all" dataOnly="0" outline="0" fieldPosition="0"/>
    </format>
    <format dxfId="1881">
      <pivotArea outline="0" collapsedLevelsAreSubtotals="1" fieldPosition="0"/>
    </format>
    <format dxfId="1880">
      <pivotArea type="origin" dataOnly="0" labelOnly="1" outline="0" fieldPosition="0"/>
    </format>
    <format dxfId="1879">
      <pivotArea field="5" type="button" dataOnly="0" labelOnly="1" outline="0"/>
    </format>
    <format dxfId="1878">
      <pivotArea type="topRight" dataOnly="0" labelOnly="1" outline="0" fieldPosition="0"/>
    </format>
    <format dxfId="1877">
      <pivotArea field="3" type="button" dataOnly="0" labelOnly="1" outline="0"/>
    </format>
    <format dxfId="1876">
      <pivotArea dataOnly="0" labelOnly="1" grandRow="1" outline="0" fieldPosition="0"/>
    </format>
    <format dxfId="1875">
      <pivotArea dataOnly="0" labelOnly="1" grandCol="1" outline="0" fieldPosition="0"/>
    </format>
    <format dxfId="1874">
      <pivotArea type="all" dataOnly="0" outline="0" fieldPosition="0"/>
    </format>
    <format dxfId="1873">
      <pivotArea outline="0" collapsedLevelsAreSubtotals="1" fieldPosition="0"/>
    </format>
    <format dxfId="1872">
      <pivotArea type="origin" dataOnly="0" labelOnly="1" outline="0" fieldPosition="0"/>
    </format>
    <format dxfId="1871">
      <pivotArea field="5" type="button" dataOnly="0" labelOnly="1" outline="0"/>
    </format>
    <format dxfId="1870">
      <pivotArea type="topRight" dataOnly="0" labelOnly="1" outline="0" fieldPosition="0"/>
    </format>
    <format dxfId="1869">
      <pivotArea field="3" type="button" dataOnly="0" labelOnly="1" outline="0"/>
    </format>
    <format dxfId="1868">
      <pivotArea dataOnly="0" labelOnly="1" grandRow="1" outline="0" fieldPosition="0"/>
    </format>
    <format dxfId="1867">
      <pivotArea dataOnly="0" labelOnly="1" grandCol="1" outline="0" fieldPosition="0"/>
    </format>
    <format dxfId="1866">
      <pivotArea outline="0" collapsedLevelsAreSubtotals="1" fieldPosition="0"/>
    </format>
    <format dxfId="1865">
      <pivotArea outline="0" collapsedLevelsAreSubtotals="1" fieldPosition="0"/>
    </format>
    <format dxfId="1864">
      <pivotArea outline="0" collapsedLevelsAreSubtotals="1" fieldPosition="0"/>
    </format>
    <format dxfId="1863">
      <pivotArea outline="0" collapsedLevelsAreSubtotals="1" fieldPosition="0"/>
    </format>
    <format dxfId="186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6" cacheId="36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A4" firstHeaderRow="1" firstDataRow="1" firstDataCol="0"/>
  <pivotFields count="24">
    <pivotField showAll="0"/>
    <pivotField numFmtId="14" showAll="0">
      <items count="15">
        <item x="0"/>
        <item x="1"/>
        <item x="2"/>
        <item x="3"/>
        <item x="4"/>
        <item x="5"/>
        <item x="6"/>
        <item x="7"/>
        <item x="8"/>
        <item x="9"/>
        <item x="10"/>
        <item x="11"/>
        <item x="12"/>
        <item x="13"/>
        <item t="default"/>
      </items>
    </pivotField>
    <pivotField showAll="0"/>
    <pivotField showAll="0"/>
    <pivotField showAll="0"/>
    <pivotField showAll="0"/>
    <pivotField showAll="0" defaultSubtotal="0"/>
    <pivotField numFmtId="1" showAll="0"/>
    <pivotField numFmtId="1" showAll="0" defaultSubtotal="0"/>
    <pivotField numFmtId="1" showAll="0"/>
    <pivotField dataField="1" numFmtId="1" showAll="0"/>
    <pivotField numFmtId="1" showAll="0"/>
    <pivotField numFmtId="1" showAll="0"/>
    <pivotField numFmtId="9" showAll="0"/>
    <pivotField showAll="0"/>
    <pivotField showAll="0"/>
    <pivotField showAll="0"/>
    <pivotField showAll="0"/>
    <pivotField showAll="0"/>
    <pivotField showAll="0"/>
    <pivotField showAll="0" defaultSubtotal="0">
      <items count="6">
        <item x="0"/>
        <item x="1"/>
        <item x="2"/>
        <item x="3"/>
        <item x="4"/>
        <item x="5"/>
      </items>
    </pivotField>
    <pivotField showAll="0" defaultSubtotal="0">
      <items count="4">
        <item x="0"/>
        <item x="1"/>
        <item x="2"/>
        <item x="3"/>
      </items>
    </pivotField>
    <pivotField dragToRow="0" dragToCol="0" dragToPage="0" showAll="0" defaultSubtotal="0"/>
    <pivotField dragToRow="0" dragToCol="0" dragToPage="0" showAll="0" defaultSubtotal="0"/>
  </pivotFields>
  <rowItems count="1">
    <i/>
  </rowItems>
  <colItems count="1">
    <i/>
  </colItems>
  <dataFields count="1">
    <dataField name="Sum of Sales Amount" fld="10" baseField="0" baseItem="0" numFmtId="1"/>
  </dataFields>
  <formats count="2">
    <format dxfId="1913">
      <pivotArea outline="0" collapsedLevelsAreSubtotals="1" fieldPosition="0"/>
    </format>
    <format dxfId="191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1" cacheId="36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
  <location ref="A91:B97" firstHeaderRow="1" firstDataRow="1" firstDataCol="1"/>
  <pivotFields count="25">
    <pivotField showAll="0"/>
    <pivotField numFmtId="14" showAll="0">
      <items count="15">
        <item x="0"/>
        <item x="1"/>
        <item x="2"/>
        <item x="3"/>
        <item x="4"/>
        <item x="5"/>
        <item x="6"/>
        <item x="7"/>
        <item x="8"/>
        <item x="9"/>
        <item x="10"/>
        <item x="11"/>
        <item x="12"/>
        <item x="13"/>
        <item t="default"/>
      </items>
    </pivotField>
    <pivotField axis="axisRow" showAll="0" sortType="ascending">
      <items count="6">
        <item x="3"/>
        <item x="0"/>
        <item x="4"/>
        <item x="1"/>
        <item x="2"/>
        <item t="default"/>
      </items>
      <autoSortScope>
        <pivotArea dataOnly="0" outline="0" fieldPosition="0">
          <references count="1">
            <reference field="4294967294" count="1" selected="0">
              <x v="0"/>
            </reference>
          </references>
        </pivotArea>
      </autoSortScope>
    </pivotField>
    <pivotField showAll="0">
      <items count="5">
        <item x="2"/>
        <item x="1"/>
        <item x="3"/>
        <item x="0"/>
        <item t="default"/>
      </items>
    </pivotField>
    <pivotField dataField="1" showAll="0"/>
    <pivotField showAll="0">
      <items count="5">
        <item x="2"/>
        <item x="3"/>
        <item x="0"/>
        <item x="1"/>
        <item t="default"/>
      </items>
    </pivotField>
    <pivotField showAll="0" defaultSubtotal="0"/>
    <pivotField numFmtId="1" showAll="0"/>
    <pivotField numFmtId="1" showAll="0" defaultSubtotal="0"/>
    <pivotField numFmtId="1" showAll="0"/>
    <pivotField numFmtId="1" showAll="0"/>
    <pivotField numFmtId="1" showAll="0"/>
    <pivotField numFmtId="1" showAll="0"/>
    <pivotField numFmtId="9" showAll="0"/>
    <pivotField showAll="0"/>
    <pivotField showAll="0"/>
    <pivotField showAll="0"/>
    <pivotField showAll="0"/>
    <pivotField showAll="0"/>
    <pivotField showAll="0"/>
    <pivotField showAll="0" defaultSubtotal="0">
      <items count="2">
        <item x="1"/>
        <item x="0"/>
      </items>
    </pivotField>
    <pivotField showAll="0" defaultSubtotal="0">
      <items count="6">
        <item x="0"/>
        <item x="1"/>
        <item x="2"/>
        <item x="3"/>
        <item x="4"/>
        <item x="5"/>
      </items>
    </pivotField>
    <pivotField showAll="0" defaultSubtotal="0">
      <items count="4">
        <item x="0"/>
        <item x="1"/>
        <item x="2"/>
        <item x="3"/>
      </items>
    </pivotField>
    <pivotField dragToRow="0" dragToCol="0" dragToPage="0" showAll="0" defaultSubtotal="0"/>
    <pivotField dragToRow="0" dragToCol="0" dragToPage="0" showAll="0" defaultSubtotal="0"/>
  </pivotFields>
  <rowFields count="1">
    <field x="2"/>
  </rowFields>
  <rowItems count="6">
    <i>
      <x v="2"/>
    </i>
    <i>
      <x/>
    </i>
    <i>
      <x v="1"/>
    </i>
    <i>
      <x v="4"/>
    </i>
    <i>
      <x v="3"/>
    </i>
    <i t="grand">
      <x/>
    </i>
  </rowItems>
  <colItems count="1">
    <i/>
  </colItems>
  <dataFields count="1">
    <dataField name="Sum of Quantity_Sold" fld="4" baseField="0" baseItem="0"/>
  </dataFields>
  <formats count="2">
    <format dxfId="1915">
      <pivotArea outline="0" collapsedLevelsAreSubtotals="1" fieldPosition="0"/>
    </format>
    <format dxfId="1914">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28" cacheId="36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8">
  <location ref="A247:B252" firstHeaderRow="1" firstDataRow="1" firstDataCol="1"/>
  <pivotFields count="25">
    <pivotField showAll="0"/>
    <pivotField numFmtId="14" showAll="0">
      <items count="15">
        <item x="0"/>
        <item x="1"/>
        <item x="2"/>
        <item x="3"/>
        <item x="4"/>
        <item x="5"/>
        <item x="6"/>
        <item x="7"/>
        <item x="8"/>
        <item x="9"/>
        <item x="10"/>
        <item x="11"/>
        <item x="12"/>
        <item x="13"/>
        <item t="default"/>
      </items>
    </pivotField>
    <pivotField showAll="0">
      <items count="6">
        <item x="3"/>
        <item x="0"/>
        <item x="4"/>
        <item x="1"/>
        <item x="2"/>
        <item t="default"/>
      </items>
    </pivotField>
    <pivotField showAll="0">
      <items count="5">
        <item x="2"/>
        <item x="1"/>
        <item x="3"/>
        <item x="0"/>
        <item t="default"/>
      </items>
    </pivotField>
    <pivotField dataField="1" showAll="0"/>
    <pivotField axis="axisRow" showAll="0" sortType="ascending">
      <items count="5">
        <item x="2"/>
        <item x="3"/>
        <item x="0"/>
        <item x="1"/>
        <item t="default"/>
      </items>
      <autoSortScope>
        <pivotArea dataOnly="0" outline="0" fieldPosition="0">
          <references count="1">
            <reference field="4294967294" count="1" selected="0">
              <x v="0"/>
            </reference>
          </references>
        </pivotArea>
      </autoSortScope>
    </pivotField>
    <pivotField showAll="0" defaultSubtotal="0"/>
    <pivotField numFmtId="1" showAll="0"/>
    <pivotField numFmtId="1" showAll="0" defaultSubtotal="0"/>
    <pivotField numFmtId="1" showAll="0"/>
    <pivotField numFmtId="1" showAll="0"/>
    <pivotField numFmtId="1" showAll="0"/>
    <pivotField numFmtId="1" showAll="0"/>
    <pivotField numFmtId="9" showAll="0"/>
    <pivotField showAll="0"/>
    <pivotField showAll="0"/>
    <pivotField showAll="0"/>
    <pivotField showAll="0"/>
    <pivotField showAll="0"/>
    <pivotField showAll="0"/>
    <pivotField showAll="0" defaultSubtotal="0">
      <items count="2">
        <item x="1"/>
        <item x="0"/>
      </items>
    </pivotField>
    <pivotField showAll="0" defaultSubtotal="0">
      <items count="6">
        <item x="0"/>
        <item x="1"/>
        <item x="2"/>
        <item x="3"/>
        <item x="4"/>
        <item x="5"/>
      </items>
    </pivotField>
    <pivotField showAll="0" defaultSubtotal="0">
      <items count="4">
        <item x="0"/>
        <item x="1"/>
        <item x="2"/>
        <item x="3"/>
      </items>
    </pivotField>
    <pivotField dragToRow="0" dragToCol="0" dragToPage="0" showAll="0" defaultSubtotal="0"/>
    <pivotField dragToRow="0" dragToCol="0" dragToPage="0" showAll="0" defaultSubtotal="0"/>
  </pivotFields>
  <rowFields count="1">
    <field x="5"/>
  </rowFields>
  <rowItems count="5">
    <i>
      <x v="2"/>
    </i>
    <i>
      <x v="1"/>
    </i>
    <i>
      <x v="3"/>
    </i>
    <i>
      <x/>
    </i>
    <i t="grand">
      <x/>
    </i>
  </rowItems>
  <colItems count="1">
    <i/>
  </colItems>
  <dataFields count="1">
    <dataField name="Sum of Quantity_Sold" fld="4" baseField="0" baseItem="0"/>
  </dataFields>
  <formats count="2">
    <format dxfId="1917">
      <pivotArea outline="0" collapsedLevelsAreSubtotals="1" fieldPosition="0"/>
    </format>
    <format dxfId="1916">
      <pivotArea outline="0" collapsedLevelsAreSubtotals="1" fieldPosition="0"/>
    </format>
  </formats>
  <chartFormats count="5">
    <chartFormat chart="3" format="1" series="1">
      <pivotArea type="data" outline="0" fieldPosition="0">
        <references count="1">
          <reference field="4294967294" count="1" selected="0">
            <x v="0"/>
          </reference>
        </references>
      </pivotArea>
    </chartFormat>
    <chartFormat chart="3" format="2">
      <pivotArea type="data" outline="0" fieldPosition="0">
        <references count="2">
          <reference field="4294967294" count="1" selected="0">
            <x v="0"/>
          </reference>
          <reference field="5" count="1" selected="0">
            <x v="2"/>
          </reference>
        </references>
      </pivotArea>
    </chartFormat>
    <chartFormat chart="3" format="3">
      <pivotArea type="data" outline="0" fieldPosition="0">
        <references count="2">
          <reference field="4294967294" count="1" selected="0">
            <x v="0"/>
          </reference>
          <reference field="5" count="1" selected="0">
            <x v="1"/>
          </reference>
        </references>
      </pivotArea>
    </chartFormat>
    <chartFormat chart="3" format="4">
      <pivotArea type="data" outline="0" fieldPosition="0">
        <references count="2">
          <reference field="4294967294" count="1" selected="0">
            <x v="0"/>
          </reference>
          <reference field="5" count="1" selected="0">
            <x v="3"/>
          </reference>
        </references>
      </pivotArea>
    </chartFormat>
    <chartFormat chart="3" format="5">
      <pivotArea type="data" outline="0" fieldPosition="0">
        <references count="2">
          <reference field="4294967294" count="1" selected="0">
            <x v="0"/>
          </reference>
          <reference field="5"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PivotTable25" cacheId="36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1">
  <location ref="A204:A205" firstHeaderRow="1" firstDataRow="1" firstDataCol="0"/>
  <pivotFields count="24">
    <pivotField showAll="0"/>
    <pivotField numFmtId="14" showAll="0">
      <items count="15">
        <item x="0"/>
        <item x="1"/>
        <item x="2"/>
        <item x="3"/>
        <item x="4"/>
        <item x="5"/>
        <item x="6"/>
        <item x="7"/>
        <item x="8"/>
        <item x="9"/>
        <item x="10"/>
        <item x="11"/>
        <item x="12"/>
        <item x="13"/>
        <item t="default"/>
      </items>
    </pivotField>
    <pivotField showAll="0">
      <items count="6">
        <item x="3"/>
        <item x="0"/>
        <item x="4"/>
        <item x="1"/>
        <item x="2"/>
        <item t="default"/>
      </items>
    </pivotField>
    <pivotField showAll="0">
      <items count="5">
        <item x="2"/>
        <item x="1"/>
        <item x="3"/>
        <item x="0"/>
        <item t="default"/>
      </items>
    </pivotField>
    <pivotField dataField="1" showAll="0"/>
    <pivotField showAll="0">
      <items count="5">
        <item x="2"/>
        <item x="3"/>
        <item x="0"/>
        <item x="1"/>
        <item t="default"/>
      </items>
    </pivotField>
    <pivotField showAll="0" defaultSubtotal="0"/>
    <pivotField numFmtId="1" showAll="0"/>
    <pivotField numFmtId="1" showAll="0" defaultSubtotal="0"/>
    <pivotField numFmtId="1" showAll="0"/>
    <pivotField numFmtId="1" showAll="0"/>
    <pivotField numFmtId="1" showAll="0"/>
    <pivotField numFmtId="1" showAll="0"/>
    <pivotField numFmtId="9" showAll="0"/>
    <pivotField showAll="0"/>
    <pivotField showAll="0"/>
    <pivotField showAll="0"/>
    <pivotField showAll="0"/>
    <pivotField showAll="0"/>
    <pivotField showAll="0"/>
    <pivotField showAll="0" defaultSubtotal="0">
      <items count="6">
        <item sd="0" x="0"/>
        <item sd="0" x="1"/>
        <item sd="0" x="2"/>
        <item sd="0" x="3"/>
        <item sd="0" x="4"/>
        <item sd="0" x="5"/>
      </items>
    </pivotField>
    <pivotField showAll="0" defaultSubtotal="0">
      <items count="4">
        <item sd="0" x="0"/>
        <item x="1"/>
        <item sd="0" x="2"/>
        <item sd="0" x="3"/>
      </items>
    </pivotField>
    <pivotField dragToRow="0" dragToCol="0" dragToPage="0" showAll="0" defaultSubtotal="0"/>
    <pivotField dragToRow="0" dragToCol="0" dragToPage="0" showAll="0" defaultSubtotal="0"/>
  </pivotFields>
  <rowItems count="1">
    <i/>
  </rowItems>
  <colItems count="1">
    <i/>
  </colItems>
  <dataFields count="1">
    <dataField name="Sum of Quantity_Sold" fld="4" baseField="0" baseItem="0" numFmtId="164"/>
  </dataFields>
  <formats count="50">
    <format dxfId="1967">
      <pivotArea outline="0" collapsedLevelsAreSubtotals="1" fieldPosition="0"/>
    </format>
    <format dxfId="1966">
      <pivotArea outline="0" collapsedLevelsAreSubtotals="1" fieldPosition="0"/>
    </format>
    <format dxfId="1965">
      <pivotArea outline="0" collapsedLevelsAreSubtotals="1" fieldPosition="0"/>
    </format>
    <format dxfId="1964">
      <pivotArea outline="0" collapsedLevelsAreSubtotals="1" fieldPosition="0"/>
    </format>
    <format dxfId="1963">
      <pivotArea outline="0" collapsedLevelsAreSubtotals="1" fieldPosition="0"/>
    </format>
    <format dxfId="1962">
      <pivotArea type="all" dataOnly="0" outline="0" fieldPosition="0"/>
    </format>
    <format dxfId="1961">
      <pivotArea outline="0" collapsedLevelsAreSubtotals="1" fieldPosition="0"/>
    </format>
    <format dxfId="1960">
      <pivotArea type="origin" dataOnly="0" labelOnly="1" outline="0" fieldPosition="0"/>
    </format>
    <format dxfId="1959">
      <pivotArea field="2" type="button" dataOnly="0" labelOnly="1" outline="0"/>
    </format>
    <format dxfId="1958">
      <pivotArea type="topRight" dataOnly="0" labelOnly="1" outline="0" fieldPosition="0"/>
    </format>
    <format dxfId="1957">
      <pivotArea field="20" type="button" dataOnly="0" labelOnly="1" outline="0"/>
    </format>
    <format dxfId="1956">
      <pivotArea dataOnly="0" labelOnly="1" grandRow="1" outline="0" fieldPosition="0"/>
    </format>
    <format dxfId="1955">
      <pivotArea dataOnly="0" labelOnly="1" grandCol="1" outline="0" fieldPosition="0"/>
    </format>
    <format dxfId="1954">
      <pivotArea type="all" dataOnly="0" outline="0" fieldPosition="0"/>
    </format>
    <format dxfId="1953">
      <pivotArea outline="0" collapsedLevelsAreSubtotals="1" fieldPosition="0"/>
    </format>
    <format dxfId="1952">
      <pivotArea type="origin" dataOnly="0" labelOnly="1" outline="0" fieldPosition="0"/>
    </format>
    <format dxfId="1951">
      <pivotArea field="2" type="button" dataOnly="0" labelOnly="1" outline="0"/>
    </format>
    <format dxfId="1950">
      <pivotArea type="topRight" dataOnly="0" labelOnly="1" outline="0" fieldPosition="0"/>
    </format>
    <format dxfId="1949">
      <pivotArea field="20" type="button" dataOnly="0" labelOnly="1" outline="0"/>
    </format>
    <format dxfId="1948">
      <pivotArea dataOnly="0" labelOnly="1" grandRow="1" outline="0" fieldPosition="0"/>
    </format>
    <format dxfId="1947">
      <pivotArea dataOnly="0" labelOnly="1" grandCol="1" outline="0" fieldPosition="0"/>
    </format>
    <format dxfId="1946">
      <pivotArea type="all" dataOnly="0" outline="0" fieldPosition="0"/>
    </format>
    <format dxfId="1945">
      <pivotArea outline="0" collapsedLevelsAreSubtotals="1" fieldPosition="0"/>
    </format>
    <format dxfId="1944">
      <pivotArea type="origin" dataOnly="0" labelOnly="1" outline="0" fieldPosition="0"/>
    </format>
    <format dxfId="1943">
      <pivotArea field="2" type="button" dataOnly="0" labelOnly="1" outline="0"/>
    </format>
    <format dxfId="1942">
      <pivotArea type="topRight" dataOnly="0" labelOnly="1" outline="0" fieldPosition="0"/>
    </format>
    <format dxfId="1941">
      <pivotArea field="20" type="button" dataOnly="0" labelOnly="1" outline="0"/>
    </format>
    <format dxfId="1940">
      <pivotArea dataOnly="0" labelOnly="1" grandRow="1" outline="0" fieldPosition="0"/>
    </format>
    <format dxfId="1939">
      <pivotArea dataOnly="0" labelOnly="1" grandCol="1" outline="0" fieldPosition="0"/>
    </format>
    <format dxfId="1938">
      <pivotArea type="all" dataOnly="0" outline="0" fieldPosition="0"/>
    </format>
    <format dxfId="1937">
      <pivotArea outline="0" collapsedLevelsAreSubtotals="1" fieldPosition="0"/>
    </format>
    <format dxfId="1936">
      <pivotArea type="origin" dataOnly="0" labelOnly="1" outline="0" fieldPosition="0"/>
    </format>
    <format dxfId="1935">
      <pivotArea field="5" type="button" dataOnly="0" labelOnly="1" outline="0"/>
    </format>
    <format dxfId="1934">
      <pivotArea type="topRight" dataOnly="0" labelOnly="1" outline="0" fieldPosition="0"/>
    </format>
    <format dxfId="1933">
      <pivotArea field="3" type="button" dataOnly="0" labelOnly="1" outline="0"/>
    </format>
    <format dxfId="1932">
      <pivotArea dataOnly="0" labelOnly="1" grandRow="1" outline="0" fieldPosition="0"/>
    </format>
    <format dxfId="1931">
      <pivotArea dataOnly="0" labelOnly="1" grandCol="1" outline="0" fieldPosition="0"/>
    </format>
    <format dxfId="1930">
      <pivotArea type="all" dataOnly="0" outline="0" fieldPosition="0"/>
    </format>
    <format dxfId="1929">
      <pivotArea outline="0" collapsedLevelsAreSubtotals="1" fieldPosition="0"/>
    </format>
    <format dxfId="1928">
      <pivotArea type="origin" dataOnly="0" labelOnly="1" outline="0" fieldPosition="0"/>
    </format>
    <format dxfId="1927">
      <pivotArea field="5" type="button" dataOnly="0" labelOnly="1" outline="0"/>
    </format>
    <format dxfId="1926">
      <pivotArea type="topRight" dataOnly="0" labelOnly="1" outline="0" fieldPosition="0"/>
    </format>
    <format dxfId="1925">
      <pivotArea field="3" type="button" dataOnly="0" labelOnly="1" outline="0"/>
    </format>
    <format dxfId="1924">
      <pivotArea dataOnly="0" labelOnly="1" grandRow="1" outline="0" fieldPosition="0"/>
    </format>
    <format dxfId="1923">
      <pivotArea dataOnly="0" labelOnly="1" grandCol="1" outline="0" fieldPosition="0"/>
    </format>
    <format dxfId="1922">
      <pivotArea outline="0" collapsedLevelsAreSubtotals="1" fieldPosition="0"/>
    </format>
    <format dxfId="1921">
      <pivotArea outline="0" collapsedLevelsAreSubtotals="1" fieldPosition="0"/>
    </format>
    <format dxfId="1920">
      <pivotArea outline="0" collapsedLevelsAreSubtotals="1" fieldPosition="0"/>
    </format>
    <format dxfId="1919">
      <pivotArea outline="0" collapsedLevelsAreSubtotals="1" fieldPosition="0"/>
    </format>
    <format dxfId="191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1.xml><?xml version="1.0" encoding="utf-8"?>
<pivotTableDefinition xmlns="http://schemas.openxmlformats.org/spreadsheetml/2006/main" name="PivotTable9" cacheId="36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2">
  <location ref="A15:B21" firstHeaderRow="1" firstDataRow="1" firstDataCol="1"/>
  <pivotFields count="25">
    <pivotField showAll="0"/>
    <pivotField numFmtId="14" showAll="0">
      <items count="15">
        <item x="0"/>
        <item x="1"/>
        <item x="2"/>
        <item x="3"/>
        <item x="4"/>
        <item x="5"/>
        <item x="6"/>
        <item x="7"/>
        <item x="8"/>
        <item x="9"/>
        <item x="10"/>
        <item x="11"/>
        <item x="12"/>
        <item x="13"/>
        <item t="default"/>
      </items>
    </pivotField>
    <pivotField axis="axisRow" showAll="0" sortType="descending">
      <items count="6">
        <item x="3"/>
        <item x="0"/>
        <item x="4"/>
        <item x="1"/>
        <item x="2"/>
        <item t="default"/>
      </items>
      <autoSortScope>
        <pivotArea dataOnly="0" outline="0" fieldPosition="0">
          <references count="1">
            <reference field="4294967294" count="1" selected="0">
              <x v="0"/>
            </reference>
          </references>
        </pivotArea>
      </autoSortScope>
    </pivotField>
    <pivotField showAll="0">
      <items count="5">
        <item x="2"/>
        <item x="1"/>
        <item x="3"/>
        <item x="0"/>
        <item t="default"/>
      </items>
    </pivotField>
    <pivotField showAll="0"/>
    <pivotField showAll="0">
      <items count="5">
        <item x="2"/>
        <item x="3"/>
        <item x="0"/>
        <item x="1"/>
        <item t="default"/>
      </items>
    </pivotField>
    <pivotField showAll="0" defaultSubtotal="0"/>
    <pivotField numFmtId="1" showAll="0"/>
    <pivotField numFmtId="1" showAll="0" defaultSubtotal="0"/>
    <pivotField numFmtId="1" showAll="0"/>
    <pivotField dataField="1" numFmtId="1" showAll="0"/>
    <pivotField numFmtId="1" showAll="0"/>
    <pivotField numFmtId="1" showAll="0"/>
    <pivotField numFmtId="9" showAll="0"/>
    <pivotField showAll="0"/>
    <pivotField showAll="0"/>
    <pivotField showAll="0"/>
    <pivotField showAll="0"/>
    <pivotField showAll="0"/>
    <pivotField showAll="0"/>
    <pivotField showAll="0" defaultSubtotal="0">
      <items count="2">
        <item x="1"/>
        <item x="0"/>
      </items>
    </pivotField>
    <pivotField showAll="0" defaultSubtotal="0">
      <items count="6">
        <item x="0"/>
        <item x="1"/>
        <item x="2"/>
        <item x="3"/>
        <item x="4"/>
        <item x="5"/>
      </items>
    </pivotField>
    <pivotField showAll="0" defaultSubtotal="0">
      <items count="4">
        <item x="0"/>
        <item x="1"/>
        <item x="2"/>
        <item x="3"/>
      </items>
    </pivotField>
    <pivotField dragToRow="0" dragToCol="0" dragToPage="0" showAll="0" defaultSubtotal="0"/>
    <pivotField dragToRow="0" dragToCol="0" dragToPage="0" showAll="0" defaultSubtotal="0"/>
  </pivotFields>
  <rowFields count="1">
    <field x="2"/>
  </rowFields>
  <rowItems count="6">
    <i>
      <x v="3"/>
    </i>
    <i>
      <x v="4"/>
    </i>
    <i>
      <x v="1"/>
    </i>
    <i>
      <x/>
    </i>
    <i>
      <x v="2"/>
    </i>
    <i t="grand">
      <x/>
    </i>
  </rowItems>
  <colItems count="1">
    <i/>
  </colItems>
  <dataFields count="1">
    <dataField name="Sum of Sales Amount" fld="10" showDataAs="percentOfTotal" baseField="2" baseItem="0" numFmtId="10"/>
  </dataFields>
  <formats count="16">
    <format dxfId="1982">
      <pivotArea outline="0" collapsedLevelsAreSubtotals="1" fieldPosition="0"/>
    </format>
    <format dxfId="1981">
      <pivotArea outline="0" collapsedLevelsAreSubtotals="1" fieldPosition="0"/>
    </format>
    <format dxfId="1980">
      <pivotArea dataOnly="0" labelOnly="1" outline="0" axis="axisValues" fieldPosition="0"/>
    </format>
    <format dxfId="1979">
      <pivotArea dataOnly="0" labelOnly="1" outline="0" axis="axisValues" fieldPosition="0"/>
    </format>
    <format dxfId="1978">
      <pivotArea dataOnly="0" labelOnly="1" outline="0" axis="axisValues" fieldPosition="0"/>
    </format>
    <format dxfId="1977">
      <pivotArea dataOnly="0" labelOnly="1" outline="0" axis="axisValues" fieldPosition="0"/>
    </format>
    <format dxfId="1976">
      <pivotArea outline="0" collapsedLevelsAreSubtotals="1" fieldPosition="0"/>
    </format>
    <format dxfId="1975">
      <pivotArea dataOnly="0" labelOnly="1" outline="0" axis="axisValues" fieldPosition="0"/>
    </format>
    <format dxfId="1974">
      <pivotArea dataOnly="0" labelOnly="1" outline="0" axis="axisValues" fieldPosition="0"/>
    </format>
    <format dxfId="1973">
      <pivotArea outline="0" collapsedLevelsAreSubtotals="1" fieldPosition="0"/>
    </format>
    <format dxfId="1972">
      <pivotArea dataOnly="0" labelOnly="1" outline="0" axis="axisValues" fieldPosition="0"/>
    </format>
    <format dxfId="1971">
      <pivotArea dataOnly="0" labelOnly="1" outline="0" axis="axisValues" fieldPosition="0"/>
    </format>
    <format dxfId="1970">
      <pivotArea outline="0" collapsedLevelsAreSubtotals="1" fieldPosition="0"/>
    </format>
    <format dxfId="1969">
      <pivotArea dataOnly="0" labelOnly="1" outline="0" axis="axisValues" fieldPosition="0"/>
    </format>
    <format dxfId="1968">
      <pivotArea dataOnly="0" labelOnly="1" outline="0" axis="axisValues" fieldPosition="0"/>
    </format>
    <format dxfId="0">
      <pivotArea outline="0" fieldPosition="0">
        <references count="1">
          <reference field="4294967294" count="1">
            <x v="0"/>
          </reference>
        </references>
      </pivotArea>
    </format>
  </formats>
  <chartFormats count="2">
    <chartFormat chart="4" format="2"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2.xml><?xml version="1.0" encoding="utf-8"?>
<pivotTableDefinition xmlns="http://schemas.openxmlformats.org/spreadsheetml/2006/main" name="PivotTable12" cacheId="36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3">
  <location ref="A34:B39" firstHeaderRow="1" firstDataRow="1" firstDataCol="1"/>
  <pivotFields count="25">
    <pivotField showAll="0"/>
    <pivotField numFmtId="14" showAll="0">
      <items count="15">
        <item x="0"/>
        <item x="1"/>
        <item x="2"/>
        <item x="3"/>
        <item x="4"/>
        <item x="5"/>
        <item x="6"/>
        <item x="7"/>
        <item x="8"/>
        <item x="9"/>
        <item x="10"/>
        <item x="11"/>
        <item x="12"/>
        <item x="13"/>
        <item t="default"/>
      </items>
    </pivotField>
    <pivotField showAll="0">
      <items count="6">
        <item x="3"/>
        <item x="0"/>
        <item x="4"/>
        <item x="1"/>
        <item x="2"/>
        <item t="default"/>
      </items>
    </pivotField>
    <pivotField showAll="0">
      <items count="5">
        <item x="2"/>
        <item x="1"/>
        <item x="3"/>
        <item x="0"/>
        <item t="default"/>
      </items>
    </pivotField>
    <pivotField showAll="0"/>
    <pivotField axis="axisRow" showAll="0" sortType="descending">
      <items count="5">
        <item x="2"/>
        <item x="3"/>
        <item x="0"/>
        <item x="1"/>
        <item t="default"/>
      </items>
      <autoSortScope>
        <pivotArea dataOnly="0" outline="0" fieldPosition="0">
          <references count="1">
            <reference field="4294967294" count="1" selected="0">
              <x v="0"/>
            </reference>
          </references>
        </pivotArea>
      </autoSortScope>
    </pivotField>
    <pivotField showAll="0" defaultSubtotal="0"/>
    <pivotField numFmtId="1" showAll="0"/>
    <pivotField numFmtId="1" showAll="0" defaultSubtotal="0"/>
    <pivotField numFmtId="1" showAll="0"/>
    <pivotField dataField="1" numFmtId="1" showAll="0"/>
    <pivotField numFmtId="1" showAll="0"/>
    <pivotField numFmtId="1" showAll="0"/>
    <pivotField numFmtId="9" showAll="0"/>
    <pivotField showAll="0"/>
    <pivotField showAll="0"/>
    <pivotField showAll="0"/>
    <pivotField showAll="0"/>
    <pivotField showAll="0"/>
    <pivotField showAll="0"/>
    <pivotField showAll="0" defaultSubtotal="0">
      <items count="2">
        <item x="1"/>
        <item x="0"/>
      </items>
    </pivotField>
    <pivotField showAll="0" defaultSubtotal="0">
      <items count="6">
        <item x="0"/>
        <item x="1"/>
        <item x="2"/>
        <item x="3"/>
        <item x="4"/>
        <item x="5"/>
      </items>
    </pivotField>
    <pivotField showAll="0" defaultSubtotal="0">
      <items count="4">
        <item x="0"/>
        <item x="1"/>
        <item x="2"/>
        <item x="3"/>
      </items>
    </pivotField>
    <pivotField dragToRow="0" dragToCol="0" dragToPage="0" showAll="0" defaultSubtotal="0"/>
    <pivotField dragToRow="0" dragToCol="0" dragToPage="0" showAll="0" defaultSubtotal="0"/>
  </pivotFields>
  <rowFields count="1">
    <field x="5"/>
  </rowFields>
  <rowItems count="5">
    <i>
      <x/>
    </i>
    <i>
      <x v="3"/>
    </i>
    <i>
      <x v="1"/>
    </i>
    <i>
      <x v="2"/>
    </i>
    <i t="grand">
      <x/>
    </i>
  </rowItems>
  <colItems count="1">
    <i/>
  </colItems>
  <dataFields count="1">
    <dataField name="Sum of Sales Amount" fld="10" baseField="5" baseItem="0" numFmtId="164"/>
  </dataFields>
  <formats count="5">
    <format dxfId="1987">
      <pivotArea outline="0" collapsedLevelsAreSubtotals="1" fieldPosition="0"/>
    </format>
    <format dxfId="1986">
      <pivotArea outline="0" collapsedLevelsAreSubtotals="1" fieldPosition="0"/>
    </format>
    <format dxfId="1985">
      <pivotArea outline="0" collapsedLevelsAreSubtotals="1" fieldPosition="0"/>
    </format>
    <format dxfId="1984">
      <pivotArea outline="0" collapsedLevelsAreSubtotals="1" fieldPosition="0"/>
    </format>
    <format dxfId="1983">
      <pivotArea outline="0" collapsedLevelsAreSubtotals="1" fieldPosition="0"/>
    </format>
  </formats>
  <chartFormats count="2">
    <chartFormat chart="0" format="3"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3.xml><?xml version="1.0" encoding="utf-8"?>
<pivotTableDefinition xmlns="http://schemas.openxmlformats.org/spreadsheetml/2006/main" name="PivotTable15" cacheId="36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4">
  <location ref="A360:D366" firstHeaderRow="1" firstDataRow="2" firstDataCol="1"/>
  <pivotFields count="25">
    <pivotField showAll="0"/>
    <pivotField numFmtId="14" showAll="0">
      <items count="15">
        <item x="0"/>
        <item x="1"/>
        <item x="2"/>
        <item x="3"/>
        <item x="4"/>
        <item x="5"/>
        <item x="6"/>
        <item x="7"/>
        <item x="8"/>
        <item x="9"/>
        <item x="10"/>
        <item x="11"/>
        <item x="12"/>
        <item x="13"/>
        <item t="default"/>
      </items>
    </pivotField>
    <pivotField showAll="0">
      <items count="6">
        <item x="3"/>
        <item x="0"/>
        <item x="4"/>
        <item x="1"/>
        <item x="2"/>
        <item t="default"/>
      </items>
    </pivotField>
    <pivotField axis="axisRow" showAll="0">
      <items count="5">
        <item x="2"/>
        <item x="1"/>
        <item x="3"/>
        <item x="0"/>
        <item t="default"/>
      </items>
    </pivotField>
    <pivotField showAll="0"/>
    <pivotField showAll="0">
      <items count="5">
        <item x="2"/>
        <item x="3"/>
        <item x="0"/>
        <item x="1"/>
        <item t="default"/>
      </items>
    </pivotField>
    <pivotField showAll="0" defaultSubtotal="0"/>
    <pivotField numFmtId="1" showAll="0"/>
    <pivotField numFmtId="1" showAll="0" defaultSubtotal="0"/>
    <pivotField numFmtId="1" showAll="0"/>
    <pivotField dataField="1" numFmtId="1" showAll="0"/>
    <pivotField numFmtId="1" showAll="0"/>
    <pivotField numFmtId="1" showAll="0"/>
    <pivotField numFmtId="9" showAll="0"/>
    <pivotField showAll="0"/>
    <pivotField showAll="0"/>
    <pivotField showAll="0"/>
    <pivotField showAll="0"/>
    <pivotField showAll="0"/>
    <pivotField showAll="0"/>
    <pivotField axis="axisCol" showAll="0" defaultSubtotal="0">
      <items count="2">
        <item x="1"/>
        <item x="0"/>
      </items>
    </pivotField>
    <pivotField showAll="0" defaultSubtotal="0">
      <items count="6">
        <item sd="0" x="0"/>
        <item sd="0" x="1"/>
        <item sd="0" x="2"/>
        <item sd="0" x="3"/>
        <item sd="0" x="4"/>
        <item sd="0" x="5"/>
      </items>
    </pivotField>
    <pivotField showAll="0" defaultSubtotal="0">
      <items count="4">
        <item sd="0" x="0"/>
        <item x="1"/>
        <item x="2"/>
        <item sd="0" x="3"/>
      </items>
    </pivotField>
    <pivotField dragToRow="0" dragToCol="0" dragToPage="0" showAll="0" defaultSubtotal="0"/>
    <pivotField dragToRow="0" dragToCol="0" dragToPage="0" showAll="0" defaultSubtotal="0"/>
  </pivotFields>
  <rowFields count="1">
    <field x="3"/>
  </rowFields>
  <rowItems count="5">
    <i>
      <x/>
    </i>
    <i>
      <x v="1"/>
    </i>
    <i>
      <x v="2"/>
    </i>
    <i>
      <x v="3"/>
    </i>
    <i t="grand">
      <x/>
    </i>
  </rowItems>
  <colFields count="1">
    <field x="20"/>
  </colFields>
  <colItems count="3">
    <i>
      <x/>
    </i>
    <i>
      <x v="1"/>
    </i>
    <i t="grand">
      <x/>
    </i>
  </colItems>
  <dataFields count="1">
    <dataField name="Sum of Sales Amount" fld="10" showDataAs="percentOfRow" baseField="0" baseItem="0" numFmtId="10"/>
  </dataFields>
  <formats count="6">
    <format dxfId="1993">
      <pivotArea outline="0" collapsedLevelsAreSubtotals="1" fieldPosition="0"/>
    </format>
    <format dxfId="1992">
      <pivotArea outline="0" collapsedLevelsAreSubtotals="1" fieldPosition="0"/>
    </format>
    <format dxfId="1991">
      <pivotArea outline="0" collapsedLevelsAreSubtotals="1" fieldPosition="0"/>
    </format>
    <format dxfId="1990">
      <pivotArea outline="0" collapsedLevelsAreSubtotals="1" fieldPosition="0"/>
    </format>
    <format dxfId="1989">
      <pivotArea outline="0" collapsedLevelsAreSubtotals="1" fieldPosition="0"/>
    </format>
    <format dxfId="1988">
      <pivotArea outline="0" fieldPosition="0">
        <references count="1">
          <reference field="4294967294" count="1">
            <x v="0"/>
          </reference>
        </references>
      </pivotArea>
    </format>
  </formats>
  <chartFormats count="6">
    <chartFormat chart="34" format="0" series="1">
      <pivotArea type="data" outline="0" fieldPosition="0">
        <references count="2">
          <reference field="4294967294" count="1" selected="0">
            <x v="0"/>
          </reference>
          <reference field="20" count="1" selected="0">
            <x v="0"/>
          </reference>
        </references>
      </pivotArea>
    </chartFormat>
    <chartFormat chart="34" format="1" series="1">
      <pivotArea type="data" outline="0" fieldPosition="0">
        <references count="2">
          <reference field="4294967294" count="1" selected="0">
            <x v="0"/>
          </reference>
          <reference field="20" count="1" selected="0">
            <x v="1"/>
          </reference>
        </references>
      </pivotArea>
    </chartFormat>
    <chartFormat chart="43" format="4" series="1">
      <pivotArea type="data" outline="0" fieldPosition="0">
        <references count="2">
          <reference field="4294967294" count="1" selected="0">
            <x v="0"/>
          </reference>
          <reference field="20" count="1" selected="0">
            <x v="0"/>
          </reference>
        </references>
      </pivotArea>
    </chartFormat>
    <chartFormat chart="43" format="5" series="1">
      <pivotArea type="data" outline="0" fieldPosition="0">
        <references count="2">
          <reference field="4294967294" count="1" selected="0">
            <x v="0"/>
          </reference>
          <reference field="20" count="1" selected="0">
            <x v="1"/>
          </reference>
        </references>
      </pivotArea>
    </chartFormat>
    <chartFormat chart="43" format="6" series="1">
      <pivotArea type="data" outline="0" fieldPosition="0">
        <references count="1">
          <reference field="4294967294" count="1" selected="0">
            <x v="0"/>
          </reference>
        </references>
      </pivotArea>
    </chartFormat>
    <chartFormat chart="3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4.xml><?xml version="1.0" encoding="utf-8"?>
<pivotTableDefinition xmlns="http://schemas.openxmlformats.org/spreadsheetml/2006/main" name="PivotTable13" cacheId="36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3">
  <location ref="A147:F153" firstHeaderRow="1" firstDataRow="2" firstDataCol="1"/>
  <pivotFields count="25">
    <pivotField showAll="0"/>
    <pivotField numFmtId="14" showAll="0">
      <items count="15">
        <item x="0"/>
        <item x="1"/>
        <item x="2"/>
        <item x="3"/>
        <item x="4"/>
        <item x="5"/>
        <item x="6"/>
        <item x="7"/>
        <item x="8"/>
        <item x="9"/>
        <item x="10"/>
        <item x="11"/>
        <item x="12"/>
        <item x="13"/>
        <item t="default"/>
      </items>
    </pivotField>
    <pivotField showAll="0">
      <items count="6">
        <item x="3"/>
        <item x="0"/>
        <item x="4"/>
        <item x="1"/>
        <item x="2"/>
        <item t="default"/>
      </items>
    </pivotField>
    <pivotField axis="axisRow" showAll="0" sortType="ascending">
      <items count="5">
        <item x="2"/>
        <item x="1"/>
        <item x="3"/>
        <item x="0"/>
        <item t="default"/>
      </items>
      <autoSortScope>
        <pivotArea dataOnly="0" outline="0" fieldPosition="0">
          <references count="2">
            <reference field="4294967294" count="1" selected="0">
              <x v="0"/>
            </reference>
            <reference field="5" count="1" selected="0">
              <x v="0"/>
            </reference>
          </references>
        </pivotArea>
      </autoSortScope>
    </pivotField>
    <pivotField dataField="1" showAll="0"/>
    <pivotField axis="axisCol" showAll="0">
      <items count="5">
        <item x="2"/>
        <item x="3"/>
        <item x="0"/>
        <item x="1"/>
        <item t="default"/>
      </items>
    </pivotField>
    <pivotField showAll="0" defaultSubtotal="0"/>
    <pivotField numFmtId="1" showAll="0"/>
    <pivotField numFmtId="1" showAll="0" defaultSubtotal="0"/>
    <pivotField numFmtId="1" showAll="0"/>
    <pivotField numFmtId="1" showAll="0"/>
    <pivotField numFmtId="1" showAll="0"/>
    <pivotField numFmtId="1" showAll="0"/>
    <pivotField numFmtId="9" showAll="0"/>
    <pivotField showAll="0"/>
    <pivotField showAll="0"/>
    <pivotField showAll="0"/>
    <pivotField showAll="0"/>
    <pivotField showAll="0"/>
    <pivotField showAll="0"/>
    <pivotField showAll="0" defaultSubtotal="0">
      <items count="2">
        <item x="1"/>
        <item x="0"/>
      </items>
    </pivotField>
    <pivotField showAll="0" defaultSubtotal="0">
      <items count="6">
        <item sd="0" x="0"/>
        <item sd="0" x="1"/>
        <item sd="0" x="2"/>
        <item sd="0" x="3"/>
        <item sd="0" x="4"/>
        <item sd="0" x="5"/>
      </items>
    </pivotField>
    <pivotField showAll="0" defaultSubtotal="0">
      <items count="4">
        <item sd="0" x="0"/>
        <item x="1"/>
        <item sd="0" x="2"/>
        <item sd="0" x="3"/>
      </items>
    </pivotField>
    <pivotField dragToRow="0" dragToCol="0" dragToPage="0" showAll="0" defaultSubtotal="0"/>
    <pivotField dragToRow="0" dragToCol="0" dragToPage="0" showAll="0" defaultSubtotal="0"/>
  </pivotFields>
  <rowFields count="1">
    <field x="3"/>
  </rowFields>
  <rowItems count="5">
    <i>
      <x v="2"/>
    </i>
    <i>
      <x v="3"/>
    </i>
    <i>
      <x/>
    </i>
    <i>
      <x v="1"/>
    </i>
    <i t="grand">
      <x/>
    </i>
  </rowItems>
  <colFields count="1">
    <field x="5"/>
  </colFields>
  <colItems count="5">
    <i>
      <x/>
    </i>
    <i>
      <x v="1"/>
    </i>
    <i>
      <x v="2"/>
    </i>
    <i>
      <x v="3"/>
    </i>
    <i t="grand">
      <x/>
    </i>
  </colItems>
  <dataFields count="1">
    <dataField name="Sum of Quantity_Sold" fld="4" baseField="0" baseItem="0"/>
  </dataFields>
  <formats count="49">
    <format dxfId="2042">
      <pivotArea outline="0" collapsedLevelsAreSubtotals="1" fieldPosition="0"/>
    </format>
    <format dxfId="2041">
      <pivotArea outline="0" collapsedLevelsAreSubtotals="1" fieldPosition="0"/>
    </format>
    <format dxfId="2040">
      <pivotArea outline="0" collapsedLevelsAreSubtotals="1" fieldPosition="0"/>
    </format>
    <format dxfId="2039">
      <pivotArea outline="0" collapsedLevelsAreSubtotals="1" fieldPosition="0"/>
    </format>
    <format dxfId="2038">
      <pivotArea outline="0" collapsedLevelsAreSubtotals="1" fieldPosition="0"/>
    </format>
    <format dxfId="2037">
      <pivotArea type="all" dataOnly="0" outline="0" fieldPosition="0"/>
    </format>
    <format dxfId="2036">
      <pivotArea outline="0" collapsedLevelsAreSubtotals="1" fieldPosition="0"/>
    </format>
    <format dxfId="2035">
      <pivotArea type="origin" dataOnly="0" labelOnly="1" outline="0" fieldPosition="0"/>
    </format>
    <format dxfId="2034">
      <pivotArea field="2" type="button" dataOnly="0" labelOnly="1" outline="0"/>
    </format>
    <format dxfId="2033">
      <pivotArea type="topRight" dataOnly="0" labelOnly="1" outline="0" fieldPosition="0"/>
    </format>
    <format dxfId="2032">
      <pivotArea field="21" type="button" dataOnly="0" labelOnly="1" outline="0"/>
    </format>
    <format dxfId="2031">
      <pivotArea dataOnly="0" labelOnly="1" grandRow="1" outline="0" fieldPosition="0"/>
    </format>
    <format dxfId="2030">
      <pivotArea dataOnly="0" labelOnly="1" grandCol="1" outline="0" fieldPosition="0"/>
    </format>
    <format dxfId="2029">
      <pivotArea type="all" dataOnly="0" outline="0" fieldPosition="0"/>
    </format>
    <format dxfId="2028">
      <pivotArea outline="0" collapsedLevelsAreSubtotals="1" fieldPosition="0"/>
    </format>
    <format dxfId="2027">
      <pivotArea type="origin" dataOnly="0" labelOnly="1" outline="0" fieldPosition="0"/>
    </format>
    <format dxfId="2026">
      <pivotArea field="2" type="button" dataOnly="0" labelOnly="1" outline="0"/>
    </format>
    <format dxfId="2025">
      <pivotArea type="topRight" dataOnly="0" labelOnly="1" outline="0" fieldPosition="0"/>
    </format>
    <format dxfId="2024">
      <pivotArea field="21" type="button" dataOnly="0" labelOnly="1" outline="0"/>
    </format>
    <format dxfId="2023">
      <pivotArea dataOnly="0" labelOnly="1" grandRow="1" outline="0" fieldPosition="0"/>
    </format>
    <format dxfId="2022">
      <pivotArea dataOnly="0" labelOnly="1" grandCol="1" outline="0" fieldPosition="0"/>
    </format>
    <format dxfId="2021">
      <pivotArea type="all" dataOnly="0" outline="0" fieldPosition="0"/>
    </format>
    <format dxfId="2020">
      <pivotArea outline="0" collapsedLevelsAreSubtotals="1" fieldPosition="0"/>
    </format>
    <format dxfId="2019">
      <pivotArea type="origin" dataOnly="0" labelOnly="1" outline="0" fieldPosition="0"/>
    </format>
    <format dxfId="2018">
      <pivotArea field="2" type="button" dataOnly="0" labelOnly="1" outline="0"/>
    </format>
    <format dxfId="2017">
      <pivotArea type="topRight" dataOnly="0" labelOnly="1" outline="0" fieldPosition="0"/>
    </format>
    <format dxfId="2016">
      <pivotArea field="21" type="button" dataOnly="0" labelOnly="1" outline="0"/>
    </format>
    <format dxfId="2015">
      <pivotArea dataOnly="0" labelOnly="1" grandRow="1" outline="0" fieldPosition="0"/>
    </format>
    <format dxfId="2014">
      <pivotArea dataOnly="0" labelOnly="1" grandCol="1" outline="0" fieldPosition="0"/>
    </format>
    <format dxfId="2013">
      <pivotArea type="all" dataOnly="0" outline="0" fieldPosition="0"/>
    </format>
    <format dxfId="2012">
      <pivotArea outline="0" collapsedLevelsAreSubtotals="1" fieldPosition="0"/>
    </format>
    <format dxfId="2011">
      <pivotArea type="origin" dataOnly="0" labelOnly="1" outline="0" fieldPosition="0"/>
    </format>
    <format dxfId="2010">
      <pivotArea field="5" type="button" dataOnly="0" labelOnly="1" outline="0" axis="axisCol" fieldPosition="0"/>
    </format>
    <format dxfId="2009">
      <pivotArea type="topRight" dataOnly="0" labelOnly="1" outline="0" fieldPosition="0"/>
    </format>
    <format dxfId="2008">
      <pivotArea field="3" type="button" dataOnly="0" labelOnly="1" outline="0" axis="axisRow" fieldPosition="0"/>
    </format>
    <format dxfId="2007">
      <pivotArea dataOnly="0" labelOnly="1" fieldPosition="0">
        <references count="1">
          <reference field="3" count="0"/>
        </references>
      </pivotArea>
    </format>
    <format dxfId="2006">
      <pivotArea dataOnly="0" labelOnly="1" grandRow="1" outline="0" fieldPosition="0"/>
    </format>
    <format dxfId="2005">
      <pivotArea dataOnly="0" labelOnly="1" fieldPosition="0">
        <references count="1">
          <reference field="5" count="0"/>
        </references>
      </pivotArea>
    </format>
    <format dxfId="2004">
      <pivotArea dataOnly="0" labelOnly="1" grandCol="1" outline="0" fieldPosition="0"/>
    </format>
    <format dxfId="2003">
      <pivotArea type="all" dataOnly="0" outline="0" fieldPosition="0"/>
    </format>
    <format dxfId="2002">
      <pivotArea outline="0" collapsedLevelsAreSubtotals="1" fieldPosition="0"/>
    </format>
    <format dxfId="2001">
      <pivotArea type="origin" dataOnly="0" labelOnly="1" outline="0" fieldPosition="0"/>
    </format>
    <format dxfId="2000">
      <pivotArea field="5" type="button" dataOnly="0" labelOnly="1" outline="0" axis="axisCol" fieldPosition="0"/>
    </format>
    <format dxfId="1999">
      <pivotArea type="topRight" dataOnly="0" labelOnly="1" outline="0" fieldPosition="0"/>
    </format>
    <format dxfId="1998">
      <pivotArea field="3" type="button" dataOnly="0" labelOnly="1" outline="0" axis="axisRow" fieldPosition="0"/>
    </format>
    <format dxfId="1997">
      <pivotArea dataOnly="0" labelOnly="1" fieldPosition="0">
        <references count="1">
          <reference field="3" count="0"/>
        </references>
      </pivotArea>
    </format>
    <format dxfId="1996">
      <pivotArea dataOnly="0" labelOnly="1" grandRow="1" outline="0" fieldPosition="0"/>
    </format>
    <format dxfId="1995">
      <pivotArea dataOnly="0" labelOnly="1" fieldPosition="0">
        <references count="1">
          <reference field="5" count="0"/>
        </references>
      </pivotArea>
    </format>
    <format dxfId="1994">
      <pivotArea dataOnly="0" labelOnly="1" grandCol="1" outline="0" fieldPosition="0"/>
    </format>
  </formats>
  <chartFormats count="10">
    <chartFormat chart="9" format="0" series="1">
      <pivotArea type="data" outline="0" fieldPosition="0">
        <references count="2">
          <reference field="4294967294" count="1" selected="0">
            <x v="0"/>
          </reference>
          <reference field="5" count="1" selected="0">
            <x v="0"/>
          </reference>
        </references>
      </pivotArea>
    </chartFormat>
    <chartFormat chart="9" format="1" series="1">
      <pivotArea type="data" outline="0" fieldPosition="0">
        <references count="2">
          <reference field="4294967294" count="1" selected="0">
            <x v="0"/>
          </reference>
          <reference field="5" count="1" selected="0">
            <x v="1"/>
          </reference>
        </references>
      </pivotArea>
    </chartFormat>
    <chartFormat chart="9" format="2" series="1">
      <pivotArea type="data" outline="0" fieldPosition="0">
        <references count="2">
          <reference field="4294967294" count="1" selected="0">
            <x v="0"/>
          </reference>
          <reference field="5" count="1" selected="0">
            <x v="2"/>
          </reference>
        </references>
      </pivotArea>
    </chartFormat>
    <chartFormat chart="9" format="3" series="1">
      <pivotArea type="data" outline="0" fieldPosition="0">
        <references count="2">
          <reference field="4294967294" count="1" selected="0">
            <x v="0"/>
          </reference>
          <reference field="5" count="1" selected="0">
            <x v="3"/>
          </reference>
        </references>
      </pivotArea>
    </chartFormat>
    <chartFormat chart="12" format="8" series="1">
      <pivotArea type="data" outline="0" fieldPosition="0">
        <references count="2">
          <reference field="4294967294" count="1" selected="0">
            <x v="0"/>
          </reference>
          <reference field="5" count="1" selected="0">
            <x v="0"/>
          </reference>
        </references>
      </pivotArea>
    </chartFormat>
    <chartFormat chart="12" format="9" series="1">
      <pivotArea type="data" outline="0" fieldPosition="0">
        <references count="2">
          <reference field="4294967294" count="1" selected="0">
            <x v="0"/>
          </reference>
          <reference field="5" count="1" selected="0">
            <x v="1"/>
          </reference>
        </references>
      </pivotArea>
    </chartFormat>
    <chartFormat chart="12" format="10" series="1">
      <pivotArea type="data" outline="0" fieldPosition="0">
        <references count="2">
          <reference field="4294967294" count="1" selected="0">
            <x v="0"/>
          </reference>
          <reference field="5" count="1" selected="0">
            <x v="2"/>
          </reference>
        </references>
      </pivotArea>
    </chartFormat>
    <chartFormat chart="12" format="11" series="1">
      <pivotArea type="data" outline="0" fieldPosition="0">
        <references count="2">
          <reference field="4294967294" count="1" selected="0">
            <x v="0"/>
          </reference>
          <reference field="5" count="1" selected="0">
            <x v="3"/>
          </reference>
        </references>
      </pivotArea>
    </chartFormat>
    <chartFormat chart="12" format="12"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5.xml><?xml version="1.0" encoding="utf-8"?>
<pivotTableDefinition xmlns="http://schemas.openxmlformats.org/spreadsheetml/2006/main" name="PivotTable26" cacheId="36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3">
  <location ref="A229:D234" firstHeaderRow="0" firstDataRow="1" firstDataCol="1"/>
  <pivotFields count="25">
    <pivotField showAll="0"/>
    <pivotField numFmtId="14" showAll="0">
      <items count="15">
        <item x="0"/>
        <item x="1"/>
        <item x="2"/>
        <item x="3"/>
        <item x="4"/>
        <item x="5"/>
        <item x="6"/>
        <item x="7"/>
        <item x="8"/>
        <item x="9"/>
        <item x="10"/>
        <item x="11"/>
        <item x="12"/>
        <item x="13"/>
        <item t="default"/>
      </items>
    </pivotField>
    <pivotField showAll="0">
      <items count="6">
        <item x="3"/>
        <item x="0"/>
        <item x="4"/>
        <item x="1"/>
        <item x="2"/>
        <item t="default"/>
      </items>
    </pivotField>
    <pivotField axis="axisRow" showAll="0" sortType="ascending">
      <items count="5">
        <item x="2"/>
        <item x="1"/>
        <item x="3"/>
        <item x="0"/>
        <item t="default"/>
      </items>
      <autoSortScope>
        <pivotArea dataOnly="0" outline="0" fieldPosition="0">
          <references count="1">
            <reference field="4294967294" count="1" selected="0">
              <x v="1"/>
            </reference>
          </references>
        </pivotArea>
      </autoSortScope>
    </pivotField>
    <pivotField dataField="1" showAll="0"/>
    <pivotField showAll="0">
      <items count="5">
        <item x="2"/>
        <item x="3"/>
        <item x="0"/>
        <item x="1"/>
        <item t="default"/>
      </items>
    </pivotField>
    <pivotField showAll="0" defaultSubtotal="0"/>
    <pivotField dataField="1" numFmtId="1" showAll="0"/>
    <pivotField numFmtId="1" showAll="0" defaultSubtotal="0"/>
    <pivotField numFmtId="1" showAll="0"/>
    <pivotField dataField="1" numFmtId="1" showAll="0"/>
    <pivotField numFmtId="1" showAll="0"/>
    <pivotField numFmtId="1" showAll="0"/>
    <pivotField numFmtId="9" showAll="0"/>
    <pivotField showAll="0"/>
    <pivotField showAll="0"/>
    <pivotField showAll="0"/>
    <pivotField showAll="0"/>
    <pivotField showAll="0"/>
    <pivotField showAll="0"/>
    <pivotField showAll="0" defaultSubtotal="0">
      <items count="2">
        <item x="1"/>
        <item x="0"/>
      </items>
    </pivotField>
    <pivotField showAll="0" defaultSubtotal="0">
      <items count="6">
        <item x="0"/>
        <item x="1"/>
        <item x="2"/>
        <item x="3"/>
        <item x="4"/>
        <item x="5"/>
      </items>
    </pivotField>
    <pivotField showAll="0" defaultSubtotal="0">
      <items count="4">
        <item x="0"/>
        <item x="1"/>
        <item x="2"/>
        <item x="3"/>
      </items>
    </pivotField>
    <pivotField dragToRow="0" dragToCol="0" dragToPage="0" showAll="0" defaultSubtotal="0"/>
    <pivotField dragToRow="0" dragToCol="0" dragToPage="0" showAll="0" defaultSubtotal="0"/>
  </pivotFields>
  <rowFields count="1">
    <field x="3"/>
  </rowFields>
  <rowItems count="5">
    <i>
      <x v="2"/>
    </i>
    <i>
      <x/>
    </i>
    <i>
      <x v="3"/>
    </i>
    <i>
      <x v="1"/>
    </i>
    <i t="grand">
      <x/>
    </i>
  </rowItems>
  <colFields count="1">
    <field x="-2"/>
  </colFields>
  <colItems count="3">
    <i>
      <x/>
    </i>
    <i i="1">
      <x v="1"/>
    </i>
    <i i="2">
      <x v="2"/>
    </i>
  </colItems>
  <dataFields count="3">
    <dataField name="Sum of Sales Amount" fld="10" baseField="0" baseItem="0"/>
    <dataField name="Sum of Quantity_Sold" fld="4" baseField="0" baseItem="0"/>
    <dataField name="Average of Unit_Cost" fld="7" subtotal="average" baseField="2" baseItem="0"/>
  </dataFields>
  <formats count="5">
    <format dxfId="2047">
      <pivotArea outline="0" collapsedLevelsAreSubtotals="1" fieldPosition="0"/>
    </format>
    <format dxfId="2046">
      <pivotArea outline="0" collapsedLevelsAreSubtotals="1" fieldPosition="0"/>
    </format>
    <format dxfId="2045">
      <pivotArea dataOnly="0" outline="0" fieldPosition="0">
        <references count="1">
          <reference field="4294967294" count="1">
            <x v="0"/>
          </reference>
        </references>
      </pivotArea>
    </format>
    <format dxfId="2044">
      <pivotArea dataOnly="0" outline="0" fieldPosition="0">
        <references count="1">
          <reference field="4294967294" count="1">
            <x v="0"/>
          </reference>
        </references>
      </pivotArea>
    </format>
    <format dxfId="2043">
      <pivotArea dataOnly="0" outline="0" fieldPosition="0">
        <references count="1">
          <reference field="4294967294" count="1">
            <x v="0"/>
          </reference>
        </references>
      </pivotArea>
    </format>
  </formats>
  <chartFormats count="7">
    <chartFormat chart="0"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4" format="2" series="1">
      <pivotArea type="data" outline="0" fieldPosition="0">
        <references count="1">
          <reference field="4294967294" count="1" selected="0">
            <x v="2"/>
          </reference>
        </references>
      </pivotArea>
    </chartFormat>
    <chartFormat chart="12" format="9" series="1">
      <pivotArea type="data" outline="0" fieldPosition="0">
        <references count="1">
          <reference field="4294967294" count="1" selected="0">
            <x v="0"/>
          </reference>
        </references>
      </pivotArea>
    </chartFormat>
    <chartFormat chart="12" format="10" series="1">
      <pivotArea type="data" outline="0" fieldPosition="0">
        <references count="1">
          <reference field="4294967294" count="1" selected="0">
            <x v="1"/>
          </reference>
        </references>
      </pivotArea>
    </chartFormat>
    <chartFormat chart="12" format="11"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6.xml><?xml version="1.0" encoding="utf-8"?>
<pivotTableDefinition xmlns="http://schemas.openxmlformats.org/spreadsheetml/2006/main" name="PivotTable2" cacheId="36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
  <location ref="A78:C83" firstHeaderRow="0" firstDataRow="1" firstDataCol="1"/>
  <pivotFields count="25">
    <pivotField showAll="0"/>
    <pivotField numFmtId="14" showAll="0">
      <items count="15">
        <item x="0"/>
        <item x="1"/>
        <item x="2"/>
        <item x="3"/>
        <item x="4"/>
        <item x="5"/>
        <item x="6"/>
        <item x="7"/>
        <item x="8"/>
        <item x="9"/>
        <item x="10"/>
        <item x="11"/>
        <item x="12"/>
        <item x="13"/>
        <item t="default"/>
      </items>
    </pivotField>
    <pivotField showAll="0">
      <items count="6">
        <item x="3"/>
        <item x="0"/>
        <item x="4"/>
        <item x="1"/>
        <item x="2"/>
        <item t="default"/>
      </items>
    </pivotField>
    <pivotField showAll="0">
      <items count="5">
        <item x="2"/>
        <item x="1"/>
        <item x="3"/>
        <item x="0"/>
        <item t="default"/>
      </items>
    </pivotField>
    <pivotField dataField="1" showAll="0"/>
    <pivotField axis="axisRow" showAll="0" sortType="descending">
      <items count="5">
        <item x="2"/>
        <item x="3"/>
        <item x="0"/>
        <item x="1"/>
        <item t="default"/>
      </items>
      <autoSortScope>
        <pivotArea dataOnly="0" outline="0" fieldPosition="0">
          <references count="1">
            <reference field="4294967294" count="1" selected="0">
              <x v="0"/>
            </reference>
          </references>
        </pivotArea>
      </autoSortScope>
    </pivotField>
    <pivotField showAll="0" defaultSubtotal="0"/>
    <pivotField numFmtId="1" showAll="0"/>
    <pivotField numFmtId="1" showAll="0" defaultSubtotal="0"/>
    <pivotField numFmtId="1" showAll="0"/>
    <pivotField dataField="1" numFmtId="1" showAll="0"/>
    <pivotField numFmtId="1" showAll="0"/>
    <pivotField numFmtId="1" showAll="0"/>
    <pivotField numFmtId="9" showAll="0"/>
    <pivotField showAll="0"/>
    <pivotField showAll="0"/>
    <pivotField showAll="0"/>
    <pivotField showAll="0"/>
    <pivotField showAll="0"/>
    <pivotField showAll="0"/>
    <pivotField showAll="0" defaultSubtotal="0">
      <items count="2">
        <item x="1"/>
        <item x="0"/>
      </items>
    </pivotField>
    <pivotField showAll="0" defaultSubtotal="0">
      <items count="6">
        <item sd="0" x="0"/>
        <item sd="0" x="1"/>
        <item sd="0" x="2"/>
        <item sd="0" x="3"/>
        <item sd="0" x="4"/>
        <item sd="0" x="5"/>
      </items>
    </pivotField>
    <pivotField showAll="0" defaultSubtotal="0">
      <items count="4">
        <item sd="0" x="0"/>
        <item sd="0" x="1"/>
        <item sd="0" x="2"/>
        <item sd="0" x="3"/>
      </items>
    </pivotField>
    <pivotField dragToRow="0" dragToCol="0" dragToPage="0" showAll="0" defaultSubtotal="0"/>
    <pivotField dragToRow="0" dragToCol="0" dragToPage="0" showAll="0" defaultSubtotal="0"/>
  </pivotFields>
  <rowFields count="1">
    <field x="5"/>
  </rowFields>
  <rowItems count="5">
    <i>
      <x v="1"/>
    </i>
    <i>
      <x/>
    </i>
    <i>
      <x v="3"/>
    </i>
    <i>
      <x v="2"/>
    </i>
    <i t="grand">
      <x/>
    </i>
  </rowItems>
  <colFields count="1">
    <field x="-2"/>
  </colFields>
  <colItems count="2">
    <i>
      <x/>
    </i>
    <i i="1">
      <x v="1"/>
    </i>
  </colItems>
  <dataFields count="2">
    <dataField name="Average of Sales Amount" fld="10" subtotal="average" baseField="5" baseItem="0" numFmtId="164"/>
    <dataField name="Sum of Quantity_Sold" fld="4" baseField="5" baseItem="1"/>
  </dataFields>
  <formats count="5">
    <format dxfId="2052">
      <pivotArea outline="0" collapsedLevelsAreSubtotals="1" fieldPosition="0"/>
    </format>
    <format dxfId="2051">
      <pivotArea outline="0" collapsedLevelsAreSubtotals="1" fieldPosition="0"/>
    </format>
    <format dxfId="2050">
      <pivotArea outline="0" collapsedLevelsAreSubtotals="1" fieldPosition="0"/>
    </format>
    <format dxfId="2049">
      <pivotArea outline="0" collapsedLevelsAreSubtotals="1" fieldPosition="0"/>
    </format>
    <format dxfId="2048">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7.xml><?xml version="1.0" encoding="utf-8"?>
<pivotTableDefinition xmlns="http://schemas.openxmlformats.org/spreadsheetml/2006/main" name="PivotTable17" cacheId="36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1">
  <location ref="A212:A213" firstHeaderRow="1" firstDataRow="1" firstDataCol="0"/>
  <pivotFields count="24">
    <pivotField showAll="0"/>
    <pivotField numFmtId="14" showAll="0">
      <items count="15">
        <item x="0"/>
        <item x="1"/>
        <item x="2"/>
        <item x="3"/>
        <item x="4"/>
        <item x="5"/>
        <item x="6"/>
        <item x="7"/>
        <item x="8"/>
        <item x="9"/>
        <item x="10"/>
        <item x="11"/>
        <item x="12"/>
        <item x="13"/>
        <item t="default"/>
      </items>
    </pivotField>
    <pivotField showAll="0">
      <items count="6">
        <item x="3"/>
        <item x="0"/>
        <item x="4"/>
        <item x="1"/>
        <item x="2"/>
        <item t="default"/>
      </items>
    </pivotField>
    <pivotField showAll="0">
      <items count="5">
        <item x="2"/>
        <item x="1"/>
        <item x="3"/>
        <item x="0"/>
        <item t="default"/>
      </items>
    </pivotField>
    <pivotField showAll="0"/>
    <pivotField showAll="0">
      <items count="5">
        <item x="2"/>
        <item x="3"/>
        <item x="0"/>
        <item x="1"/>
        <item t="default"/>
      </items>
    </pivotField>
    <pivotField showAll="0" defaultSubtotal="0"/>
    <pivotField numFmtId="1" showAll="0"/>
    <pivotField numFmtId="1" showAll="0" defaultSubtotal="0"/>
    <pivotField numFmtId="1" showAll="0"/>
    <pivotField numFmtId="1" showAll="0"/>
    <pivotField dataField="1" numFmtId="1" showAll="0"/>
    <pivotField numFmtId="1" showAll="0"/>
    <pivotField numFmtId="9" showAll="0"/>
    <pivotField showAll="0"/>
    <pivotField showAll="0"/>
    <pivotField showAll="0"/>
    <pivotField showAll="0"/>
    <pivotField showAll="0"/>
    <pivotField showAll="0"/>
    <pivotField showAll="0" defaultSubtotal="0">
      <items count="6">
        <item sd="0" x="0"/>
        <item sd="0" x="1"/>
        <item sd="0" x="2"/>
        <item sd="0" x="3"/>
        <item sd="0" x="4"/>
        <item sd="0" x="5"/>
      </items>
    </pivotField>
    <pivotField showAll="0" defaultSubtotal="0">
      <items count="4">
        <item sd="0" x="0"/>
        <item x="1"/>
        <item sd="0" x="2"/>
        <item sd="0" x="3"/>
      </items>
    </pivotField>
    <pivotField dragToRow="0" dragToCol="0" dragToPage="0" showAll="0" defaultSubtotal="0"/>
    <pivotField dragToRow="0" dragToCol="0" dragToPage="0" showAll="0" defaultSubtotal="0"/>
  </pivotFields>
  <rowItems count="1">
    <i/>
  </rowItems>
  <colItems count="1">
    <i/>
  </colItems>
  <dataFields count="1">
    <dataField name="Sum of Total Cost" fld="11" baseField="0" baseItem="0" numFmtId="164"/>
  </dataFields>
  <formats count="50">
    <format dxfId="2102">
      <pivotArea outline="0" collapsedLevelsAreSubtotals="1" fieldPosition="0"/>
    </format>
    <format dxfId="2101">
      <pivotArea outline="0" collapsedLevelsAreSubtotals="1" fieldPosition="0"/>
    </format>
    <format dxfId="2100">
      <pivotArea outline="0" collapsedLevelsAreSubtotals="1" fieldPosition="0"/>
    </format>
    <format dxfId="2099">
      <pivotArea outline="0" collapsedLevelsAreSubtotals="1" fieldPosition="0"/>
    </format>
    <format dxfId="2098">
      <pivotArea outline="0" collapsedLevelsAreSubtotals="1" fieldPosition="0"/>
    </format>
    <format dxfId="2097">
      <pivotArea type="all" dataOnly="0" outline="0" fieldPosition="0"/>
    </format>
    <format dxfId="2096">
      <pivotArea outline="0" collapsedLevelsAreSubtotals="1" fieldPosition="0"/>
    </format>
    <format dxfId="2095">
      <pivotArea type="origin" dataOnly="0" labelOnly="1" outline="0" fieldPosition="0"/>
    </format>
    <format dxfId="2094">
      <pivotArea field="2" type="button" dataOnly="0" labelOnly="1" outline="0"/>
    </format>
    <format dxfId="2093">
      <pivotArea type="topRight" dataOnly="0" labelOnly="1" outline="0" fieldPosition="0"/>
    </format>
    <format dxfId="2092">
      <pivotArea field="20" type="button" dataOnly="0" labelOnly="1" outline="0"/>
    </format>
    <format dxfId="2091">
      <pivotArea dataOnly="0" labelOnly="1" grandRow="1" outline="0" fieldPosition="0"/>
    </format>
    <format dxfId="2090">
      <pivotArea dataOnly="0" labelOnly="1" grandCol="1" outline="0" fieldPosition="0"/>
    </format>
    <format dxfId="2089">
      <pivotArea type="all" dataOnly="0" outline="0" fieldPosition="0"/>
    </format>
    <format dxfId="2088">
      <pivotArea outline="0" collapsedLevelsAreSubtotals="1" fieldPosition="0"/>
    </format>
    <format dxfId="2087">
      <pivotArea type="origin" dataOnly="0" labelOnly="1" outline="0" fieldPosition="0"/>
    </format>
    <format dxfId="2086">
      <pivotArea field="2" type="button" dataOnly="0" labelOnly="1" outline="0"/>
    </format>
    <format dxfId="2085">
      <pivotArea type="topRight" dataOnly="0" labelOnly="1" outline="0" fieldPosition="0"/>
    </format>
    <format dxfId="2084">
      <pivotArea field="20" type="button" dataOnly="0" labelOnly="1" outline="0"/>
    </format>
    <format dxfId="2083">
      <pivotArea dataOnly="0" labelOnly="1" grandRow="1" outline="0" fieldPosition="0"/>
    </format>
    <format dxfId="2082">
      <pivotArea dataOnly="0" labelOnly="1" grandCol="1" outline="0" fieldPosition="0"/>
    </format>
    <format dxfId="2081">
      <pivotArea type="all" dataOnly="0" outline="0" fieldPosition="0"/>
    </format>
    <format dxfId="2080">
      <pivotArea outline="0" collapsedLevelsAreSubtotals="1" fieldPosition="0"/>
    </format>
    <format dxfId="2079">
      <pivotArea type="origin" dataOnly="0" labelOnly="1" outline="0" fieldPosition="0"/>
    </format>
    <format dxfId="2078">
      <pivotArea field="2" type="button" dataOnly="0" labelOnly="1" outline="0"/>
    </format>
    <format dxfId="2077">
      <pivotArea type="topRight" dataOnly="0" labelOnly="1" outline="0" fieldPosition="0"/>
    </format>
    <format dxfId="2076">
      <pivotArea field="20" type="button" dataOnly="0" labelOnly="1" outline="0"/>
    </format>
    <format dxfId="2075">
      <pivotArea dataOnly="0" labelOnly="1" grandRow="1" outline="0" fieldPosition="0"/>
    </format>
    <format dxfId="2074">
      <pivotArea dataOnly="0" labelOnly="1" grandCol="1" outline="0" fieldPosition="0"/>
    </format>
    <format dxfId="2073">
      <pivotArea type="all" dataOnly="0" outline="0" fieldPosition="0"/>
    </format>
    <format dxfId="2072">
      <pivotArea outline="0" collapsedLevelsAreSubtotals="1" fieldPosition="0"/>
    </format>
    <format dxfId="2071">
      <pivotArea type="origin" dataOnly="0" labelOnly="1" outline="0" fieldPosition="0"/>
    </format>
    <format dxfId="2070">
      <pivotArea field="5" type="button" dataOnly="0" labelOnly="1" outline="0"/>
    </format>
    <format dxfId="2069">
      <pivotArea type="topRight" dataOnly="0" labelOnly="1" outline="0" fieldPosition="0"/>
    </format>
    <format dxfId="2068">
      <pivotArea field="3" type="button" dataOnly="0" labelOnly="1" outline="0"/>
    </format>
    <format dxfId="2067">
      <pivotArea dataOnly="0" labelOnly="1" grandRow="1" outline="0" fieldPosition="0"/>
    </format>
    <format dxfId="2066">
      <pivotArea dataOnly="0" labelOnly="1" grandCol="1" outline="0" fieldPosition="0"/>
    </format>
    <format dxfId="2065">
      <pivotArea type="all" dataOnly="0" outline="0" fieldPosition="0"/>
    </format>
    <format dxfId="2064">
      <pivotArea outline="0" collapsedLevelsAreSubtotals="1" fieldPosition="0"/>
    </format>
    <format dxfId="2063">
      <pivotArea type="origin" dataOnly="0" labelOnly="1" outline="0" fieldPosition="0"/>
    </format>
    <format dxfId="2062">
      <pivotArea field="5" type="button" dataOnly="0" labelOnly="1" outline="0"/>
    </format>
    <format dxfId="2061">
      <pivotArea type="topRight" dataOnly="0" labelOnly="1" outline="0" fieldPosition="0"/>
    </format>
    <format dxfId="2060">
      <pivotArea field="3" type="button" dataOnly="0" labelOnly="1" outline="0"/>
    </format>
    <format dxfId="2059">
      <pivotArea dataOnly="0" labelOnly="1" grandRow="1" outline="0" fieldPosition="0"/>
    </format>
    <format dxfId="2058">
      <pivotArea dataOnly="0" labelOnly="1" grandCol="1" outline="0" fieldPosition="0"/>
    </format>
    <format dxfId="2057">
      <pivotArea outline="0" collapsedLevelsAreSubtotals="1" fieldPosition="0"/>
    </format>
    <format dxfId="2056">
      <pivotArea outline="0" collapsedLevelsAreSubtotals="1" fieldPosition="0"/>
    </format>
    <format dxfId="2055">
      <pivotArea outline="0" collapsedLevelsAreSubtotals="1" fieldPosition="0"/>
    </format>
    <format dxfId="2054">
      <pivotArea outline="0" collapsedLevelsAreSubtotals="1" fieldPosition="0"/>
    </format>
    <format dxfId="205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8.xml><?xml version="1.0" encoding="utf-8"?>
<pivotTableDefinition xmlns="http://schemas.openxmlformats.org/spreadsheetml/2006/main" name="PivotTable8" cacheId="36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6">
  <location ref="A7:B12" firstHeaderRow="1" firstDataRow="1" firstDataCol="1"/>
  <pivotFields count="25">
    <pivotField showAll="0"/>
    <pivotField numFmtId="14" showAll="0">
      <items count="15">
        <item x="0"/>
        <item x="1"/>
        <item x="2"/>
        <item x="3"/>
        <item x="4"/>
        <item x="5"/>
        <item x="6"/>
        <item x="7"/>
        <item x="8"/>
        <item x="9"/>
        <item x="10"/>
        <item x="11"/>
        <item x="12"/>
        <item x="13"/>
        <item t="default"/>
      </items>
    </pivotField>
    <pivotField showAll="0">
      <items count="6">
        <item x="3"/>
        <item x="0"/>
        <item x="4"/>
        <item x="1"/>
        <item x="2"/>
        <item t="default"/>
      </items>
    </pivotField>
    <pivotField axis="axisRow" showAll="0" sortType="descending">
      <items count="5">
        <item x="2"/>
        <item x="1"/>
        <item x="3"/>
        <item x="0"/>
        <item t="default"/>
      </items>
      <autoSortScope>
        <pivotArea dataOnly="0" outline="0" fieldPosition="0">
          <references count="1">
            <reference field="4294967294" count="1" selected="0">
              <x v="0"/>
            </reference>
          </references>
        </pivotArea>
      </autoSortScope>
    </pivotField>
    <pivotField showAll="0"/>
    <pivotField showAll="0">
      <items count="5">
        <item x="2"/>
        <item x="3"/>
        <item x="0"/>
        <item x="1"/>
        <item t="default"/>
      </items>
    </pivotField>
    <pivotField showAll="0" defaultSubtotal="0"/>
    <pivotField numFmtId="1" showAll="0"/>
    <pivotField numFmtId="1" showAll="0" defaultSubtotal="0"/>
    <pivotField numFmtId="1" showAll="0"/>
    <pivotField dataField="1" numFmtId="1" showAll="0"/>
    <pivotField numFmtId="1" showAll="0"/>
    <pivotField numFmtId="1" showAll="0"/>
    <pivotField numFmtId="9" showAll="0"/>
    <pivotField showAll="0"/>
    <pivotField showAll="0"/>
    <pivotField showAll="0"/>
    <pivotField showAll="0"/>
    <pivotField showAll="0"/>
    <pivotField showAll="0"/>
    <pivotField showAll="0" defaultSubtotal="0">
      <items count="2">
        <item x="1"/>
        <item x="0"/>
      </items>
    </pivotField>
    <pivotField showAll="0" defaultSubtotal="0">
      <items count="6">
        <item x="0"/>
        <item x="1"/>
        <item x="2"/>
        <item x="3"/>
        <item x="4"/>
        <item x="5"/>
      </items>
    </pivotField>
    <pivotField showAll="0" defaultSubtotal="0">
      <items count="4">
        <item x="0"/>
        <item x="1"/>
        <item x="2"/>
        <item x="3"/>
      </items>
    </pivotField>
    <pivotField dragToRow="0" dragToCol="0" dragToPage="0" showAll="0" defaultSubtotal="0"/>
    <pivotField dragToRow="0" dragToCol="0" dragToPage="0" showAll="0" defaultSubtotal="0"/>
  </pivotFields>
  <rowFields count="1">
    <field x="3"/>
  </rowFields>
  <rowItems count="5">
    <i>
      <x v="1"/>
    </i>
    <i>
      <x/>
    </i>
    <i>
      <x v="3"/>
    </i>
    <i>
      <x v="2"/>
    </i>
    <i t="grand">
      <x/>
    </i>
  </rowItems>
  <colItems count="1">
    <i/>
  </colItems>
  <dataFields count="1">
    <dataField name="Sum of Sales Amount" fld="10" showDataAs="percentOfTotal" baseField="0" baseItem="0" numFmtId="10"/>
  </dataFields>
  <formats count="6">
    <format dxfId="2107">
      <pivotArea outline="0" collapsedLevelsAreSubtotals="1" fieldPosition="0"/>
    </format>
    <format dxfId="2106">
      <pivotArea outline="0" collapsedLevelsAreSubtotals="1" fieldPosition="0"/>
    </format>
    <format dxfId="2105">
      <pivotArea outline="0" collapsedLevelsAreSubtotals="1" fieldPosition="0"/>
    </format>
    <format dxfId="2104">
      <pivotArea outline="0" collapsedLevelsAreSubtotals="1" fieldPosition="0"/>
    </format>
    <format dxfId="2103">
      <pivotArea outline="0" collapsedLevelsAreSubtotals="1" fieldPosition="0"/>
    </format>
    <format dxfId="16">
      <pivotArea outline="0" fieldPosition="0">
        <references count="1">
          <reference field="4294967294" count="1">
            <x v="0"/>
          </reference>
        </references>
      </pivotArea>
    </format>
  </formats>
  <chartFormats count="4">
    <chartFormat chart="3" format="6" series="1">
      <pivotArea type="data" outline="0" fieldPosition="0">
        <references count="1">
          <reference field="4294967294" count="1" selected="0">
            <x v="0"/>
          </reference>
        </references>
      </pivotArea>
    </chartFormat>
    <chartFormat chart="22" format="5" series="1">
      <pivotArea type="data" outline="0" fieldPosition="0">
        <references count="1">
          <reference field="4294967294" count="1" selected="0">
            <x v="0"/>
          </reference>
        </references>
      </pivotArea>
    </chartFormat>
    <chartFormat chart="25" format="6" series="1">
      <pivotArea type="data" outline="0" fieldPosition="0">
        <references count="1">
          <reference field="4294967294" count="1" selected="0">
            <x v="0"/>
          </reference>
        </references>
      </pivotArea>
    </chartFormat>
    <chartFormat chart="0"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9.xml><?xml version="1.0" encoding="utf-8"?>
<pivotTableDefinition xmlns="http://schemas.openxmlformats.org/spreadsheetml/2006/main" name="PivotTable22" cacheId="36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7">
  <location ref="A219:C225" firstHeaderRow="0" firstDataRow="1" firstDataCol="1"/>
  <pivotFields count="25">
    <pivotField showAll="0"/>
    <pivotField numFmtId="14" showAll="0">
      <items count="15">
        <item x="0"/>
        <item x="1"/>
        <item x="2"/>
        <item x="3"/>
        <item x="4"/>
        <item x="5"/>
        <item x="6"/>
        <item x="7"/>
        <item x="8"/>
        <item x="9"/>
        <item x="10"/>
        <item x="11"/>
        <item x="12"/>
        <item x="13"/>
        <item t="default"/>
      </items>
    </pivotField>
    <pivotField axis="axisRow" showAll="0" sortType="ascending">
      <items count="6">
        <item x="3"/>
        <item x="0"/>
        <item x="4"/>
        <item x="1"/>
        <item x="2"/>
        <item t="default"/>
      </items>
      <autoSortScope>
        <pivotArea dataOnly="0" outline="0" fieldPosition="0">
          <references count="1">
            <reference field="4294967294" count="1" selected="0">
              <x v="0"/>
            </reference>
          </references>
        </pivotArea>
      </autoSortScope>
    </pivotField>
    <pivotField showAll="0">
      <items count="5">
        <item x="2"/>
        <item x="1"/>
        <item x="3"/>
        <item x="0"/>
        <item t="default"/>
      </items>
    </pivotField>
    <pivotField dataField="1" showAll="0"/>
    <pivotField showAll="0">
      <items count="5">
        <item x="2"/>
        <item x="3"/>
        <item x="0"/>
        <item x="1"/>
        <item t="default"/>
      </items>
    </pivotField>
    <pivotField showAll="0" defaultSubtotal="0"/>
    <pivotField numFmtId="1" showAll="0"/>
    <pivotField numFmtId="1" showAll="0" defaultSubtotal="0"/>
    <pivotField numFmtId="1" showAll="0"/>
    <pivotField numFmtId="1" showAll="0"/>
    <pivotField numFmtId="1" showAll="0"/>
    <pivotField numFmtId="1" showAll="0"/>
    <pivotField dataField="1" numFmtId="9" showAll="0"/>
    <pivotField showAll="0"/>
    <pivotField showAll="0"/>
    <pivotField showAll="0"/>
    <pivotField showAll="0"/>
    <pivotField showAll="0"/>
    <pivotField showAll="0"/>
    <pivotField showAll="0" defaultSubtotal="0">
      <items count="2">
        <item x="1"/>
        <item x="0"/>
      </items>
    </pivotField>
    <pivotField showAll="0" defaultSubtotal="0">
      <items count="6">
        <item x="0"/>
        <item x="1"/>
        <item x="2"/>
        <item x="3"/>
        <item x="4"/>
        <item x="5"/>
      </items>
    </pivotField>
    <pivotField showAll="0" defaultSubtotal="0">
      <items count="4">
        <item x="0"/>
        <item x="1"/>
        <item x="2"/>
        <item x="3"/>
      </items>
    </pivotField>
    <pivotField dragToRow="0" dragToCol="0" dragToPage="0" showAll="0" defaultSubtotal="0"/>
    <pivotField dragToRow="0" dragToCol="0" dragToPage="0" showAll="0" defaultSubtotal="0"/>
  </pivotFields>
  <rowFields count="1">
    <field x="2"/>
  </rowFields>
  <rowItems count="6">
    <i>
      <x v="2"/>
    </i>
    <i>
      <x/>
    </i>
    <i>
      <x v="1"/>
    </i>
    <i>
      <x v="4"/>
    </i>
    <i>
      <x v="3"/>
    </i>
    <i t="grand">
      <x/>
    </i>
  </rowItems>
  <colFields count="1">
    <field x="-2"/>
  </colFields>
  <colItems count="2">
    <i>
      <x/>
    </i>
    <i i="1">
      <x v="1"/>
    </i>
  </colItems>
  <dataFields count="2">
    <dataField name="Sum of Quantity_Sold" fld="4" baseField="0" baseItem="0" numFmtId="164"/>
    <dataField name="Average of Profit margin" fld="13" subtotal="average" baseField="2" baseItem="0" numFmtId="10"/>
  </dataFields>
  <formats count="10">
    <format dxfId="2117">
      <pivotArea outline="0" collapsedLevelsAreSubtotals="1" fieldPosition="0"/>
    </format>
    <format dxfId="2116">
      <pivotArea outline="0" collapsedLevelsAreSubtotals="1" fieldPosition="0"/>
    </format>
    <format dxfId="2115">
      <pivotArea outline="0" fieldPosition="0">
        <references count="1">
          <reference field="4294967294" count="1">
            <x v="1"/>
          </reference>
        </references>
      </pivotArea>
    </format>
    <format dxfId="2114">
      <pivotArea outline="0" collapsedLevelsAreSubtotals="1" fieldPosition="0">
        <references count="1">
          <reference field="4294967294" count="1" selected="0">
            <x v="0"/>
          </reference>
        </references>
      </pivotArea>
    </format>
    <format dxfId="2113">
      <pivotArea outline="0" collapsedLevelsAreSubtotals="1" fieldPosition="0">
        <references count="1">
          <reference field="4294967294" count="1" selected="0">
            <x v="0"/>
          </reference>
        </references>
      </pivotArea>
    </format>
    <format dxfId="2112">
      <pivotArea outline="0" collapsedLevelsAreSubtotals="1" fieldPosition="0">
        <references count="1">
          <reference field="4294967294" count="1" selected="0">
            <x v="0"/>
          </reference>
        </references>
      </pivotArea>
    </format>
    <format dxfId="2111">
      <pivotArea collapsedLevelsAreSubtotals="1" fieldPosition="0">
        <references count="2">
          <reference field="4294967294" count="1" selected="0">
            <x v="0"/>
          </reference>
          <reference field="2" count="0"/>
        </references>
      </pivotArea>
    </format>
    <format dxfId="2110">
      <pivotArea collapsedLevelsAreSubtotals="1" fieldPosition="0">
        <references count="2">
          <reference field="4294967294" count="1" selected="0">
            <x v="0"/>
          </reference>
          <reference field="2" count="0"/>
        </references>
      </pivotArea>
    </format>
    <format dxfId="2109">
      <pivotArea collapsedLevelsAreSubtotals="1" fieldPosition="0">
        <references count="2">
          <reference field="4294967294" count="1" selected="0">
            <x v="0"/>
          </reference>
          <reference field="2" count="0"/>
        </references>
      </pivotArea>
    </format>
    <format dxfId="2108">
      <pivotArea collapsedLevelsAreSubtotals="1" fieldPosition="0">
        <references count="2">
          <reference field="4294967294" count="1" selected="0">
            <x v="0"/>
          </reference>
          <reference field="2" count="0"/>
        </references>
      </pivotArea>
    </format>
  </formats>
  <chartFormats count="5">
    <chartFormat chart="0" format="1" series="1">
      <pivotArea type="data" outline="0" fieldPosition="0">
        <references count="1">
          <reference field="4294967294" count="1" selected="0">
            <x v="1"/>
          </reference>
        </references>
      </pivotArea>
    </chartFormat>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0.xml><?xml version="1.0" encoding="utf-8"?>
<pivotTableDefinition xmlns="http://schemas.openxmlformats.org/spreadsheetml/2006/main" name="PivotTable7" cacheId="36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8">
  <location ref="A135:F141" firstHeaderRow="1" firstDataRow="2" firstDataCol="1"/>
  <pivotFields count="25">
    <pivotField showAll="0"/>
    <pivotField numFmtId="14" showAll="0">
      <items count="15">
        <item x="0"/>
        <item x="1"/>
        <item x="2"/>
        <item x="3"/>
        <item x="4"/>
        <item x="5"/>
        <item x="6"/>
        <item x="7"/>
        <item x="8"/>
        <item x="9"/>
        <item x="10"/>
        <item x="11"/>
        <item x="12"/>
        <item x="13"/>
        <item t="default"/>
      </items>
    </pivotField>
    <pivotField showAll="0">
      <items count="6">
        <item x="3"/>
        <item x="0"/>
        <item x="4"/>
        <item x="1"/>
        <item x="2"/>
        <item t="default"/>
      </items>
    </pivotField>
    <pivotField axis="axisRow" showAll="0">
      <items count="5">
        <item x="2"/>
        <item x="1"/>
        <item x="3"/>
        <item x="0"/>
        <item t="default"/>
      </items>
    </pivotField>
    <pivotField showAll="0"/>
    <pivotField axis="axisCol" showAll="0">
      <items count="5">
        <item x="2"/>
        <item x="3"/>
        <item x="0"/>
        <item x="1"/>
        <item t="default"/>
      </items>
    </pivotField>
    <pivotField showAll="0" defaultSubtotal="0"/>
    <pivotField numFmtId="1" showAll="0"/>
    <pivotField numFmtId="1" showAll="0" defaultSubtotal="0"/>
    <pivotField numFmtId="1" showAll="0"/>
    <pivotField dataField="1" numFmtId="1" showAll="0"/>
    <pivotField numFmtId="1" showAll="0"/>
    <pivotField numFmtId="1" showAll="0"/>
    <pivotField numFmtId="9" showAll="0"/>
    <pivotField showAll="0"/>
    <pivotField showAll="0"/>
    <pivotField showAll="0"/>
    <pivotField showAll="0"/>
    <pivotField showAll="0"/>
    <pivotField showAll="0"/>
    <pivotField showAll="0" defaultSubtotal="0">
      <items count="2">
        <item x="1"/>
        <item x="0"/>
      </items>
    </pivotField>
    <pivotField showAll="0" defaultSubtotal="0">
      <items count="6">
        <item sd="0" x="0"/>
        <item sd="0" x="1"/>
        <item sd="0" x="2"/>
        <item sd="0" x="3"/>
        <item sd="0" x="4"/>
        <item sd="0" x="5"/>
      </items>
    </pivotField>
    <pivotField showAll="0" defaultSubtotal="0">
      <items count="4">
        <item sd="0" x="0"/>
        <item x="1"/>
        <item sd="0" x="2"/>
        <item sd="0" x="3"/>
      </items>
    </pivotField>
    <pivotField dragToRow="0" dragToCol="0" dragToPage="0" showAll="0" defaultSubtotal="0"/>
    <pivotField dragToRow="0" dragToCol="0" dragToPage="0" showAll="0" defaultSubtotal="0"/>
  </pivotFields>
  <rowFields count="1">
    <field x="3"/>
  </rowFields>
  <rowItems count="5">
    <i>
      <x/>
    </i>
    <i>
      <x v="1"/>
    </i>
    <i>
      <x v="2"/>
    </i>
    <i>
      <x v="3"/>
    </i>
    <i t="grand">
      <x/>
    </i>
  </rowItems>
  <colFields count="1">
    <field x="5"/>
  </colFields>
  <colItems count="5">
    <i>
      <x/>
    </i>
    <i>
      <x v="1"/>
    </i>
    <i>
      <x v="2"/>
    </i>
    <i>
      <x v="3"/>
    </i>
    <i t="grand">
      <x/>
    </i>
  </colItems>
  <dataFields count="1">
    <dataField name="Sum of Sales Amount" fld="10" baseField="0" baseItem="0"/>
  </dataFields>
  <formats count="49">
    <format dxfId="2166">
      <pivotArea outline="0" collapsedLevelsAreSubtotals="1" fieldPosition="0"/>
    </format>
    <format dxfId="2165">
      <pivotArea outline="0" collapsedLevelsAreSubtotals="1" fieldPosition="0"/>
    </format>
    <format dxfId="2164">
      <pivotArea outline="0" collapsedLevelsAreSubtotals="1" fieldPosition="0"/>
    </format>
    <format dxfId="2163">
      <pivotArea outline="0" collapsedLevelsAreSubtotals="1" fieldPosition="0"/>
    </format>
    <format dxfId="2162">
      <pivotArea outline="0" collapsedLevelsAreSubtotals="1" fieldPosition="0"/>
    </format>
    <format dxfId="2161">
      <pivotArea type="all" dataOnly="0" outline="0" fieldPosition="0"/>
    </format>
    <format dxfId="2160">
      <pivotArea outline="0" collapsedLevelsAreSubtotals="1" fieldPosition="0"/>
    </format>
    <format dxfId="2159">
      <pivotArea type="origin" dataOnly="0" labelOnly="1" outline="0" fieldPosition="0"/>
    </format>
    <format dxfId="2158">
      <pivotArea field="2" type="button" dataOnly="0" labelOnly="1" outline="0"/>
    </format>
    <format dxfId="2157">
      <pivotArea type="topRight" dataOnly="0" labelOnly="1" outline="0" fieldPosition="0"/>
    </format>
    <format dxfId="2156">
      <pivotArea field="21" type="button" dataOnly="0" labelOnly="1" outline="0"/>
    </format>
    <format dxfId="2155">
      <pivotArea dataOnly="0" labelOnly="1" grandRow="1" outline="0" fieldPosition="0"/>
    </format>
    <format dxfId="2154">
      <pivotArea dataOnly="0" labelOnly="1" grandCol="1" outline="0" fieldPosition="0"/>
    </format>
    <format dxfId="2153">
      <pivotArea type="all" dataOnly="0" outline="0" fieldPosition="0"/>
    </format>
    <format dxfId="2152">
      <pivotArea outline="0" collapsedLevelsAreSubtotals="1" fieldPosition="0"/>
    </format>
    <format dxfId="2151">
      <pivotArea type="origin" dataOnly="0" labelOnly="1" outline="0" fieldPosition="0"/>
    </format>
    <format dxfId="2150">
      <pivotArea field="2" type="button" dataOnly="0" labelOnly="1" outline="0"/>
    </format>
    <format dxfId="2149">
      <pivotArea type="topRight" dataOnly="0" labelOnly="1" outline="0" fieldPosition="0"/>
    </format>
    <format dxfId="2148">
      <pivotArea field="21" type="button" dataOnly="0" labelOnly="1" outline="0"/>
    </format>
    <format dxfId="2147">
      <pivotArea dataOnly="0" labelOnly="1" grandRow="1" outline="0" fieldPosition="0"/>
    </format>
    <format dxfId="2146">
      <pivotArea dataOnly="0" labelOnly="1" grandCol="1" outline="0" fieldPosition="0"/>
    </format>
    <format dxfId="2145">
      <pivotArea type="all" dataOnly="0" outline="0" fieldPosition="0"/>
    </format>
    <format dxfId="2144">
      <pivotArea outline="0" collapsedLevelsAreSubtotals="1" fieldPosition="0"/>
    </format>
    <format dxfId="2143">
      <pivotArea type="origin" dataOnly="0" labelOnly="1" outline="0" fieldPosition="0"/>
    </format>
    <format dxfId="2142">
      <pivotArea field="2" type="button" dataOnly="0" labelOnly="1" outline="0"/>
    </format>
    <format dxfId="2141">
      <pivotArea type="topRight" dataOnly="0" labelOnly="1" outline="0" fieldPosition="0"/>
    </format>
    <format dxfId="2140">
      <pivotArea field="21" type="button" dataOnly="0" labelOnly="1" outline="0"/>
    </format>
    <format dxfId="2139">
      <pivotArea dataOnly="0" labelOnly="1" grandRow="1" outline="0" fieldPosition="0"/>
    </format>
    <format dxfId="2138">
      <pivotArea dataOnly="0" labelOnly="1" grandCol="1" outline="0" fieldPosition="0"/>
    </format>
    <format dxfId="2137">
      <pivotArea type="all" dataOnly="0" outline="0" fieldPosition="0"/>
    </format>
    <format dxfId="2136">
      <pivotArea outline="0" collapsedLevelsAreSubtotals="1" fieldPosition="0"/>
    </format>
    <format dxfId="2135">
      <pivotArea type="origin" dataOnly="0" labelOnly="1" outline="0" fieldPosition="0"/>
    </format>
    <format dxfId="2134">
      <pivotArea field="5" type="button" dataOnly="0" labelOnly="1" outline="0" axis="axisCol" fieldPosition="0"/>
    </format>
    <format dxfId="2133">
      <pivotArea type="topRight" dataOnly="0" labelOnly="1" outline="0" fieldPosition="0"/>
    </format>
    <format dxfId="2132">
      <pivotArea field="3" type="button" dataOnly="0" labelOnly="1" outline="0" axis="axisRow" fieldPosition="0"/>
    </format>
    <format dxfId="2131">
      <pivotArea dataOnly="0" labelOnly="1" fieldPosition="0">
        <references count="1">
          <reference field="3" count="0"/>
        </references>
      </pivotArea>
    </format>
    <format dxfId="2130">
      <pivotArea dataOnly="0" labelOnly="1" grandRow="1" outline="0" fieldPosition="0"/>
    </format>
    <format dxfId="2129">
      <pivotArea dataOnly="0" labelOnly="1" fieldPosition="0">
        <references count="1">
          <reference field="5" count="0"/>
        </references>
      </pivotArea>
    </format>
    <format dxfId="2128">
      <pivotArea dataOnly="0" labelOnly="1" grandCol="1" outline="0" fieldPosition="0"/>
    </format>
    <format dxfId="2127">
      <pivotArea type="all" dataOnly="0" outline="0" fieldPosition="0"/>
    </format>
    <format dxfId="2126">
      <pivotArea outline="0" collapsedLevelsAreSubtotals="1" fieldPosition="0"/>
    </format>
    <format dxfId="2125">
      <pivotArea type="origin" dataOnly="0" labelOnly="1" outline="0" fieldPosition="0"/>
    </format>
    <format dxfId="2124">
      <pivotArea field="5" type="button" dataOnly="0" labelOnly="1" outline="0" axis="axisCol" fieldPosition="0"/>
    </format>
    <format dxfId="2123">
      <pivotArea type="topRight" dataOnly="0" labelOnly="1" outline="0" fieldPosition="0"/>
    </format>
    <format dxfId="2122">
      <pivotArea field="3" type="button" dataOnly="0" labelOnly="1" outline="0" axis="axisRow" fieldPosition="0"/>
    </format>
    <format dxfId="2121">
      <pivotArea dataOnly="0" labelOnly="1" fieldPosition="0">
        <references count="1">
          <reference field="3" count="0"/>
        </references>
      </pivotArea>
    </format>
    <format dxfId="2120">
      <pivotArea dataOnly="0" labelOnly="1" grandRow="1" outline="0" fieldPosition="0"/>
    </format>
    <format dxfId="2119">
      <pivotArea dataOnly="0" labelOnly="1" fieldPosition="0">
        <references count="1">
          <reference field="5" count="0"/>
        </references>
      </pivotArea>
    </format>
    <format dxfId="2118">
      <pivotArea dataOnly="0" labelOnly="1" grandCol="1" outline="0" fieldPosition="0"/>
    </format>
  </formats>
  <chartFormats count="10">
    <chartFormat chart="9" format="28" series="1">
      <pivotArea type="data" outline="0" fieldPosition="0">
        <references count="2">
          <reference field="4294967294" count="1" selected="0">
            <x v="0"/>
          </reference>
          <reference field="5" count="1" selected="0">
            <x v="0"/>
          </reference>
        </references>
      </pivotArea>
    </chartFormat>
    <chartFormat chart="9" format="29" series="1">
      <pivotArea type="data" outline="0" fieldPosition="0">
        <references count="2">
          <reference field="4294967294" count="1" selected="0">
            <x v="0"/>
          </reference>
          <reference field="5" count="1" selected="0">
            <x v="1"/>
          </reference>
        </references>
      </pivotArea>
    </chartFormat>
    <chartFormat chart="9" format="30" series="1">
      <pivotArea type="data" outline="0" fieldPosition="0">
        <references count="2">
          <reference field="4294967294" count="1" selected="0">
            <x v="0"/>
          </reference>
          <reference field="5" count="1" selected="0">
            <x v="2"/>
          </reference>
        </references>
      </pivotArea>
    </chartFormat>
    <chartFormat chart="9" format="31" series="1">
      <pivotArea type="data" outline="0" fieldPosition="0">
        <references count="2">
          <reference field="4294967294" count="1" selected="0">
            <x v="0"/>
          </reference>
          <reference field="5" count="1" selected="0">
            <x v="3"/>
          </reference>
        </references>
      </pivotArea>
    </chartFormat>
    <chartFormat chart="16" format="20" series="1">
      <pivotArea type="data" outline="0" fieldPosition="0">
        <references count="2">
          <reference field="4294967294" count="1" selected="0">
            <x v="0"/>
          </reference>
          <reference field="5" count="1" selected="0">
            <x v="0"/>
          </reference>
        </references>
      </pivotArea>
    </chartFormat>
    <chartFormat chart="16" format="21" series="1">
      <pivotArea type="data" outline="0" fieldPosition="0">
        <references count="2">
          <reference field="4294967294" count="1" selected="0">
            <x v="0"/>
          </reference>
          <reference field="5" count="1" selected="0">
            <x v="1"/>
          </reference>
        </references>
      </pivotArea>
    </chartFormat>
    <chartFormat chart="16" format="22" series="1">
      <pivotArea type="data" outline="0" fieldPosition="0">
        <references count="2">
          <reference field="4294967294" count="1" selected="0">
            <x v="0"/>
          </reference>
          <reference field="5" count="1" selected="0">
            <x v="2"/>
          </reference>
        </references>
      </pivotArea>
    </chartFormat>
    <chartFormat chart="16" format="23" series="1">
      <pivotArea type="data" outline="0" fieldPosition="0">
        <references count="2">
          <reference field="4294967294" count="1" selected="0">
            <x v="0"/>
          </reference>
          <reference field="5" count="1" selected="0">
            <x v="3"/>
          </reference>
        </references>
      </pivotArea>
    </chartFormat>
    <chartFormat chart="16" format="24" series="1">
      <pivotArea type="data" outline="0" fieldPosition="0">
        <references count="1">
          <reference field="4294967294" count="1" selected="0">
            <x v="0"/>
          </reference>
        </references>
      </pivotArea>
    </chartFormat>
    <chartFormat chart="9" format="3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1.xml><?xml version="1.0" encoding="utf-8"?>
<pivotTableDefinition xmlns="http://schemas.openxmlformats.org/spreadsheetml/2006/main" name="PivotTable10" cacheId="36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0">
  <location ref="A299:B315" firstHeaderRow="1" firstDataRow="1" firstDataCol="1"/>
  <pivotFields count="25">
    <pivotField showAll="0"/>
    <pivotField axis="axisRow" numFmtId="14" showAll="0">
      <items count="15">
        <item x="0"/>
        <item x="1"/>
        <item x="2"/>
        <item x="3"/>
        <item x="4"/>
        <item x="5"/>
        <item x="6"/>
        <item x="7"/>
        <item x="8"/>
        <item x="9"/>
        <item x="10"/>
        <item x="11"/>
        <item x="12"/>
        <item x="13"/>
        <item t="default"/>
      </items>
    </pivotField>
    <pivotField showAll="0">
      <items count="6">
        <item x="3"/>
        <item x="0"/>
        <item x="4"/>
        <item x="1"/>
        <item x="2"/>
        <item t="default"/>
      </items>
    </pivotField>
    <pivotField showAll="0">
      <items count="5">
        <item x="2"/>
        <item x="1"/>
        <item x="3"/>
        <item x="0"/>
        <item t="default"/>
      </items>
    </pivotField>
    <pivotField showAll="0"/>
    <pivotField showAll="0">
      <items count="5">
        <item x="2"/>
        <item x="3"/>
        <item x="0"/>
        <item x="1"/>
        <item t="default"/>
      </items>
    </pivotField>
    <pivotField showAll="0" defaultSubtotal="0"/>
    <pivotField numFmtId="1" showAll="0"/>
    <pivotField numFmtId="1" showAll="0" defaultSubtotal="0"/>
    <pivotField numFmtId="1" showAll="0"/>
    <pivotField dataField="1" numFmtId="1" showAll="0"/>
    <pivotField numFmtId="1" showAll="0"/>
    <pivotField numFmtId="1" showAll="0"/>
    <pivotField numFmtId="9" showAll="0"/>
    <pivotField showAll="0"/>
    <pivotField showAll="0"/>
    <pivotField showAll="0"/>
    <pivotField showAll="0"/>
    <pivotField showAll="0"/>
    <pivotField showAll="0"/>
    <pivotField showAll="0" defaultSubtotal="0">
      <items count="2">
        <item x="1"/>
        <item x="0"/>
      </items>
    </pivotField>
    <pivotField showAll="0" defaultSubtotal="0">
      <items count="6">
        <item sd="0" x="0"/>
        <item sd="0" x="1"/>
        <item sd="0" x="2"/>
        <item sd="0" x="3"/>
        <item sd="0" x="4"/>
        <item sd="0" x="5"/>
      </items>
    </pivotField>
    <pivotField axis="axisRow" showAll="0" defaultSubtotal="0">
      <items count="4">
        <item sd="0" x="0"/>
        <item x="1"/>
        <item x="2"/>
        <item sd="0" x="3"/>
      </items>
    </pivotField>
    <pivotField dragToRow="0" dragToCol="0" dragToPage="0" showAll="0" defaultSubtotal="0"/>
    <pivotField dragToRow="0" dragToCol="0" dragToPage="0" showAll="0" defaultSubtotal="0"/>
  </pivotFields>
  <rowFields count="2">
    <field x="22"/>
    <field x="1"/>
  </rowFields>
  <rowItems count="16">
    <i>
      <x v="1"/>
    </i>
    <i r="1">
      <x v="1"/>
    </i>
    <i r="1">
      <x v="2"/>
    </i>
    <i r="1">
      <x v="3"/>
    </i>
    <i r="1">
      <x v="4"/>
    </i>
    <i r="1">
      <x v="5"/>
    </i>
    <i r="1">
      <x v="6"/>
    </i>
    <i r="1">
      <x v="7"/>
    </i>
    <i r="1">
      <x v="8"/>
    </i>
    <i r="1">
      <x v="9"/>
    </i>
    <i r="1">
      <x v="10"/>
    </i>
    <i r="1">
      <x v="11"/>
    </i>
    <i r="1">
      <x v="12"/>
    </i>
    <i>
      <x v="2"/>
    </i>
    <i r="1">
      <x v="1"/>
    </i>
    <i t="grand">
      <x/>
    </i>
  </rowItems>
  <colItems count="1">
    <i/>
  </colItems>
  <dataFields count="1">
    <dataField name="Sum of Sales Amount" fld="10" showDataAs="percentOfTotal" baseField="0" baseItem="0" numFmtId="10"/>
  </dataFields>
  <formats count="6">
    <format dxfId="2172">
      <pivotArea outline="0" collapsedLevelsAreSubtotals="1" fieldPosition="0"/>
    </format>
    <format dxfId="2171">
      <pivotArea outline="0" collapsedLevelsAreSubtotals="1" fieldPosition="0"/>
    </format>
    <format dxfId="2170">
      <pivotArea outline="0" collapsedLevelsAreSubtotals="1" fieldPosition="0">
        <references count="1">
          <reference field="4294967294" count="1" selected="0">
            <x v="0"/>
          </reference>
        </references>
      </pivotArea>
    </format>
    <format dxfId="2169">
      <pivotArea outline="0" collapsedLevelsAreSubtotals="1" fieldPosition="0">
        <references count="1">
          <reference field="4294967294" count="1" selected="0">
            <x v="0"/>
          </reference>
        </references>
      </pivotArea>
    </format>
    <format dxfId="2168">
      <pivotArea outline="0" collapsedLevelsAreSubtotals="1" fieldPosition="0">
        <references count="1">
          <reference field="4294967294" count="1" selected="0">
            <x v="0"/>
          </reference>
        </references>
      </pivotArea>
    </format>
    <format dxfId="2167">
      <pivotArea outline="0" fieldPosition="0">
        <references count="1">
          <reference field="4294967294" count="1">
            <x v="0"/>
          </reference>
        </references>
      </pivotArea>
    </format>
  </formats>
  <chartFormats count="2">
    <chartFormat chart="8" format="2" series="1">
      <pivotArea type="data" outline="0" fieldPosition="0">
        <references count="1">
          <reference field="4294967294" count="1" selected="0">
            <x v="0"/>
          </reference>
        </references>
      </pivotArea>
    </chartFormat>
    <chartFormat chart="1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2.xml><?xml version="1.0" encoding="utf-8"?>
<pivotTableDefinition xmlns="http://schemas.openxmlformats.org/spreadsheetml/2006/main" name="PivotTable19" cacheId="36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1">
  <location ref="A164:B169" firstHeaderRow="1" firstDataRow="1" firstDataCol="1"/>
  <pivotFields count="25">
    <pivotField showAll="0"/>
    <pivotField numFmtId="14" showAll="0">
      <items count="15">
        <item x="0"/>
        <item x="1"/>
        <item x="2"/>
        <item x="3"/>
        <item x="4"/>
        <item x="5"/>
        <item x="6"/>
        <item x="7"/>
        <item x="8"/>
        <item x="9"/>
        <item x="10"/>
        <item x="11"/>
        <item x="12"/>
        <item x="13"/>
        <item t="default"/>
      </items>
    </pivotField>
    <pivotField showAll="0">
      <items count="6">
        <item x="3"/>
        <item x="0"/>
        <item x="4"/>
        <item x="1"/>
        <item x="2"/>
        <item t="default"/>
      </items>
    </pivotField>
    <pivotField showAll="0">
      <items count="5">
        <item x="2"/>
        <item x="1"/>
        <item x="3"/>
        <item x="0"/>
        <item t="default"/>
      </items>
    </pivotField>
    <pivotField dataField="1" showAll="0"/>
    <pivotField axis="axisRow" showAll="0" sortType="descending">
      <items count="5">
        <item x="2"/>
        <item x="3"/>
        <item x="0"/>
        <item x="1"/>
        <item t="default"/>
      </items>
      <autoSortScope>
        <pivotArea dataOnly="0" outline="0" fieldPosition="0">
          <references count="1">
            <reference field="4294967294" count="1" selected="0">
              <x v="0"/>
            </reference>
          </references>
        </pivotArea>
      </autoSortScope>
    </pivotField>
    <pivotField showAll="0" defaultSubtotal="0"/>
    <pivotField numFmtId="1" showAll="0"/>
    <pivotField numFmtId="1" showAll="0" defaultSubtotal="0"/>
    <pivotField numFmtId="1" showAll="0"/>
    <pivotField numFmtId="1" showAll="0"/>
    <pivotField numFmtId="1" showAll="0"/>
    <pivotField numFmtId="1" showAll="0"/>
    <pivotField numFmtId="9" showAll="0"/>
    <pivotField showAll="0"/>
    <pivotField showAll="0"/>
    <pivotField showAll="0"/>
    <pivotField showAll="0"/>
    <pivotField showAll="0"/>
    <pivotField showAll="0"/>
    <pivotField showAll="0" defaultSubtotal="0">
      <items count="2">
        <item x="1"/>
        <item x="0"/>
      </items>
    </pivotField>
    <pivotField showAll="0" defaultSubtotal="0">
      <items count="6">
        <item sd="0" x="0"/>
        <item sd="0" x="1"/>
        <item sd="0" x="2"/>
        <item sd="0" x="3"/>
        <item sd="0" x="4"/>
        <item sd="0" x="5"/>
      </items>
    </pivotField>
    <pivotField showAll="0" defaultSubtotal="0">
      <items count="4">
        <item sd="0" x="0"/>
        <item x="1"/>
        <item sd="0" x="2"/>
        <item sd="0" x="3"/>
      </items>
    </pivotField>
    <pivotField dragToRow="0" dragToCol="0" dragToPage="0" showAll="0" defaultSubtotal="0"/>
    <pivotField dragToRow="0" dragToCol="0" dragToPage="0" showAll="0" defaultSubtotal="0"/>
  </pivotFields>
  <rowFields count="1">
    <field x="5"/>
  </rowFields>
  <rowItems count="5">
    <i>
      <x/>
    </i>
    <i>
      <x v="3"/>
    </i>
    <i>
      <x v="1"/>
    </i>
    <i>
      <x v="2"/>
    </i>
    <i t="grand">
      <x/>
    </i>
  </rowItems>
  <colItems count="1">
    <i/>
  </colItems>
  <dataFields count="1">
    <dataField name="Sum of Quantity_Sold" fld="4" baseField="0" baseItem="0"/>
  </dataFields>
  <formats count="47">
    <format dxfId="2219">
      <pivotArea outline="0" collapsedLevelsAreSubtotals="1" fieldPosition="0"/>
    </format>
    <format dxfId="2218">
      <pivotArea outline="0" collapsedLevelsAreSubtotals="1" fieldPosition="0"/>
    </format>
    <format dxfId="2217">
      <pivotArea outline="0" collapsedLevelsAreSubtotals="1" fieldPosition="0"/>
    </format>
    <format dxfId="2216">
      <pivotArea outline="0" collapsedLevelsAreSubtotals="1" fieldPosition="0"/>
    </format>
    <format dxfId="2215">
      <pivotArea outline="0" collapsedLevelsAreSubtotals="1" fieldPosition="0"/>
    </format>
    <format dxfId="2214">
      <pivotArea type="all" dataOnly="0" outline="0" fieldPosition="0"/>
    </format>
    <format dxfId="2213">
      <pivotArea outline="0" collapsedLevelsAreSubtotals="1" fieldPosition="0"/>
    </format>
    <format dxfId="2212">
      <pivotArea type="origin" dataOnly="0" labelOnly="1" outline="0" fieldPosition="0"/>
    </format>
    <format dxfId="2211">
      <pivotArea field="2" type="button" dataOnly="0" labelOnly="1" outline="0"/>
    </format>
    <format dxfId="2210">
      <pivotArea type="topRight" dataOnly="0" labelOnly="1" outline="0" fieldPosition="0"/>
    </format>
    <format dxfId="2209">
      <pivotArea field="21" type="button" dataOnly="0" labelOnly="1" outline="0"/>
    </format>
    <format dxfId="2208">
      <pivotArea dataOnly="0" labelOnly="1" grandRow="1" outline="0" fieldPosition="0"/>
    </format>
    <format dxfId="2207">
      <pivotArea dataOnly="0" labelOnly="1" grandCol="1" outline="0" fieldPosition="0"/>
    </format>
    <format dxfId="2206">
      <pivotArea type="all" dataOnly="0" outline="0" fieldPosition="0"/>
    </format>
    <format dxfId="2205">
      <pivotArea outline="0" collapsedLevelsAreSubtotals="1" fieldPosition="0"/>
    </format>
    <format dxfId="2204">
      <pivotArea type="origin" dataOnly="0" labelOnly="1" outline="0" fieldPosition="0"/>
    </format>
    <format dxfId="2203">
      <pivotArea field="2" type="button" dataOnly="0" labelOnly="1" outline="0"/>
    </format>
    <format dxfId="2202">
      <pivotArea type="topRight" dataOnly="0" labelOnly="1" outline="0" fieldPosition="0"/>
    </format>
    <format dxfId="2201">
      <pivotArea field="21" type="button" dataOnly="0" labelOnly="1" outline="0"/>
    </format>
    <format dxfId="2200">
      <pivotArea dataOnly="0" labelOnly="1" grandRow="1" outline="0" fieldPosition="0"/>
    </format>
    <format dxfId="2199">
      <pivotArea dataOnly="0" labelOnly="1" grandCol="1" outline="0" fieldPosition="0"/>
    </format>
    <format dxfId="2198">
      <pivotArea type="all" dataOnly="0" outline="0" fieldPosition="0"/>
    </format>
    <format dxfId="2197">
      <pivotArea outline="0" collapsedLevelsAreSubtotals="1" fieldPosition="0"/>
    </format>
    <format dxfId="2196">
      <pivotArea type="origin" dataOnly="0" labelOnly="1" outline="0" fieldPosition="0"/>
    </format>
    <format dxfId="2195">
      <pivotArea field="2" type="button" dataOnly="0" labelOnly="1" outline="0"/>
    </format>
    <format dxfId="2194">
      <pivotArea type="topRight" dataOnly="0" labelOnly="1" outline="0" fieldPosition="0"/>
    </format>
    <format dxfId="2193">
      <pivotArea field="21" type="button" dataOnly="0" labelOnly="1" outline="0"/>
    </format>
    <format dxfId="2192">
      <pivotArea dataOnly="0" labelOnly="1" grandRow="1" outline="0" fieldPosition="0"/>
    </format>
    <format dxfId="2191">
      <pivotArea dataOnly="0" labelOnly="1" grandCol="1" outline="0" fieldPosition="0"/>
    </format>
    <format dxfId="2190">
      <pivotArea type="all" dataOnly="0" outline="0" fieldPosition="0"/>
    </format>
    <format dxfId="2189">
      <pivotArea outline="0" collapsedLevelsAreSubtotals="1" fieldPosition="0"/>
    </format>
    <format dxfId="2188">
      <pivotArea type="origin" dataOnly="0" labelOnly="1" outline="0" fieldPosition="0"/>
    </format>
    <format dxfId="2187">
      <pivotArea field="5" type="button" dataOnly="0" labelOnly="1" outline="0" axis="axisRow" fieldPosition="0"/>
    </format>
    <format dxfId="2186">
      <pivotArea type="topRight" dataOnly="0" labelOnly="1" outline="0" fieldPosition="0"/>
    </format>
    <format dxfId="2185">
      <pivotArea field="3" type="button" dataOnly="0" labelOnly="1" outline="0"/>
    </format>
    <format dxfId="2184">
      <pivotArea dataOnly="0" labelOnly="1" grandRow="1" outline="0" fieldPosition="0"/>
    </format>
    <format dxfId="2183">
      <pivotArea dataOnly="0" labelOnly="1" fieldPosition="0">
        <references count="1">
          <reference field="5" count="0"/>
        </references>
      </pivotArea>
    </format>
    <format dxfId="2182">
      <pivotArea dataOnly="0" labelOnly="1" grandCol="1" outline="0" fieldPosition="0"/>
    </format>
    <format dxfId="2181">
      <pivotArea type="all" dataOnly="0" outline="0" fieldPosition="0"/>
    </format>
    <format dxfId="2180">
      <pivotArea outline="0" collapsedLevelsAreSubtotals="1" fieldPosition="0"/>
    </format>
    <format dxfId="2179">
      <pivotArea type="origin" dataOnly="0" labelOnly="1" outline="0" fieldPosition="0"/>
    </format>
    <format dxfId="2178">
      <pivotArea field="5" type="button" dataOnly="0" labelOnly="1" outline="0" axis="axisRow" fieldPosition="0"/>
    </format>
    <format dxfId="2177">
      <pivotArea type="topRight" dataOnly="0" labelOnly="1" outline="0" fieldPosition="0"/>
    </format>
    <format dxfId="2176">
      <pivotArea field="3" type="button" dataOnly="0" labelOnly="1" outline="0"/>
    </format>
    <format dxfId="2175">
      <pivotArea dataOnly="0" labelOnly="1" grandRow="1" outline="0" fieldPosition="0"/>
    </format>
    <format dxfId="2174">
      <pivotArea dataOnly="0" labelOnly="1" fieldPosition="0">
        <references count="1">
          <reference field="5" count="0"/>
        </references>
      </pivotArea>
    </format>
    <format dxfId="2173">
      <pivotArea dataOnly="0" labelOnly="1" grandCol="1" outline="0" fieldPosition="0"/>
    </format>
  </formats>
  <chartFormats count="7">
    <chartFormat chart="9" format="0" series="1">
      <pivotArea type="data" outline="0" fieldPosition="0">
        <references count="2">
          <reference field="4294967294" count="1" selected="0">
            <x v="0"/>
          </reference>
          <reference field="5" count="1" selected="0">
            <x v="0"/>
          </reference>
        </references>
      </pivotArea>
    </chartFormat>
    <chartFormat chart="9" format="1" series="1">
      <pivotArea type="data" outline="0" fieldPosition="0">
        <references count="2">
          <reference field="4294967294" count="1" selected="0">
            <x v="0"/>
          </reference>
          <reference field="5" count="1" selected="0">
            <x v="1"/>
          </reference>
        </references>
      </pivotArea>
    </chartFormat>
    <chartFormat chart="9" format="2" series="1">
      <pivotArea type="data" outline="0" fieldPosition="0">
        <references count="2">
          <reference field="4294967294" count="1" selected="0">
            <x v="0"/>
          </reference>
          <reference field="5" count="1" selected="0">
            <x v="2"/>
          </reference>
        </references>
      </pivotArea>
    </chartFormat>
    <chartFormat chart="9" format="3" series="1">
      <pivotArea type="data" outline="0" fieldPosition="0">
        <references count="2">
          <reference field="4294967294" count="1" selected="0">
            <x v="0"/>
          </reference>
          <reference field="5" count="1" selected="0">
            <x v="3"/>
          </reference>
        </references>
      </pivotArea>
    </chartFormat>
    <chartFormat chart="10"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3.xml><?xml version="1.0" encoding="utf-8"?>
<pivotTableDefinition xmlns="http://schemas.openxmlformats.org/spreadsheetml/2006/main" name="PivotTable11" cacheId="36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25:C28" firstHeaderRow="0" firstDataRow="1" firstDataCol="1"/>
  <pivotFields count="24">
    <pivotField showAll="0"/>
    <pivotField numFmtId="14" showAll="0">
      <items count="15">
        <item x="0"/>
        <item x="1"/>
        <item x="2"/>
        <item x="3"/>
        <item x="4"/>
        <item x="5"/>
        <item x="6"/>
        <item x="7"/>
        <item x="8"/>
        <item x="9"/>
        <item x="10"/>
        <item x="11"/>
        <item x="12"/>
        <item x="13"/>
        <item t="default"/>
      </items>
    </pivotField>
    <pivotField showAll="0"/>
    <pivotField showAll="0"/>
    <pivotField dataField="1" showAll="0"/>
    <pivotField showAll="0"/>
    <pivotField showAll="0" defaultSubtotal="0"/>
    <pivotField numFmtId="1" showAll="0"/>
    <pivotField numFmtId="1" showAll="0" defaultSubtotal="0"/>
    <pivotField numFmtId="1" showAll="0"/>
    <pivotField numFmtId="1" showAll="0"/>
    <pivotField numFmtId="1" showAll="0"/>
    <pivotField numFmtId="1" showAll="0"/>
    <pivotField numFmtId="9" showAll="0"/>
    <pivotField showAll="0"/>
    <pivotField axis="axisRow" dataField="1" showAll="0">
      <items count="3">
        <item x="1"/>
        <item x="0"/>
        <item t="default"/>
      </items>
    </pivotField>
    <pivotField showAll="0"/>
    <pivotField showAll="0"/>
    <pivotField showAll="0"/>
    <pivotField showAll="0"/>
    <pivotField showAll="0" defaultSubtotal="0">
      <items count="6">
        <item x="0"/>
        <item x="1"/>
        <item x="2"/>
        <item x="3"/>
        <item x="4"/>
        <item x="5"/>
      </items>
    </pivotField>
    <pivotField showAll="0" defaultSubtotal="0">
      <items count="4">
        <item x="0"/>
        <item x="1"/>
        <item x="2"/>
        <item x="3"/>
      </items>
    </pivotField>
    <pivotField dragToRow="0" dragToCol="0" dragToPage="0" showAll="0" defaultSubtotal="0"/>
    <pivotField dragToRow="0" dragToCol="0" dragToPage="0" showAll="0" defaultSubtotal="0"/>
  </pivotFields>
  <rowFields count="1">
    <field x="15"/>
  </rowFields>
  <rowItems count="3">
    <i>
      <x/>
    </i>
    <i>
      <x v="1"/>
    </i>
    <i t="grand">
      <x/>
    </i>
  </rowItems>
  <colFields count="1">
    <field x="-2"/>
  </colFields>
  <colItems count="2">
    <i>
      <x/>
    </i>
    <i i="1">
      <x v="1"/>
    </i>
  </colItems>
  <dataFields count="2">
    <dataField name="Count of Customer_Type" fld="15" subtotal="count" baseField="0" baseItem="0"/>
    <dataField name="Sum of Quantity_Sold" fld="4" baseField="0" baseItem="0"/>
  </dataFields>
  <formats count="2">
    <format dxfId="2221">
      <pivotArea outline="0" collapsedLevelsAreSubtotals="1" fieldPosition="0"/>
    </format>
    <format dxfId="222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4.xml><?xml version="1.0" encoding="utf-8"?>
<pivotTableDefinition xmlns="http://schemas.openxmlformats.org/spreadsheetml/2006/main" name="PivotTable23" cacheId="36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3">
  <location ref="A184:B189" firstHeaderRow="1" firstDataRow="1" firstDataCol="1"/>
  <pivotFields count="25">
    <pivotField showAll="0"/>
    <pivotField numFmtId="14" showAll="0">
      <items count="15">
        <item x="0"/>
        <item x="1"/>
        <item x="2"/>
        <item x="3"/>
        <item x="4"/>
        <item x="5"/>
        <item x="6"/>
        <item x="7"/>
        <item x="8"/>
        <item x="9"/>
        <item x="10"/>
        <item x="11"/>
        <item x="12"/>
        <item x="13"/>
        <item t="default"/>
      </items>
    </pivotField>
    <pivotField showAll="0">
      <items count="6">
        <item x="3"/>
        <item x="0"/>
        <item x="4"/>
        <item x="1"/>
        <item x="2"/>
        <item t="default"/>
      </items>
    </pivotField>
    <pivotField showAll="0">
      <items count="5">
        <item x="2"/>
        <item x="1"/>
        <item x="3"/>
        <item x="0"/>
        <item t="default"/>
      </items>
    </pivotField>
    <pivotField showAll="0"/>
    <pivotField axis="axisRow" showAll="0" sortType="descending">
      <items count="5">
        <item x="2"/>
        <item x="3"/>
        <item x="0"/>
        <item x="1"/>
        <item t="default"/>
      </items>
      <autoSortScope>
        <pivotArea dataOnly="0" outline="0" fieldPosition="0">
          <references count="1">
            <reference field="4294967294" count="1" selected="0">
              <x v="0"/>
            </reference>
          </references>
        </pivotArea>
      </autoSortScope>
    </pivotField>
    <pivotField showAll="0" defaultSubtotal="0"/>
    <pivotField numFmtId="1" showAll="0"/>
    <pivotField numFmtId="1" showAll="0" defaultSubtotal="0"/>
    <pivotField numFmtId="1" showAll="0"/>
    <pivotField dataField="1" numFmtId="1" showAll="0"/>
    <pivotField numFmtId="1" showAll="0"/>
    <pivotField numFmtId="1" showAll="0"/>
    <pivotField numFmtId="9" showAll="0"/>
    <pivotField showAll="0"/>
    <pivotField showAll="0"/>
    <pivotField showAll="0"/>
    <pivotField showAll="0"/>
    <pivotField showAll="0"/>
    <pivotField showAll="0"/>
    <pivotField showAll="0" defaultSubtotal="0">
      <items count="2">
        <item x="1"/>
        <item x="0"/>
      </items>
    </pivotField>
    <pivotField showAll="0" defaultSubtotal="0">
      <items count="6">
        <item sd="0" x="0"/>
        <item sd="0" x="1"/>
        <item sd="0" x="2"/>
        <item sd="0" x="3"/>
        <item sd="0" x="4"/>
        <item sd="0" x="5"/>
      </items>
    </pivotField>
    <pivotField showAll="0" defaultSubtotal="0">
      <items count="4">
        <item sd="0" x="0"/>
        <item x="1"/>
        <item sd="0" x="2"/>
        <item sd="0" x="3"/>
      </items>
    </pivotField>
    <pivotField dragToRow="0" dragToCol="0" dragToPage="0" showAll="0" defaultSubtotal="0"/>
    <pivotField dragToRow="0" dragToCol="0" dragToPage="0" showAll="0" defaultSubtotal="0"/>
  </pivotFields>
  <rowFields count="1">
    <field x="5"/>
  </rowFields>
  <rowItems count="5">
    <i>
      <x/>
    </i>
    <i>
      <x v="3"/>
    </i>
    <i>
      <x v="1"/>
    </i>
    <i>
      <x v="2"/>
    </i>
    <i t="grand">
      <x/>
    </i>
  </rowItems>
  <colItems count="1">
    <i/>
  </colItems>
  <dataFields count="1">
    <dataField name="Sum of Sales Amount" fld="10" showDataAs="percentOfTotal" baseField="5" baseItem="0" numFmtId="10"/>
  </dataFields>
  <formats count="50">
    <format dxfId="2271">
      <pivotArea outline="0" collapsedLevelsAreSubtotals="1" fieldPosition="0"/>
    </format>
    <format dxfId="2270">
      <pivotArea outline="0" collapsedLevelsAreSubtotals="1" fieldPosition="0"/>
    </format>
    <format dxfId="2269">
      <pivotArea outline="0" collapsedLevelsAreSubtotals="1" fieldPosition="0"/>
    </format>
    <format dxfId="2268">
      <pivotArea outline="0" collapsedLevelsAreSubtotals="1" fieldPosition="0"/>
    </format>
    <format dxfId="2267">
      <pivotArea outline="0" collapsedLevelsAreSubtotals="1" fieldPosition="0"/>
    </format>
    <format dxfId="2266">
      <pivotArea type="all" dataOnly="0" outline="0" fieldPosition="0"/>
    </format>
    <format dxfId="2265">
      <pivotArea outline="0" collapsedLevelsAreSubtotals="1" fieldPosition="0"/>
    </format>
    <format dxfId="2264">
      <pivotArea type="origin" dataOnly="0" labelOnly="1" outline="0" fieldPosition="0"/>
    </format>
    <format dxfId="2263">
      <pivotArea field="2" type="button" dataOnly="0" labelOnly="1" outline="0"/>
    </format>
    <format dxfId="2262">
      <pivotArea type="topRight" dataOnly="0" labelOnly="1" outline="0" fieldPosition="0"/>
    </format>
    <format dxfId="2261">
      <pivotArea field="21" type="button" dataOnly="0" labelOnly="1" outline="0"/>
    </format>
    <format dxfId="2260">
      <pivotArea dataOnly="0" labelOnly="1" grandRow="1" outline="0" fieldPosition="0"/>
    </format>
    <format dxfId="2259">
      <pivotArea dataOnly="0" labelOnly="1" grandCol="1" outline="0" fieldPosition="0"/>
    </format>
    <format dxfId="2258">
      <pivotArea type="all" dataOnly="0" outline="0" fieldPosition="0"/>
    </format>
    <format dxfId="2257">
      <pivotArea outline="0" collapsedLevelsAreSubtotals="1" fieldPosition="0"/>
    </format>
    <format dxfId="2256">
      <pivotArea type="origin" dataOnly="0" labelOnly="1" outline="0" fieldPosition="0"/>
    </format>
    <format dxfId="2255">
      <pivotArea field="2" type="button" dataOnly="0" labelOnly="1" outline="0"/>
    </format>
    <format dxfId="2254">
      <pivotArea type="topRight" dataOnly="0" labelOnly="1" outline="0" fieldPosition="0"/>
    </format>
    <format dxfId="2253">
      <pivotArea field="21" type="button" dataOnly="0" labelOnly="1" outline="0"/>
    </format>
    <format dxfId="2252">
      <pivotArea dataOnly="0" labelOnly="1" grandRow="1" outline="0" fieldPosition="0"/>
    </format>
    <format dxfId="2251">
      <pivotArea dataOnly="0" labelOnly="1" grandCol="1" outline="0" fieldPosition="0"/>
    </format>
    <format dxfId="2250">
      <pivotArea type="all" dataOnly="0" outline="0" fieldPosition="0"/>
    </format>
    <format dxfId="2249">
      <pivotArea outline="0" collapsedLevelsAreSubtotals="1" fieldPosition="0"/>
    </format>
    <format dxfId="2248">
      <pivotArea type="origin" dataOnly="0" labelOnly="1" outline="0" fieldPosition="0"/>
    </format>
    <format dxfId="2247">
      <pivotArea field="2" type="button" dataOnly="0" labelOnly="1" outline="0"/>
    </format>
    <format dxfId="2246">
      <pivotArea type="topRight" dataOnly="0" labelOnly="1" outline="0" fieldPosition="0"/>
    </format>
    <format dxfId="2245">
      <pivotArea field="21" type="button" dataOnly="0" labelOnly="1" outline="0"/>
    </format>
    <format dxfId="2244">
      <pivotArea dataOnly="0" labelOnly="1" grandRow="1" outline="0" fieldPosition="0"/>
    </format>
    <format dxfId="2243">
      <pivotArea dataOnly="0" labelOnly="1" grandCol="1" outline="0" fieldPosition="0"/>
    </format>
    <format dxfId="2242">
      <pivotArea type="all" dataOnly="0" outline="0" fieldPosition="0"/>
    </format>
    <format dxfId="2241">
      <pivotArea outline="0" collapsedLevelsAreSubtotals="1" fieldPosition="0"/>
    </format>
    <format dxfId="2240">
      <pivotArea type="origin" dataOnly="0" labelOnly="1" outline="0" fieldPosition="0"/>
    </format>
    <format dxfId="2239">
      <pivotArea field="5" type="button" dataOnly="0" labelOnly="1" outline="0" axis="axisRow" fieldPosition="0"/>
    </format>
    <format dxfId="2238">
      <pivotArea type="topRight" dataOnly="0" labelOnly="1" outline="0" fieldPosition="0"/>
    </format>
    <format dxfId="2237">
      <pivotArea field="3" type="button" dataOnly="0" labelOnly="1" outline="0"/>
    </format>
    <format dxfId="2236">
      <pivotArea dataOnly="0" labelOnly="1" grandRow="1" outline="0" fieldPosition="0"/>
    </format>
    <format dxfId="2235">
      <pivotArea dataOnly="0" labelOnly="1" fieldPosition="0">
        <references count="1">
          <reference field="5" count="0"/>
        </references>
      </pivotArea>
    </format>
    <format dxfId="2234">
      <pivotArea dataOnly="0" labelOnly="1" grandCol="1" outline="0" fieldPosition="0"/>
    </format>
    <format dxfId="2233">
      <pivotArea type="all" dataOnly="0" outline="0" fieldPosition="0"/>
    </format>
    <format dxfId="2232">
      <pivotArea outline="0" collapsedLevelsAreSubtotals="1" fieldPosition="0"/>
    </format>
    <format dxfId="2231">
      <pivotArea type="origin" dataOnly="0" labelOnly="1" outline="0" fieldPosition="0"/>
    </format>
    <format dxfId="2230">
      <pivotArea field="5" type="button" dataOnly="0" labelOnly="1" outline="0" axis="axisRow" fieldPosition="0"/>
    </format>
    <format dxfId="2229">
      <pivotArea type="topRight" dataOnly="0" labelOnly="1" outline="0" fieldPosition="0"/>
    </format>
    <format dxfId="2228">
      <pivotArea field="3" type="button" dataOnly="0" labelOnly="1" outline="0"/>
    </format>
    <format dxfId="2227">
      <pivotArea dataOnly="0" labelOnly="1" grandRow="1" outline="0" fieldPosition="0"/>
    </format>
    <format dxfId="2226">
      <pivotArea dataOnly="0" labelOnly="1" fieldPosition="0">
        <references count="1">
          <reference field="5" count="0"/>
        </references>
      </pivotArea>
    </format>
    <format dxfId="2225">
      <pivotArea dataOnly="0" labelOnly="1" grandCol="1" outline="0" fieldPosition="0"/>
    </format>
    <format dxfId="2224">
      <pivotArea outline="0" collapsedLevelsAreSubtotals="1" fieldPosition="0"/>
    </format>
    <format dxfId="2223">
      <pivotArea outline="0" collapsedLevelsAreSubtotals="1" fieldPosition="0"/>
    </format>
    <format dxfId="2222">
      <pivotArea outline="0" fieldPosition="0">
        <references count="1">
          <reference field="4294967294" count="1">
            <x v="0"/>
          </reference>
        </references>
      </pivotArea>
    </format>
  </formats>
  <chartFormats count="10">
    <chartFormat chart="10" format="0" series="1">
      <pivotArea type="data" outline="0" fieldPosition="0">
        <references count="1">
          <reference field="4294967294" count="1" selected="0">
            <x v="0"/>
          </reference>
        </references>
      </pivotArea>
    </chartFormat>
    <chartFormat chart="10" format="1">
      <pivotArea type="data" outline="0" fieldPosition="0">
        <references count="2">
          <reference field="4294967294" count="1" selected="0">
            <x v="0"/>
          </reference>
          <reference field="5" count="1" selected="0">
            <x v="0"/>
          </reference>
        </references>
      </pivotArea>
    </chartFormat>
    <chartFormat chart="10" format="2">
      <pivotArea type="data" outline="0" fieldPosition="0">
        <references count="2">
          <reference field="4294967294" count="1" selected="0">
            <x v="0"/>
          </reference>
          <reference field="5" count="1" selected="0">
            <x v="3"/>
          </reference>
        </references>
      </pivotArea>
    </chartFormat>
    <chartFormat chart="10" format="3">
      <pivotArea type="data" outline="0" fieldPosition="0">
        <references count="2">
          <reference field="4294967294" count="1" selected="0">
            <x v="0"/>
          </reference>
          <reference field="5" count="1" selected="0">
            <x v="1"/>
          </reference>
        </references>
      </pivotArea>
    </chartFormat>
    <chartFormat chart="10" format="4">
      <pivotArea type="data" outline="0" fieldPosition="0">
        <references count="2">
          <reference field="4294967294" count="1" selected="0">
            <x v="0"/>
          </reference>
          <reference field="5" count="1" selected="0">
            <x v="2"/>
          </reference>
        </references>
      </pivotArea>
    </chartFormat>
    <chartFormat chart="14" format="10" series="1">
      <pivotArea type="data" outline="0" fieldPosition="0">
        <references count="1">
          <reference field="4294967294" count="1" selected="0">
            <x v="0"/>
          </reference>
        </references>
      </pivotArea>
    </chartFormat>
    <chartFormat chart="14" format="11">
      <pivotArea type="data" outline="0" fieldPosition="0">
        <references count="2">
          <reference field="4294967294" count="1" selected="0">
            <x v="0"/>
          </reference>
          <reference field="5" count="1" selected="0">
            <x v="0"/>
          </reference>
        </references>
      </pivotArea>
    </chartFormat>
    <chartFormat chart="14" format="12">
      <pivotArea type="data" outline="0" fieldPosition="0">
        <references count="2">
          <reference field="4294967294" count="1" selected="0">
            <x v="0"/>
          </reference>
          <reference field="5" count="1" selected="0">
            <x v="3"/>
          </reference>
        </references>
      </pivotArea>
    </chartFormat>
    <chartFormat chart="14" format="13">
      <pivotArea type="data" outline="0" fieldPosition="0">
        <references count="2">
          <reference field="4294967294" count="1" selected="0">
            <x v="0"/>
          </reference>
          <reference field="5" count="1" selected="0">
            <x v="1"/>
          </reference>
        </references>
      </pivotArea>
    </chartFormat>
    <chartFormat chart="14" format="14">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5.xml><?xml version="1.0" encoding="utf-8"?>
<pivotTableDefinition xmlns="http://schemas.openxmlformats.org/spreadsheetml/2006/main" name="PivotTable35" cacheId="36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193:C198" firstHeaderRow="0" firstDataRow="1" firstDataCol="1"/>
  <pivotFields count="24">
    <pivotField showAll="0"/>
    <pivotField numFmtId="14" showAll="0">
      <items count="15">
        <item x="0"/>
        <item x="1"/>
        <item x="2"/>
        <item x="3"/>
        <item x="4"/>
        <item x="5"/>
        <item x="6"/>
        <item x="7"/>
        <item x="8"/>
        <item x="9"/>
        <item x="10"/>
        <item x="11"/>
        <item x="12"/>
        <item x="13"/>
        <item t="default"/>
      </items>
    </pivotField>
    <pivotField showAll="0"/>
    <pivotField showAll="0"/>
    <pivotField showAll="0"/>
    <pivotField axis="axisRow" showAll="0" measureFilter="1" sortType="descending">
      <items count="5">
        <item x="2"/>
        <item x="3"/>
        <item x="0"/>
        <item x="1"/>
        <item t="default"/>
      </items>
      <autoSortScope>
        <pivotArea dataOnly="0" outline="0" fieldPosition="0">
          <references count="1">
            <reference field="4294967294" count="1" selected="0">
              <x v="0"/>
            </reference>
          </references>
        </pivotArea>
      </autoSortScope>
    </pivotField>
    <pivotField showAll="0" defaultSubtotal="0"/>
    <pivotField numFmtId="1" showAll="0"/>
    <pivotField numFmtId="1" showAll="0" defaultSubtotal="0"/>
    <pivotField numFmtId="1" showAll="0"/>
    <pivotField dataField="1" numFmtId="1" showAll="0"/>
    <pivotField numFmtId="1" showAll="0"/>
    <pivotField numFmtId="1" showAll="0"/>
    <pivotField dataField="1" numFmtId="9" showAll="0"/>
    <pivotField showAll="0"/>
    <pivotField showAll="0"/>
    <pivotField showAll="0"/>
    <pivotField showAll="0"/>
    <pivotField showAll="0"/>
    <pivotField showAll="0"/>
    <pivotField showAll="0" defaultSubtotal="0">
      <items count="6">
        <item x="0"/>
        <item x="1"/>
        <item x="2"/>
        <item x="3"/>
        <item x="4"/>
        <item x="5"/>
      </items>
    </pivotField>
    <pivotField showAll="0" defaultSubtotal="0">
      <items count="4">
        <item x="0"/>
        <item x="1"/>
        <item x="2"/>
        <item x="3"/>
      </items>
    </pivotField>
    <pivotField dragToRow="0" dragToCol="0" dragToPage="0" showAll="0" defaultSubtotal="0"/>
    <pivotField dragToRow="0" dragToCol="0" dragToPage="0" showAll="0" defaultSubtotal="0"/>
  </pivotFields>
  <rowFields count="1">
    <field x="5"/>
  </rowFields>
  <rowItems count="5">
    <i>
      <x/>
    </i>
    <i>
      <x v="3"/>
    </i>
    <i>
      <x v="1"/>
    </i>
    <i>
      <x v="2"/>
    </i>
    <i t="grand">
      <x/>
    </i>
  </rowItems>
  <colFields count="1">
    <field x="-2"/>
  </colFields>
  <colItems count="2">
    <i>
      <x/>
    </i>
    <i i="1">
      <x v="1"/>
    </i>
  </colItems>
  <dataFields count="2">
    <dataField name="Sum of Sales Amount" fld="10" baseField="5" baseItem="0" numFmtId="164"/>
    <dataField name="Average of Profit margin" fld="13" subtotal="average" baseField="5" baseItem="0" numFmtId="10"/>
  </dataFields>
  <formats count="6">
    <format dxfId="2277">
      <pivotArea outline="0" collapsedLevelsAreSubtotals="1" fieldPosition="0"/>
    </format>
    <format dxfId="2276">
      <pivotArea outline="0" collapsedLevelsAreSubtotals="1" fieldPosition="0"/>
    </format>
    <format dxfId="2275">
      <pivotArea outline="0" collapsedLevelsAreSubtotals="1" fieldPosition="0"/>
    </format>
    <format dxfId="2274">
      <pivotArea outline="0" collapsedLevelsAreSubtotals="1" fieldPosition="0"/>
    </format>
    <format dxfId="2273">
      <pivotArea outline="0" collapsedLevelsAreSubtotals="1" fieldPosition="0"/>
    </format>
    <format dxfId="2272">
      <pivotArea outline="0" fieldPosition="0">
        <references count="1">
          <reference field="4294967294" count="1">
            <x v="1"/>
          </reference>
        </references>
      </pivotArea>
    </format>
  </formats>
  <chartFormats count="2">
    <chartFormat chart="0" format="3"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5"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26.xml><?xml version="1.0" encoding="utf-8"?>
<pivotTableDefinition xmlns="http://schemas.openxmlformats.org/spreadsheetml/2006/main" name="PivotTable14" cacheId="36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1">
  <location ref="A44:B49" firstHeaderRow="1" firstDataRow="1" firstDataCol="1"/>
  <pivotFields count="25">
    <pivotField showAll="0"/>
    <pivotField axis="axisRow" numFmtId="14" showAll="0">
      <items count="15">
        <item x="0"/>
        <item x="1"/>
        <item x="2"/>
        <item x="3"/>
        <item x="4"/>
        <item x="5"/>
        <item x="6"/>
        <item x="7"/>
        <item x="8"/>
        <item x="9"/>
        <item x="10"/>
        <item x="11"/>
        <item x="12"/>
        <item x="13"/>
        <item t="default"/>
      </items>
    </pivotField>
    <pivotField showAll="0">
      <items count="6">
        <item x="3"/>
        <item x="0"/>
        <item x="4"/>
        <item x="1"/>
        <item x="2"/>
        <item t="default"/>
      </items>
    </pivotField>
    <pivotField showAll="0">
      <items count="5">
        <item x="2"/>
        <item x="1"/>
        <item x="3"/>
        <item x="0"/>
        <item t="default"/>
      </items>
    </pivotField>
    <pivotField showAll="0"/>
    <pivotField showAll="0">
      <items count="5">
        <item x="2"/>
        <item x="3"/>
        <item x="0"/>
        <item x="1"/>
        <item t="default"/>
      </items>
    </pivotField>
    <pivotField showAll="0" defaultSubtotal="0"/>
    <pivotField numFmtId="1" showAll="0"/>
    <pivotField numFmtId="1" showAll="0" defaultSubtotal="0"/>
    <pivotField numFmtId="1" showAll="0"/>
    <pivotField dataField="1" numFmtId="1" showAll="0"/>
    <pivotField numFmtId="1" showAll="0"/>
    <pivotField numFmtId="1" showAll="0"/>
    <pivotField numFmtId="9" showAll="0"/>
    <pivotField showAll="0"/>
    <pivotField showAll="0"/>
    <pivotField showAll="0"/>
    <pivotField showAll="0"/>
    <pivotField showAll="0"/>
    <pivotField showAll="0"/>
    <pivotField showAll="0" defaultSubtotal="0">
      <items count="2">
        <item x="1"/>
        <item x="0"/>
      </items>
    </pivotField>
    <pivotField axis="axisRow" showAll="0" defaultSubtotal="0">
      <items count="6">
        <item sd="0" x="0"/>
        <item sd="0" x="1"/>
        <item sd="0" x="2"/>
        <item sd="0" x="3"/>
        <item sd="0" x="4"/>
        <item sd="0" x="5"/>
      </items>
    </pivotField>
    <pivotField showAll="0" defaultSubtotal="0">
      <items count="4">
        <item sd="0" x="0"/>
        <item sd="0" x="1"/>
        <item sd="0" x="2"/>
        <item sd="0" x="3"/>
      </items>
    </pivotField>
    <pivotField dragToRow="0" dragToCol="0" dragToPage="0" showAll="0" defaultSubtotal="0"/>
    <pivotField dragToRow="0" dragToCol="0" dragToPage="0" showAll="0" defaultSubtotal="0"/>
  </pivotFields>
  <rowFields count="2">
    <field x="21"/>
    <field x="1"/>
  </rowFields>
  <rowItems count="5">
    <i>
      <x v="1"/>
    </i>
    <i>
      <x v="2"/>
    </i>
    <i>
      <x v="3"/>
    </i>
    <i>
      <x v="4"/>
    </i>
    <i t="grand">
      <x/>
    </i>
  </rowItems>
  <colItems count="1">
    <i/>
  </colItems>
  <dataFields count="1">
    <dataField name="Sum of Sales Amount" fld="10" baseField="5" baseItem="0" numFmtId="164"/>
  </dataFields>
  <formats count="5">
    <format dxfId="2282">
      <pivotArea outline="0" collapsedLevelsAreSubtotals="1" fieldPosition="0"/>
    </format>
    <format dxfId="2281">
      <pivotArea outline="0" collapsedLevelsAreSubtotals="1" fieldPosition="0"/>
    </format>
    <format dxfId="2280">
      <pivotArea outline="0" collapsedLevelsAreSubtotals="1" fieldPosition="0"/>
    </format>
    <format dxfId="2279">
      <pivotArea outline="0" collapsedLevelsAreSubtotals="1" fieldPosition="0"/>
    </format>
    <format dxfId="2278">
      <pivotArea outline="0" collapsedLevelsAreSubtotals="1" fieldPosition="0"/>
    </format>
  </formats>
  <chartFormats count="2">
    <chartFormat chart="0" format="5" series="1">
      <pivotArea type="data" outline="0" fieldPosition="0">
        <references count="1">
          <reference field="4294967294" count="1" selected="0">
            <x v="0"/>
          </reference>
        </references>
      </pivotArea>
    </chartFormat>
    <chartFormat chart="3" format="1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7.xml><?xml version="1.0" encoding="utf-8"?>
<pivotTableDefinition xmlns="http://schemas.openxmlformats.org/spreadsheetml/2006/main" name="PivotTable4" cacheId="36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
  <location ref="A103:C109" firstHeaderRow="0" firstDataRow="1" firstDataCol="1"/>
  <pivotFields count="25">
    <pivotField showAll="0"/>
    <pivotField numFmtId="14" showAll="0">
      <items count="15">
        <item x="0"/>
        <item x="1"/>
        <item x="2"/>
        <item x="3"/>
        <item x="4"/>
        <item x="5"/>
        <item x="6"/>
        <item x="7"/>
        <item x="8"/>
        <item x="9"/>
        <item x="10"/>
        <item x="11"/>
        <item x="12"/>
        <item x="13"/>
        <item t="default"/>
      </items>
    </pivotField>
    <pivotField axis="axisRow" showAll="0" sortType="descending">
      <items count="6">
        <item x="3"/>
        <item x="0"/>
        <item x="4"/>
        <item x="1"/>
        <item x="2"/>
        <item t="default"/>
      </items>
      <autoSortScope>
        <pivotArea dataOnly="0" outline="0" fieldPosition="0">
          <references count="1">
            <reference field="4294967294" count="1" selected="0">
              <x v="0"/>
            </reference>
          </references>
        </pivotArea>
      </autoSortScope>
    </pivotField>
    <pivotField showAll="0">
      <items count="5">
        <item x="2"/>
        <item x="1"/>
        <item x="3"/>
        <item x="0"/>
        <item t="default"/>
      </items>
    </pivotField>
    <pivotField dataField="1" showAll="0"/>
    <pivotField showAll="0">
      <items count="5">
        <item x="2"/>
        <item x="3"/>
        <item x="0"/>
        <item x="1"/>
        <item t="default"/>
      </items>
    </pivotField>
    <pivotField showAll="0" defaultSubtotal="0"/>
    <pivotField numFmtId="1" showAll="0"/>
    <pivotField numFmtId="1" showAll="0" defaultSubtotal="0"/>
    <pivotField numFmtId="1" showAll="0"/>
    <pivotField dataField="1" numFmtId="1" showAll="0"/>
    <pivotField numFmtId="1" showAll="0"/>
    <pivotField numFmtId="1" showAll="0"/>
    <pivotField numFmtId="9" showAll="0"/>
    <pivotField showAll="0"/>
    <pivotField showAll="0"/>
    <pivotField showAll="0"/>
    <pivotField showAll="0"/>
    <pivotField showAll="0"/>
    <pivotField showAll="0"/>
    <pivotField showAll="0" defaultSubtotal="0">
      <items count="2">
        <item x="1"/>
        <item x="0"/>
      </items>
    </pivotField>
    <pivotField showAll="0" defaultSubtotal="0">
      <items count="6">
        <item x="0"/>
        <item x="1"/>
        <item x="2"/>
        <item x="3"/>
        <item x="4"/>
        <item x="5"/>
      </items>
    </pivotField>
    <pivotField showAll="0" defaultSubtotal="0">
      <items count="4">
        <item x="0"/>
        <item x="1"/>
        <item x="2"/>
        <item x="3"/>
      </items>
    </pivotField>
    <pivotField dragToRow="0" dragToCol="0" dragToPage="0" showAll="0" defaultSubtotal="0"/>
    <pivotField dragToRow="0" dragToCol="0" dragToPage="0" showAll="0" defaultSubtotal="0"/>
  </pivotFields>
  <rowFields count="1">
    <field x="2"/>
  </rowFields>
  <rowItems count="6">
    <i>
      <x v="3"/>
    </i>
    <i>
      <x v="4"/>
    </i>
    <i>
      <x v="1"/>
    </i>
    <i>
      <x/>
    </i>
    <i>
      <x v="2"/>
    </i>
    <i t="grand">
      <x/>
    </i>
  </rowItems>
  <colFields count="1">
    <field x="-2"/>
  </colFields>
  <colItems count="2">
    <i>
      <x/>
    </i>
    <i i="1">
      <x v="1"/>
    </i>
  </colItems>
  <dataFields count="2">
    <dataField name="Sum of Sales Amount" fld="10" baseField="0" baseItem="0"/>
    <dataField name="Sum of Quantity_Sold" fld="4" baseField="0" baseItem="0"/>
  </dataFields>
  <formats count="5">
    <format dxfId="2287">
      <pivotArea outline="0" collapsedLevelsAreSubtotals="1" fieldPosition="0"/>
    </format>
    <format dxfId="2286">
      <pivotArea outline="0" collapsedLevelsAreSubtotals="1" fieldPosition="0"/>
    </format>
    <format dxfId="2285">
      <pivotArea dataOnly="0" outline="0" fieldPosition="0">
        <references count="1">
          <reference field="4294967294" count="1">
            <x v="0"/>
          </reference>
        </references>
      </pivotArea>
    </format>
    <format dxfId="2284">
      <pivotArea dataOnly="0" outline="0" fieldPosition="0">
        <references count="1">
          <reference field="4294967294" count="1">
            <x v="0"/>
          </reference>
        </references>
      </pivotArea>
    </format>
    <format dxfId="2283">
      <pivotArea dataOnly="0" outline="0" fieldPosition="0">
        <references count="1">
          <reference field="4294967294" count="1">
            <x v="0"/>
          </reference>
        </references>
      </pivotArea>
    </format>
  </formats>
  <chartFormats count="4">
    <chartFormat chart="0" format="0"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1"/>
          </reference>
        </references>
      </pivotArea>
    </chartFormat>
    <chartFormat chart="6" format="7" series="1">
      <pivotArea type="data" outline="0" fieldPosition="0">
        <references count="1">
          <reference field="4294967294" count="1" selected="0">
            <x v="0"/>
          </reference>
        </references>
      </pivotArea>
    </chartFormat>
    <chartFormat chart="6" format="8"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8.xml><?xml version="1.0" encoding="utf-8"?>
<pivotTableDefinition xmlns="http://schemas.openxmlformats.org/spreadsheetml/2006/main" name="PivotTable34" cacheId="36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8">
  <location ref="A294:C295" firstHeaderRow="0" firstDataRow="1" firstDataCol="0"/>
  <pivotFields count="24">
    <pivotField showAll="0"/>
    <pivotField numFmtId="14" showAll="0">
      <items count="15">
        <item x="0"/>
        <item x="1"/>
        <item x="2"/>
        <item x="3"/>
        <item x="4"/>
        <item x="5"/>
        <item x="6"/>
        <item x="7"/>
        <item x="8"/>
        <item x="9"/>
        <item x="10"/>
        <item x="11"/>
        <item x="12"/>
        <item x="13"/>
        <item t="default"/>
      </items>
    </pivotField>
    <pivotField showAll="0"/>
    <pivotField showAll="0"/>
    <pivotField showAll="0"/>
    <pivotField showAll="0"/>
    <pivotField dataField="1" showAll="0" defaultSubtotal="0"/>
    <pivotField numFmtId="1" showAll="0"/>
    <pivotField numFmtId="1" showAll="0" defaultSubtotal="0"/>
    <pivotField numFmtId="1" showAll="0"/>
    <pivotField dataField="1" numFmtId="1" showAll="0"/>
    <pivotField numFmtId="1" showAll="0"/>
    <pivotField numFmtId="1" showAll="0"/>
    <pivotField numFmtId="9" showAll="0"/>
    <pivotField showAll="0"/>
    <pivotField showAll="0"/>
    <pivotField showAll="0"/>
    <pivotField showAll="0"/>
    <pivotField showAll="0"/>
    <pivotField showAll="0"/>
    <pivotField showAll="0" defaultSubtotal="0">
      <items count="6">
        <item x="0"/>
        <item x="1"/>
        <item x="2"/>
        <item x="3"/>
        <item x="4"/>
        <item x="5"/>
      </items>
    </pivotField>
    <pivotField showAll="0" defaultSubtotal="0">
      <items count="4">
        <item x="0"/>
        <item x="1"/>
        <item x="2"/>
        <item x="3"/>
      </items>
    </pivotField>
    <pivotField dragToRow="0" dragToCol="0" dragToPage="0" showAll="0" defaultSubtotal="0"/>
    <pivotField dataField="1" dragToRow="0" dragToCol="0" dragToPage="0" showAll="0" defaultSubtotal="0"/>
  </pivotFields>
  <rowItems count="1">
    <i/>
  </rowItems>
  <colFields count="1">
    <field x="-2"/>
  </colFields>
  <colItems count="3">
    <i>
      <x/>
    </i>
    <i i="1">
      <x v="1"/>
    </i>
    <i i="2">
      <x v="2"/>
    </i>
  </colItems>
  <dataFields count="3">
    <dataField name="Sum of Sales Amount" fld="10" baseField="0" baseItem="0" numFmtId="164"/>
    <dataField name="Sum of Order Count" fld="6" baseField="0" baseItem="1"/>
    <dataField name=" Average Order Value" fld="23" baseField="0" baseItem="2" numFmtId="164"/>
  </dataFields>
  <formats count="8">
    <format dxfId="2295">
      <pivotArea outline="0" collapsedLevelsAreSubtotals="1" fieldPosition="0"/>
    </format>
    <format dxfId="2294">
      <pivotArea outline="0" collapsedLevelsAreSubtotals="1" fieldPosition="0"/>
    </format>
    <format dxfId="2293">
      <pivotArea outline="0" collapsedLevelsAreSubtotals="1" fieldPosition="0">
        <references count="1">
          <reference field="4294967294" count="1" selected="0">
            <x v="0"/>
          </reference>
        </references>
      </pivotArea>
    </format>
    <format dxfId="2292">
      <pivotArea outline="0" collapsedLevelsAreSubtotals="1" fieldPosition="0">
        <references count="1">
          <reference field="4294967294" count="1" selected="0">
            <x v="0"/>
          </reference>
        </references>
      </pivotArea>
    </format>
    <format dxfId="2291">
      <pivotArea outline="0" collapsedLevelsAreSubtotals="1" fieldPosition="0">
        <references count="1">
          <reference field="4294967294" count="1" selected="0">
            <x v="0"/>
          </reference>
        </references>
      </pivotArea>
    </format>
    <format dxfId="2290">
      <pivotArea outline="0" collapsedLevelsAreSubtotals="1" fieldPosition="0">
        <references count="1">
          <reference field="4294967294" count="1" selected="0">
            <x v="2"/>
          </reference>
        </references>
      </pivotArea>
    </format>
    <format dxfId="2289">
      <pivotArea outline="0" collapsedLevelsAreSubtotals="1" fieldPosition="0">
        <references count="1">
          <reference field="4294967294" count="1" selected="0">
            <x v="2"/>
          </reference>
        </references>
      </pivotArea>
    </format>
    <format dxfId="2288">
      <pivotArea outline="0" collapsedLevelsAreSubtotals="1"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9.xml><?xml version="1.0" encoding="utf-8"?>
<pivotTableDefinition xmlns="http://schemas.openxmlformats.org/spreadsheetml/2006/main" name="PivotTable16" cacheId="36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9">
  <location ref="A271:B276" firstHeaderRow="1" firstDataRow="1" firstDataCol="1"/>
  <pivotFields count="24">
    <pivotField showAll="0"/>
    <pivotField numFmtId="14" showAll="0">
      <items count="15">
        <item x="0"/>
        <item x="1"/>
        <item x="2"/>
        <item x="3"/>
        <item x="4"/>
        <item x="5"/>
        <item x="6"/>
        <item x="7"/>
        <item x="8"/>
        <item x="9"/>
        <item x="10"/>
        <item x="11"/>
        <item x="12"/>
        <item x="13"/>
        <item t="default"/>
      </items>
    </pivotField>
    <pivotField axis="axisRow" showAll="0">
      <items count="6">
        <item x="3"/>
        <item h="1" x="0"/>
        <item x="4"/>
        <item x="1"/>
        <item x="2"/>
        <item t="default"/>
      </items>
    </pivotField>
    <pivotField showAll="0"/>
    <pivotField showAll="0"/>
    <pivotField showAll="0"/>
    <pivotField showAll="0" defaultSubtotal="0"/>
    <pivotField numFmtId="1" showAll="0"/>
    <pivotField numFmtId="1" showAll="0" defaultSubtotal="0"/>
    <pivotField numFmtId="1" showAll="0"/>
    <pivotField numFmtId="1" showAll="0"/>
    <pivotField numFmtId="1" showAll="0"/>
    <pivotField numFmtId="1" showAll="0"/>
    <pivotField numFmtId="9" showAll="0"/>
    <pivotField dataField="1" showAll="0"/>
    <pivotField showAll="0"/>
    <pivotField showAll="0"/>
    <pivotField showAll="0"/>
    <pivotField showAll="0"/>
    <pivotField showAll="0"/>
    <pivotField showAll="0" defaultSubtotal="0">
      <items count="6">
        <item x="0"/>
        <item x="1"/>
        <item x="2"/>
        <item x="3"/>
        <item x="4"/>
        <item x="5"/>
      </items>
    </pivotField>
    <pivotField showAll="0" defaultSubtotal="0">
      <items count="4">
        <item x="0"/>
        <item x="1"/>
        <item x="2"/>
        <item x="3"/>
      </items>
    </pivotField>
    <pivotField dragToRow="0" dragToCol="0" dragToPage="0" showAll="0" defaultSubtotal="0"/>
    <pivotField dragToRow="0" dragToCol="0" dragToPage="0" showAll="0" defaultSubtotal="0"/>
  </pivotFields>
  <rowFields count="1">
    <field x="2"/>
  </rowFields>
  <rowItems count="5">
    <i>
      <x/>
    </i>
    <i>
      <x v="2"/>
    </i>
    <i>
      <x v="3"/>
    </i>
    <i>
      <x v="4"/>
    </i>
    <i t="grand">
      <x/>
    </i>
  </rowItems>
  <colItems count="1">
    <i/>
  </colItems>
  <dataFields count="1">
    <dataField name="Count of Profit status" fld="14" subtotal="count" baseField="0" baseItem="0"/>
  </dataFields>
  <formats count="2">
    <format dxfId="2297">
      <pivotArea outline="0" collapsedLevelsAreSubtotals="1" fieldPosition="0"/>
    </format>
    <format dxfId="2296">
      <pivotArea outline="0" collapsedLevelsAreSubtotals="1" fieldPosition="0"/>
    </format>
  </formats>
  <chartFormats count="2">
    <chartFormat chart="18" format="4" series="1">
      <pivotArea type="data" outline="0" fieldPosition="0">
        <references count="1">
          <reference field="4294967294" count="1" selected="0">
            <x v="0"/>
          </reference>
        </references>
      </pivotArea>
    </chartFormat>
    <chartFormat chart="14"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0.xml><?xml version="1.0" encoding="utf-8"?>
<pivotTableDefinition xmlns="http://schemas.openxmlformats.org/spreadsheetml/2006/main" name="PivotTable30" cacheId="36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4">
  <location ref="A336:C357" firstHeaderRow="0" firstDataRow="1" firstDataCol="1"/>
  <pivotFields count="24">
    <pivotField showAll="0"/>
    <pivotField numFmtId="14" showAll="0">
      <items count="15">
        <item x="0"/>
        <item x="1"/>
        <item x="2"/>
        <item x="3"/>
        <item x="4"/>
        <item x="5"/>
        <item x="6"/>
        <item x="7"/>
        <item x="8"/>
        <item x="9"/>
        <item x="10"/>
        <item x="11"/>
        <item x="12"/>
        <item x="13"/>
        <item t="default"/>
      </items>
    </pivotField>
    <pivotField showAll="0"/>
    <pivotField axis="axisRow" showAll="0">
      <items count="5">
        <item x="2"/>
        <item x="1"/>
        <item x="3"/>
        <item x="0"/>
        <item t="default"/>
      </items>
    </pivotField>
    <pivotField showAll="0"/>
    <pivotField axis="axisRow" showAll="0">
      <items count="5">
        <item x="2"/>
        <item x="3"/>
        <item x="0"/>
        <item x="1"/>
        <item t="default"/>
      </items>
    </pivotField>
    <pivotField showAll="0" defaultSubtotal="0"/>
    <pivotField dataField="1" numFmtId="1" showAll="0"/>
    <pivotField numFmtId="1" showAll="0" defaultSubtotal="0"/>
    <pivotField numFmtId="1" showAll="0"/>
    <pivotField dataField="1" numFmtId="1" showAll="0"/>
    <pivotField numFmtId="1" showAll="0"/>
    <pivotField numFmtId="1" showAll="0"/>
    <pivotField numFmtId="9" showAll="0"/>
    <pivotField showAll="0"/>
    <pivotField showAll="0"/>
    <pivotField showAll="0"/>
    <pivotField showAll="0"/>
    <pivotField showAll="0"/>
    <pivotField showAll="0"/>
    <pivotField showAll="0" defaultSubtotal="0">
      <items count="6">
        <item sd="0" x="0"/>
        <item sd="0" x="1"/>
        <item sd="0" x="2"/>
        <item sd="0" x="3"/>
        <item sd="0" x="4"/>
        <item sd="0" x="5"/>
      </items>
    </pivotField>
    <pivotField showAll="0" defaultSubtotal="0">
      <items count="4">
        <item sd="0" x="0"/>
        <item x="1"/>
        <item x="2"/>
        <item sd="0" x="3"/>
      </items>
    </pivotField>
    <pivotField dragToRow="0" dragToCol="0" dragToPage="0" showAll="0" defaultSubtotal="0"/>
    <pivotField dragToRow="0" dragToCol="0" dragToPage="0" showAll="0" defaultSubtotal="0"/>
  </pivotFields>
  <rowFields count="2">
    <field x="3"/>
    <field x="5"/>
  </rowFields>
  <rowItems count="21">
    <i>
      <x/>
    </i>
    <i r="1">
      <x/>
    </i>
    <i r="1">
      <x v="1"/>
    </i>
    <i r="1">
      <x v="2"/>
    </i>
    <i r="1">
      <x v="3"/>
    </i>
    <i>
      <x v="1"/>
    </i>
    <i r="1">
      <x/>
    </i>
    <i r="1">
      <x v="1"/>
    </i>
    <i r="1">
      <x v="2"/>
    </i>
    <i r="1">
      <x v="3"/>
    </i>
    <i>
      <x v="2"/>
    </i>
    <i r="1">
      <x/>
    </i>
    <i r="1">
      <x v="1"/>
    </i>
    <i r="1">
      <x v="2"/>
    </i>
    <i r="1">
      <x v="3"/>
    </i>
    <i>
      <x v="3"/>
    </i>
    <i r="1">
      <x/>
    </i>
    <i r="1">
      <x v="1"/>
    </i>
    <i r="1">
      <x v="2"/>
    </i>
    <i r="1">
      <x v="3"/>
    </i>
    <i t="grand">
      <x/>
    </i>
  </rowItems>
  <colFields count="1">
    <field x="-2"/>
  </colFields>
  <colItems count="2">
    <i>
      <x/>
    </i>
    <i i="1">
      <x v="1"/>
    </i>
  </colItems>
  <dataFields count="2">
    <dataField name="Sum of Sales Amount" fld="10" baseField="0" baseItem="0" numFmtId="164"/>
    <dataField name="Average of Unit_Cost" fld="7" subtotal="average" baseField="3" baseItem="0"/>
  </dataFields>
  <formats count="5">
    <format dxfId="2302">
      <pivotArea outline="0" collapsedLevelsAreSubtotals="1" fieldPosition="0"/>
    </format>
    <format dxfId="2301">
      <pivotArea outline="0" collapsedLevelsAreSubtotals="1" fieldPosition="0"/>
    </format>
    <format dxfId="2300">
      <pivotArea outline="0" collapsedLevelsAreSubtotals="1" fieldPosition="0"/>
    </format>
    <format dxfId="2299">
      <pivotArea outline="0" collapsedLevelsAreSubtotals="1" fieldPosition="0"/>
    </format>
    <format dxfId="229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1.xml><?xml version="1.0" encoding="utf-8"?>
<pivotTableDefinition xmlns="http://schemas.openxmlformats.org/spreadsheetml/2006/main" name="PivotTable27" cacheId="36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1">
  <location ref="A208:A209" firstHeaderRow="1" firstDataRow="1" firstDataCol="0"/>
  <pivotFields count="24">
    <pivotField showAll="0"/>
    <pivotField numFmtId="14" showAll="0">
      <items count="15">
        <item x="0"/>
        <item x="1"/>
        <item x="2"/>
        <item x="3"/>
        <item x="4"/>
        <item x="5"/>
        <item x="6"/>
        <item x="7"/>
        <item x="8"/>
        <item x="9"/>
        <item x="10"/>
        <item x="11"/>
        <item x="12"/>
        <item x="13"/>
        <item t="default"/>
      </items>
    </pivotField>
    <pivotField showAll="0">
      <items count="6">
        <item x="3"/>
        <item x="0"/>
        <item x="4"/>
        <item x="1"/>
        <item x="2"/>
        <item t="default"/>
      </items>
    </pivotField>
    <pivotField showAll="0">
      <items count="5">
        <item x="2"/>
        <item x="1"/>
        <item x="3"/>
        <item x="0"/>
        <item t="default"/>
      </items>
    </pivotField>
    <pivotField showAll="0"/>
    <pivotField showAll="0">
      <items count="5">
        <item x="2"/>
        <item x="3"/>
        <item x="0"/>
        <item x="1"/>
        <item t="default"/>
      </items>
    </pivotField>
    <pivotField showAll="0" defaultSubtotal="0"/>
    <pivotField numFmtId="1" showAll="0"/>
    <pivotField numFmtId="1" showAll="0" defaultSubtotal="0"/>
    <pivotField numFmtId="1" showAll="0"/>
    <pivotField numFmtId="1" showAll="0"/>
    <pivotField numFmtId="1" showAll="0"/>
    <pivotField dataField="1" numFmtId="1" showAll="0"/>
    <pivotField numFmtId="9" showAll="0"/>
    <pivotField showAll="0"/>
    <pivotField showAll="0"/>
    <pivotField showAll="0"/>
    <pivotField showAll="0"/>
    <pivotField showAll="0"/>
    <pivotField showAll="0"/>
    <pivotField showAll="0" defaultSubtotal="0">
      <items count="6">
        <item sd="0" x="0"/>
        <item sd="0" x="1"/>
        <item sd="0" x="2"/>
        <item sd="0" x="3"/>
        <item sd="0" x="4"/>
        <item sd="0" x="5"/>
      </items>
    </pivotField>
    <pivotField showAll="0" defaultSubtotal="0">
      <items count="4">
        <item sd="0" x="0"/>
        <item x="1"/>
        <item sd="0" x="2"/>
        <item sd="0" x="3"/>
      </items>
    </pivotField>
    <pivotField dragToRow="0" dragToCol="0" dragToPage="0" showAll="0" defaultSubtotal="0"/>
    <pivotField dragToRow="0" dragToCol="0" dragToPage="0" showAll="0" defaultSubtotal="0"/>
  </pivotFields>
  <rowItems count="1">
    <i/>
  </rowItems>
  <colItems count="1">
    <i/>
  </colItems>
  <dataFields count="1">
    <dataField name="Sum of Profit" fld="12" baseField="0" baseItem="0" numFmtId="164"/>
  </dataFields>
  <formats count="50">
    <format dxfId="2352">
      <pivotArea outline="0" collapsedLevelsAreSubtotals="1" fieldPosition="0"/>
    </format>
    <format dxfId="2351">
      <pivotArea outline="0" collapsedLevelsAreSubtotals="1" fieldPosition="0"/>
    </format>
    <format dxfId="2350">
      <pivotArea outline="0" collapsedLevelsAreSubtotals="1" fieldPosition="0"/>
    </format>
    <format dxfId="2349">
      <pivotArea outline="0" collapsedLevelsAreSubtotals="1" fieldPosition="0"/>
    </format>
    <format dxfId="2348">
      <pivotArea outline="0" collapsedLevelsAreSubtotals="1" fieldPosition="0"/>
    </format>
    <format dxfId="2347">
      <pivotArea type="all" dataOnly="0" outline="0" fieldPosition="0"/>
    </format>
    <format dxfId="2346">
      <pivotArea outline="0" collapsedLevelsAreSubtotals="1" fieldPosition="0"/>
    </format>
    <format dxfId="2345">
      <pivotArea type="origin" dataOnly="0" labelOnly="1" outline="0" fieldPosition="0"/>
    </format>
    <format dxfId="2344">
      <pivotArea field="2" type="button" dataOnly="0" labelOnly="1" outline="0"/>
    </format>
    <format dxfId="2343">
      <pivotArea type="topRight" dataOnly="0" labelOnly="1" outline="0" fieldPosition="0"/>
    </format>
    <format dxfId="2342">
      <pivotArea field="20" type="button" dataOnly="0" labelOnly="1" outline="0"/>
    </format>
    <format dxfId="2341">
      <pivotArea dataOnly="0" labelOnly="1" grandRow="1" outline="0" fieldPosition="0"/>
    </format>
    <format dxfId="2340">
      <pivotArea dataOnly="0" labelOnly="1" grandCol="1" outline="0" fieldPosition="0"/>
    </format>
    <format dxfId="2339">
      <pivotArea type="all" dataOnly="0" outline="0" fieldPosition="0"/>
    </format>
    <format dxfId="2338">
      <pivotArea outline="0" collapsedLevelsAreSubtotals="1" fieldPosition="0"/>
    </format>
    <format dxfId="2337">
      <pivotArea type="origin" dataOnly="0" labelOnly="1" outline="0" fieldPosition="0"/>
    </format>
    <format dxfId="2336">
      <pivotArea field="2" type="button" dataOnly="0" labelOnly="1" outline="0"/>
    </format>
    <format dxfId="2335">
      <pivotArea type="topRight" dataOnly="0" labelOnly="1" outline="0" fieldPosition="0"/>
    </format>
    <format dxfId="2334">
      <pivotArea field="20" type="button" dataOnly="0" labelOnly="1" outline="0"/>
    </format>
    <format dxfId="2333">
      <pivotArea dataOnly="0" labelOnly="1" grandRow="1" outline="0" fieldPosition="0"/>
    </format>
    <format dxfId="2332">
      <pivotArea dataOnly="0" labelOnly="1" grandCol="1" outline="0" fieldPosition="0"/>
    </format>
    <format dxfId="2331">
      <pivotArea type="all" dataOnly="0" outline="0" fieldPosition="0"/>
    </format>
    <format dxfId="2330">
      <pivotArea outline="0" collapsedLevelsAreSubtotals="1" fieldPosition="0"/>
    </format>
    <format dxfId="2329">
      <pivotArea type="origin" dataOnly="0" labelOnly="1" outline="0" fieldPosition="0"/>
    </format>
    <format dxfId="2328">
      <pivotArea field="2" type="button" dataOnly="0" labelOnly="1" outline="0"/>
    </format>
    <format dxfId="2327">
      <pivotArea type="topRight" dataOnly="0" labelOnly="1" outline="0" fieldPosition="0"/>
    </format>
    <format dxfId="2326">
      <pivotArea field="20" type="button" dataOnly="0" labelOnly="1" outline="0"/>
    </format>
    <format dxfId="2325">
      <pivotArea dataOnly="0" labelOnly="1" grandRow="1" outline="0" fieldPosition="0"/>
    </format>
    <format dxfId="2324">
      <pivotArea dataOnly="0" labelOnly="1" grandCol="1" outline="0" fieldPosition="0"/>
    </format>
    <format dxfId="2323">
      <pivotArea type="all" dataOnly="0" outline="0" fieldPosition="0"/>
    </format>
    <format dxfId="2322">
      <pivotArea outline="0" collapsedLevelsAreSubtotals="1" fieldPosition="0"/>
    </format>
    <format dxfId="2321">
      <pivotArea type="origin" dataOnly="0" labelOnly="1" outline="0" fieldPosition="0"/>
    </format>
    <format dxfId="2320">
      <pivotArea field="5" type="button" dataOnly="0" labelOnly="1" outline="0"/>
    </format>
    <format dxfId="2319">
      <pivotArea type="topRight" dataOnly="0" labelOnly="1" outline="0" fieldPosition="0"/>
    </format>
    <format dxfId="2318">
      <pivotArea field="3" type="button" dataOnly="0" labelOnly="1" outline="0"/>
    </format>
    <format dxfId="2317">
      <pivotArea dataOnly="0" labelOnly="1" grandRow="1" outline="0" fieldPosition="0"/>
    </format>
    <format dxfId="2316">
      <pivotArea dataOnly="0" labelOnly="1" grandCol="1" outline="0" fieldPosition="0"/>
    </format>
    <format dxfId="2315">
      <pivotArea type="all" dataOnly="0" outline="0" fieldPosition="0"/>
    </format>
    <format dxfId="2314">
      <pivotArea outline="0" collapsedLevelsAreSubtotals="1" fieldPosition="0"/>
    </format>
    <format dxfId="2313">
      <pivotArea type="origin" dataOnly="0" labelOnly="1" outline="0" fieldPosition="0"/>
    </format>
    <format dxfId="2312">
      <pivotArea field="5" type="button" dataOnly="0" labelOnly="1" outline="0"/>
    </format>
    <format dxfId="2311">
      <pivotArea type="topRight" dataOnly="0" labelOnly="1" outline="0" fieldPosition="0"/>
    </format>
    <format dxfId="2310">
      <pivotArea field="3" type="button" dataOnly="0" labelOnly="1" outline="0"/>
    </format>
    <format dxfId="2309">
      <pivotArea dataOnly="0" labelOnly="1" grandRow="1" outline="0" fieldPosition="0"/>
    </format>
    <format dxfId="2308">
      <pivotArea dataOnly="0" labelOnly="1" grandCol="1" outline="0" fieldPosition="0"/>
    </format>
    <format dxfId="2307">
      <pivotArea outline="0" collapsedLevelsAreSubtotals="1" fieldPosition="0"/>
    </format>
    <format dxfId="2306">
      <pivotArea outline="0" collapsedLevelsAreSubtotals="1" fieldPosition="0"/>
    </format>
    <format dxfId="2305">
      <pivotArea outline="0" collapsedLevelsAreSubtotals="1" fieldPosition="0"/>
    </format>
    <format dxfId="2304">
      <pivotArea outline="0" collapsedLevelsAreSubtotals="1" fieldPosition="0"/>
    </format>
    <format dxfId="230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2.xml><?xml version="1.0" encoding="utf-8"?>
<pivotTableDefinition xmlns="http://schemas.openxmlformats.org/spreadsheetml/2006/main" name="PivotTable29" cacheId="36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3">
  <location ref="A263:C268" firstHeaderRow="0" firstDataRow="1" firstDataCol="1"/>
  <pivotFields count="25">
    <pivotField showAll="0"/>
    <pivotField numFmtId="14" showAll="0">
      <items count="15">
        <item x="0"/>
        <item x="1"/>
        <item x="2"/>
        <item x="3"/>
        <item x="4"/>
        <item x="5"/>
        <item x="6"/>
        <item x="7"/>
        <item x="8"/>
        <item x="9"/>
        <item x="10"/>
        <item x="11"/>
        <item x="12"/>
        <item x="13"/>
        <item t="default"/>
      </items>
    </pivotField>
    <pivotField showAll="0">
      <items count="6">
        <item x="3"/>
        <item x="0"/>
        <item x="4"/>
        <item x="1"/>
        <item x="2"/>
        <item t="default"/>
      </items>
    </pivotField>
    <pivotField showAll="0" sortType="ascending">
      <items count="5">
        <item x="2"/>
        <item x="1"/>
        <item x="3"/>
        <item x="0"/>
        <item t="default"/>
      </items>
      <autoSortScope>
        <pivotArea dataOnly="0" outline="0" fieldPosition="0">
          <references count="1">
            <reference field="4294967294" count="1" selected="0">
              <x v="0"/>
            </reference>
          </references>
        </pivotArea>
      </autoSortScope>
    </pivotField>
    <pivotField showAll="0"/>
    <pivotField axis="axisRow" showAll="0" sortType="ascending">
      <items count="5">
        <item x="2"/>
        <item x="3"/>
        <item x="0"/>
        <item x="1"/>
        <item t="default"/>
      </items>
      <autoSortScope>
        <pivotArea dataOnly="0" outline="0" fieldPosition="0">
          <references count="1">
            <reference field="4294967294" count="1" selected="0">
              <x v="0"/>
            </reference>
          </references>
        </pivotArea>
      </autoSortScope>
    </pivotField>
    <pivotField showAll="0" defaultSubtotal="0"/>
    <pivotField dataField="1" numFmtId="1" showAll="0"/>
    <pivotField numFmtId="1" showAll="0" defaultSubtotal="0"/>
    <pivotField numFmtId="1" showAll="0"/>
    <pivotField dataField="1" numFmtId="1" showAll="0"/>
    <pivotField numFmtId="1" showAll="0"/>
    <pivotField numFmtId="1" showAll="0"/>
    <pivotField numFmtId="9" showAll="0"/>
    <pivotField showAll="0"/>
    <pivotField showAll="0"/>
    <pivotField showAll="0"/>
    <pivotField showAll="0"/>
    <pivotField showAll="0"/>
    <pivotField showAll="0"/>
    <pivotField showAll="0" defaultSubtotal="0">
      <items count="2">
        <item x="1"/>
        <item x="0"/>
      </items>
    </pivotField>
    <pivotField showAll="0" defaultSubtotal="0">
      <items count="6">
        <item x="0"/>
        <item x="1"/>
        <item x="2"/>
        <item x="3"/>
        <item x="4"/>
        <item x="5"/>
      </items>
    </pivotField>
    <pivotField showAll="0" defaultSubtotal="0">
      <items count="4">
        <item x="0"/>
        <item x="1"/>
        <item x="2"/>
        <item x="3"/>
      </items>
    </pivotField>
    <pivotField dragToRow="0" dragToCol="0" dragToPage="0" showAll="0" defaultSubtotal="0"/>
    <pivotField dragToRow="0" dragToCol="0" dragToPage="0" showAll="0" defaultSubtotal="0"/>
  </pivotFields>
  <rowFields count="1">
    <field x="5"/>
  </rowFields>
  <rowItems count="5">
    <i>
      <x v="2"/>
    </i>
    <i>
      <x v="1"/>
    </i>
    <i>
      <x v="3"/>
    </i>
    <i>
      <x/>
    </i>
    <i t="grand">
      <x/>
    </i>
  </rowItems>
  <colFields count="1">
    <field x="-2"/>
  </colFields>
  <colItems count="2">
    <i>
      <x/>
    </i>
    <i i="1">
      <x v="1"/>
    </i>
  </colItems>
  <dataFields count="2">
    <dataField name="Sum of Sales Amount" fld="10" baseField="0" baseItem="0"/>
    <dataField name="Average of Unit_Cost" fld="7" subtotal="average" baseField="2" baseItem="0"/>
  </dataFields>
  <formats count="5">
    <format dxfId="2357">
      <pivotArea outline="0" collapsedLevelsAreSubtotals="1" fieldPosition="0"/>
    </format>
    <format dxfId="2356">
      <pivotArea outline="0" collapsedLevelsAreSubtotals="1" fieldPosition="0"/>
    </format>
    <format dxfId="2355">
      <pivotArea dataOnly="0" outline="0" fieldPosition="0">
        <references count="1">
          <reference field="4294967294" count="1">
            <x v="0"/>
          </reference>
        </references>
      </pivotArea>
    </format>
    <format dxfId="2354">
      <pivotArea dataOnly="0" outline="0" fieldPosition="0">
        <references count="1">
          <reference field="4294967294" count="1">
            <x v="0"/>
          </reference>
        </references>
      </pivotArea>
    </format>
    <format dxfId="2353">
      <pivotArea dataOnly="0" outline="0" fieldPosition="0">
        <references count="1">
          <reference field="4294967294" count="1">
            <x v="0"/>
          </reference>
        </references>
      </pivotArea>
    </format>
  </formats>
  <chartFormats count="9">
    <chartFormat chart="0"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1"/>
          </reference>
        </references>
      </pivotArea>
    </chartFormat>
    <chartFormat chart="9" format="6" series="1">
      <pivotArea type="data" outline="0" fieldPosition="0">
        <references count="1">
          <reference field="4294967294" count="1" selected="0">
            <x v="0"/>
          </reference>
        </references>
      </pivotArea>
    </chartFormat>
    <chartFormat chart="9" format="8" series="1">
      <pivotArea type="data" outline="0" fieldPosition="0">
        <references count="1">
          <reference field="4294967294" count="1" selected="0">
            <x v="1"/>
          </reference>
        </references>
      </pivotArea>
    </chartFormat>
    <chartFormat chart="12" format="7" series="1">
      <pivotArea type="data" outline="0" fieldPosition="0">
        <references count="1">
          <reference field="4294967294" count="1" selected="0">
            <x v="0"/>
          </reference>
        </references>
      </pivotArea>
    </chartFormat>
    <chartFormat chart="12" format="8" series="1">
      <pivotArea type="data" outline="0" fieldPosition="0">
        <references count="1">
          <reference field="4294967294" count="1" selected="0">
            <x v="1"/>
          </reference>
        </references>
      </pivotArea>
    </chartFormat>
    <chartFormat chart="10" format="5" series="1">
      <pivotArea type="data" outline="0" fieldPosition="0">
        <references count="1">
          <reference field="4294967294" count="1" selected="0">
            <x v="0"/>
          </reference>
        </references>
      </pivotArea>
    </chartFormat>
    <chartFormat chart="10" format="6"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5" name="PivotTable8"/>
    <pivotTable tabId="5" name="PivotTable1"/>
    <pivotTable tabId="5" name="PivotTable10"/>
    <pivotTable tabId="5" name="PivotTable12"/>
    <pivotTable tabId="5" name="PivotTable13"/>
    <pivotTable tabId="5" name="PivotTable14"/>
    <pivotTable tabId="5" name="PivotTable15"/>
    <pivotTable tabId="5" name="PivotTable19"/>
    <pivotTable tabId="5" name="PivotTable2"/>
    <pivotTable tabId="5" name="PivotTable20"/>
    <pivotTable tabId="5" name="PivotTable21"/>
    <pivotTable tabId="5" name="PivotTable22"/>
    <pivotTable tabId="5" name="PivotTable23"/>
    <pivotTable tabId="5" name="PivotTable26"/>
    <pivotTable tabId="5" name="PivotTable28"/>
    <pivotTable tabId="5" name="PivotTable29"/>
    <pivotTable tabId="5" name="PivotTable3"/>
    <pivotTable tabId="5" name="PivotTable4"/>
    <pivotTable tabId="5" name="PivotTable7"/>
    <pivotTable tabId="5" name="PivotTable9"/>
    <pivotTable tabId="5" name="PivotTable24"/>
    <pivotTable tabId="5" name="PivotTable31"/>
  </pivotTables>
  <data>
    <tabular pivotCacheId="2">
      <items count="4">
        <i x="2" s="1"/>
        <i x="1" s="1"/>
        <i x="3"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Sale_Date" sourceName="Sale_Date">
  <pivotTables>
    <pivotTable tabId="5" name="PivotTable19"/>
    <pivotTable tabId="5" name="PivotTable1"/>
    <pivotTable tabId="5" name="PivotTable10"/>
    <pivotTable tabId="5" name="PivotTable12"/>
    <pivotTable tabId="5" name="PivotTable13"/>
    <pivotTable tabId="5" name="PivotTable14"/>
    <pivotTable tabId="5" name="PivotTable15"/>
    <pivotTable tabId="5" name="PivotTable2"/>
    <pivotTable tabId="5" name="PivotTable20"/>
    <pivotTable tabId="5" name="PivotTable21"/>
    <pivotTable tabId="5" name="PivotTable22"/>
    <pivotTable tabId="5" name="PivotTable23"/>
    <pivotTable tabId="5" name="PivotTable26"/>
    <pivotTable tabId="5" name="PivotTable28"/>
    <pivotTable tabId="5" name="PivotTable29"/>
    <pivotTable tabId="5" name="PivotTable3"/>
    <pivotTable tabId="5" name="PivotTable4"/>
    <pivotTable tabId="5" name="PivotTable7"/>
    <pivotTable tabId="5" name="PivotTable8"/>
    <pivotTable tabId="5" name="PivotTable9"/>
    <pivotTable tabId="5" name="PivotTable24"/>
    <pivotTable tabId="5" name="PivotTable31"/>
  </pivotTables>
  <data>
    <tabular pivotCacheId="2">
      <items count="14">
        <i x="1" s="1"/>
        <i x="2" s="1"/>
        <i x="3" s="1"/>
        <i x="4" s="1"/>
        <i x="5" s="1"/>
        <i x="6" s="1"/>
        <i x="7" s="1"/>
        <i x="8" s="1"/>
        <i x="9" s="1"/>
        <i x="10" s="1"/>
        <i x="11" s="1"/>
        <i x="12" s="1"/>
        <i x="0" s="1" nd="1"/>
        <i x="13"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Sales_Rep" sourceName="Sales_Rep">
  <pivotTables>
    <pivotTable tabId="5" name="PivotTable19"/>
    <pivotTable tabId="5" name="PivotTable1"/>
    <pivotTable tabId="5" name="PivotTable10"/>
    <pivotTable tabId="5" name="PivotTable12"/>
    <pivotTable tabId="5" name="PivotTable13"/>
    <pivotTable tabId="5" name="PivotTable14"/>
    <pivotTable tabId="5" name="PivotTable15"/>
    <pivotTable tabId="5" name="PivotTable2"/>
    <pivotTable tabId="5" name="PivotTable20"/>
    <pivotTable tabId="5" name="PivotTable21"/>
    <pivotTable tabId="5" name="PivotTable22"/>
    <pivotTable tabId="5" name="PivotTable23"/>
    <pivotTable tabId="5" name="PivotTable26"/>
    <pivotTable tabId="5" name="PivotTable28"/>
    <pivotTable tabId="5" name="PivotTable29"/>
    <pivotTable tabId="5" name="PivotTable3"/>
    <pivotTable tabId="5" name="PivotTable4"/>
    <pivotTable tabId="5" name="PivotTable7"/>
    <pivotTable tabId="5" name="PivotTable8"/>
    <pivotTable tabId="5" name="PivotTable9"/>
    <pivotTable tabId="5" name="PivotTable24"/>
    <pivotTable tabId="5" name="PivotTable31"/>
  </pivotTables>
  <data>
    <tabular pivotCacheId="2">
      <items count="5">
        <i x="3" s="1"/>
        <i x="0" s="1"/>
        <i x="4"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Product_Category" sourceName="Product_Category">
  <pivotTables>
    <pivotTable tabId="5" name="PivotTable19"/>
    <pivotTable tabId="5" name="PivotTable1"/>
    <pivotTable tabId="5" name="PivotTable10"/>
    <pivotTable tabId="5" name="PivotTable12"/>
    <pivotTable tabId="5" name="PivotTable13"/>
    <pivotTable tabId="5" name="PivotTable14"/>
    <pivotTable tabId="5" name="PivotTable15"/>
    <pivotTable tabId="5" name="PivotTable2"/>
    <pivotTable tabId="5" name="PivotTable20"/>
    <pivotTable tabId="5" name="PivotTable21"/>
    <pivotTable tabId="5" name="PivotTable22"/>
    <pivotTable tabId="5" name="PivotTable23"/>
    <pivotTable tabId="5" name="PivotTable26"/>
    <pivotTable tabId="5" name="PivotTable28"/>
    <pivotTable tabId="5" name="PivotTable29"/>
    <pivotTable tabId="5" name="PivotTable3"/>
    <pivotTable tabId="5" name="PivotTable4"/>
    <pivotTable tabId="5" name="PivotTable7"/>
    <pivotTable tabId="5" name="PivotTable8"/>
    <pivotTable tabId="5" name="PivotTable9"/>
    <pivotTable tabId="5" name="PivotTable24"/>
    <pivotTable tabId="5" name="PivotTable31"/>
  </pivotTables>
  <data>
    <tabular pivotCacheId="2">
      <items count="4">
        <i x="2" s="1"/>
        <i x="3" s="1"/>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Cost_Category" sourceName="Cost Category">
  <pivotTables>
    <pivotTable tabId="5" name="PivotTable19"/>
    <pivotTable tabId="5" name="PivotTable1"/>
    <pivotTable tabId="5" name="PivotTable10"/>
    <pivotTable tabId="5" name="PivotTable12"/>
    <pivotTable tabId="5" name="PivotTable13"/>
    <pivotTable tabId="5" name="PivotTable14"/>
    <pivotTable tabId="5" name="PivotTable15"/>
    <pivotTable tabId="5" name="PivotTable2"/>
    <pivotTable tabId="5" name="PivotTable20"/>
    <pivotTable tabId="5" name="PivotTable21"/>
    <pivotTable tabId="5" name="PivotTable22"/>
    <pivotTable tabId="5" name="PivotTable23"/>
    <pivotTable tabId="5" name="PivotTable26"/>
    <pivotTable tabId="5" name="PivotTable28"/>
    <pivotTable tabId="5" name="PivotTable29"/>
    <pivotTable tabId="5" name="PivotTable3"/>
    <pivotTable tabId="5" name="PivotTable4"/>
    <pivotTable tabId="5" name="PivotTable7"/>
    <pivotTable tabId="5" name="PivotTable8"/>
    <pivotTable tabId="5" name="PivotTable9"/>
    <pivotTable tabId="5" name="PivotTable24"/>
    <pivotTable tabId="5" name="PivotTable31"/>
  </pivotTables>
  <data>
    <tabular pivotCacheId="2">
      <items count="2">
        <i x="1" s="1"/>
        <i x="0"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mc:Ignorable="x" name="Slicer_Quarters" sourceName="Quarters">
  <pivotTables>
    <pivotTable tabId="5" name="PivotTable19"/>
    <pivotTable tabId="5" name="PivotTable1"/>
    <pivotTable tabId="5" name="PivotTable10"/>
    <pivotTable tabId="5" name="PivotTable12"/>
    <pivotTable tabId="5" name="PivotTable13"/>
    <pivotTable tabId="5" name="PivotTable14"/>
    <pivotTable tabId="5" name="PivotTable15"/>
    <pivotTable tabId="5" name="PivotTable2"/>
    <pivotTable tabId="5" name="PivotTable20"/>
    <pivotTable tabId="5" name="PivotTable21"/>
    <pivotTable tabId="5" name="PivotTable22"/>
    <pivotTable tabId="5" name="PivotTable23"/>
    <pivotTable tabId="5" name="PivotTable26"/>
    <pivotTable tabId="5" name="PivotTable28"/>
    <pivotTable tabId="5" name="PivotTable29"/>
    <pivotTable tabId="5" name="PivotTable3"/>
    <pivotTable tabId="5" name="PivotTable4"/>
    <pivotTable tabId="5" name="PivotTable7"/>
    <pivotTable tabId="5" name="PivotTable8"/>
    <pivotTable tabId="5" name="PivotTable9"/>
    <pivotTable tabId="5" name="PivotTable24"/>
    <pivotTable tabId="5" name="PivotTable31"/>
  </pivotTables>
  <data>
    <tabular pivotCacheId="2">
      <items count="6">
        <i x="1" s="1"/>
        <i x="2" s="1"/>
        <i x="3" s="1"/>
        <i x="4" s="1"/>
        <i x="0" s="1" nd="1"/>
        <i x="5"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Region" cache="Slicer_Region" caption="Region" rowHeight="234950"/>
  <slicer name="Sale_Date" cache="Slicer_Sale_Date" caption="Sale_Date" rowHeight="234950"/>
  <slicer name="Sales_Rep" cache="Slicer_Sales_Rep" caption="Sales_Rep" rowHeight="234950"/>
  <slicer name="Product_Category" cache="Slicer_Product_Category" caption="Product_Category" rowHeight="234950"/>
  <slicer name="Cost Category" cache="Slicer_Cost_Category" caption="Cost Category" rowHeight="234950"/>
  <slicer name="Quarters" cache="Slicer_Quarters" caption="Quarters"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3" Type="http://schemas.openxmlformats.org/officeDocument/2006/relationships/pivotTable" Target="../pivotTables/pivotTable13.xml"/><Relationship Id="rId18" Type="http://schemas.openxmlformats.org/officeDocument/2006/relationships/pivotTable" Target="../pivotTables/pivotTable18.xml"/><Relationship Id="rId26" Type="http://schemas.openxmlformats.org/officeDocument/2006/relationships/pivotTable" Target="../pivotTables/pivotTable26.xml"/><Relationship Id="rId3" Type="http://schemas.openxmlformats.org/officeDocument/2006/relationships/pivotTable" Target="../pivotTables/pivotTable3.xml"/><Relationship Id="rId21" Type="http://schemas.openxmlformats.org/officeDocument/2006/relationships/pivotTable" Target="../pivotTables/pivotTable21.xml"/><Relationship Id="rId34" Type="http://schemas.openxmlformats.org/officeDocument/2006/relationships/drawing" Target="../drawings/drawing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5" Type="http://schemas.openxmlformats.org/officeDocument/2006/relationships/pivotTable" Target="../pivotTables/pivotTable25.xml"/><Relationship Id="rId33" Type="http://schemas.openxmlformats.org/officeDocument/2006/relationships/printerSettings" Target="../printerSettings/printerSettings1.bin"/><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29" Type="http://schemas.openxmlformats.org/officeDocument/2006/relationships/pivotTable" Target="../pivotTables/pivotTable29.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24" Type="http://schemas.openxmlformats.org/officeDocument/2006/relationships/pivotTable" Target="../pivotTables/pivotTable24.xml"/><Relationship Id="rId32" Type="http://schemas.openxmlformats.org/officeDocument/2006/relationships/pivotTable" Target="../pivotTables/pivotTable32.xml"/><Relationship Id="rId5" Type="http://schemas.openxmlformats.org/officeDocument/2006/relationships/pivotTable" Target="../pivotTables/pivotTable5.xml"/><Relationship Id="rId15" Type="http://schemas.openxmlformats.org/officeDocument/2006/relationships/pivotTable" Target="../pivotTables/pivotTable15.xml"/><Relationship Id="rId23" Type="http://schemas.openxmlformats.org/officeDocument/2006/relationships/pivotTable" Target="../pivotTables/pivotTable23.xml"/><Relationship Id="rId28" Type="http://schemas.openxmlformats.org/officeDocument/2006/relationships/pivotTable" Target="../pivotTables/pivotTable28.xml"/><Relationship Id="rId10" Type="http://schemas.openxmlformats.org/officeDocument/2006/relationships/pivotTable" Target="../pivotTables/pivotTable10.xml"/><Relationship Id="rId19" Type="http://schemas.openxmlformats.org/officeDocument/2006/relationships/pivotTable" Target="../pivotTables/pivotTable19.xml"/><Relationship Id="rId31" Type="http://schemas.openxmlformats.org/officeDocument/2006/relationships/pivotTable" Target="../pivotTables/pivotTable31.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pivotTable" Target="../pivotTables/pivotTable22.xml"/><Relationship Id="rId27" Type="http://schemas.openxmlformats.org/officeDocument/2006/relationships/pivotTable" Target="../pivotTables/pivotTable27.xml"/><Relationship Id="rId30" Type="http://schemas.openxmlformats.org/officeDocument/2006/relationships/pivotTable" Target="../pivotTables/pivotTable30.xml"/><Relationship Id="rId8" Type="http://schemas.openxmlformats.org/officeDocument/2006/relationships/pivotTable" Target="../pivotTables/pivotTable8.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H27"/>
  <sheetViews>
    <sheetView topLeftCell="K61" workbookViewId="0">
      <selection activeCell="C6" sqref="C6"/>
    </sheetView>
  </sheetViews>
  <sheetFormatPr defaultRowHeight="14.4" x14ac:dyDescent="0.3"/>
  <cols>
    <col min="2" max="2" width="10.77734375" bestFit="1" customWidth="1"/>
    <col min="3" max="3" width="19.109375" bestFit="1" customWidth="1"/>
    <col min="7" max="7" width="12.5546875" bestFit="1" customWidth="1"/>
    <col min="8" max="8" width="19.109375" bestFit="1" customWidth="1"/>
  </cols>
  <sheetData>
    <row r="3" spans="1:3" x14ac:dyDescent="0.3">
      <c r="A3" s="23"/>
      <c r="B3" s="24"/>
      <c r="C3" s="25"/>
    </row>
    <row r="4" spans="1:3" x14ac:dyDescent="0.3">
      <c r="A4" s="27"/>
      <c r="B4" s="28"/>
      <c r="C4" s="29"/>
    </row>
    <row r="5" spans="1:3" x14ac:dyDescent="0.3">
      <c r="A5" s="27"/>
      <c r="B5" s="28"/>
      <c r="C5" s="29"/>
    </row>
    <row r="6" spans="1:3" x14ac:dyDescent="0.3">
      <c r="A6" s="27"/>
      <c r="B6" s="28"/>
      <c r="C6" s="29"/>
    </row>
    <row r="7" spans="1:3" x14ac:dyDescent="0.3">
      <c r="A7" s="27"/>
      <c r="B7" s="28"/>
      <c r="C7" s="29"/>
    </row>
    <row r="8" spans="1:3" x14ac:dyDescent="0.3">
      <c r="A8" s="27"/>
      <c r="B8" s="28"/>
      <c r="C8" s="29"/>
    </row>
    <row r="9" spans="1:3" x14ac:dyDescent="0.3">
      <c r="A9" s="27"/>
      <c r="B9" s="28"/>
      <c r="C9" s="29"/>
    </row>
    <row r="10" spans="1:3" x14ac:dyDescent="0.3">
      <c r="A10" s="27"/>
      <c r="B10" s="28"/>
      <c r="C10" s="29"/>
    </row>
    <row r="11" spans="1:3" x14ac:dyDescent="0.3">
      <c r="A11" s="27"/>
      <c r="B11" s="28"/>
      <c r="C11" s="29"/>
    </row>
    <row r="12" spans="1:3" x14ac:dyDescent="0.3">
      <c r="A12" s="27"/>
      <c r="B12" s="28"/>
      <c r="C12" s="29"/>
    </row>
    <row r="13" spans="1:3" x14ac:dyDescent="0.3">
      <c r="A13" s="27"/>
      <c r="B13" s="28"/>
      <c r="C13" s="29"/>
    </row>
    <row r="14" spans="1:3" x14ac:dyDescent="0.3">
      <c r="A14" s="27"/>
      <c r="B14" s="28"/>
      <c r="C14" s="29"/>
    </row>
    <row r="15" spans="1:3" x14ac:dyDescent="0.3">
      <c r="A15" s="27"/>
      <c r="B15" s="28"/>
      <c r="C15" s="29"/>
    </row>
    <row r="16" spans="1:3" x14ac:dyDescent="0.3">
      <c r="A16" s="27"/>
      <c r="B16" s="28"/>
      <c r="C16" s="29"/>
    </row>
    <row r="17" spans="1:8" x14ac:dyDescent="0.3">
      <c r="A17" s="27"/>
      <c r="B17" s="28"/>
      <c r="C17" s="29"/>
    </row>
    <row r="18" spans="1:8" x14ac:dyDescent="0.3">
      <c r="A18" s="27"/>
      <c r="B18" s="28"/>
      <c r="C18" s="29"/>
    </row>
    <row r="19" spans="1:8" x14ac:dyDescent="0.3">
      <c r="A19" s="27"/>
      <c r="B19" s="28"/>
      <c r="C19" s="29"/>
    </row>
    <row r="20" spans="1:8" x14ac:dyDescent="0.3">
      <c r="A20" s="30"/>
      <c r="B20" s="31"/>
      <c r="C20" s="32"/>
    </row>
    <row r="23" spans="1:8" x14ac:dyDescent="0.3">
      <c r="G23" s="6"/>
      <c r="H23" s="3"/>
    </row>
    <row r="24" spans="1:8" x14ac:dyDescent="0.3">
      <c r="B24" s="6"/>
      <c r="C24" s="3"/>
      <c r="G24" s="6"/>
      <c r="H24" s="3"/>
    </row>
    <row r="25" spans="1:8" x14ac:dyDescent="0.3">
      <c r="B25" s="6"/>
      <c r="C25" s="3"/>
      <c r="G25" s="6"/>
      <c r="H25" s="3"/>
    </row>
    <row r="26" spans="1:8" x14ac:dyDescent="0.3">
      <c r="B26" s="6"/>
      <c r="C26" s="3"/>
      <c r="G26" s="6"/>
      <c r="H26" s="3"/>
    </row>
    <row r="27" spans="1:8" x14ac:dyDescent="0.3">
      <c r="G27" s="6"/>
      <c r="H27" s="3"/>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G399"/>
  <sheetViews>
    <sheetView workbookViewId="0">
      <selection activeCell="B16" sqref="B16"/>
    </sheetView>
  </sheetViews>
  <sheetFormatPr defaultRowHeight="14.4" x14ac:dyDescent="0.3"/>
  <cols>
    <col min="1" max="1" width="12.5546875" customWidth="1"/>
    <col min="2" max="2" width="20.5546875" customWidth="1"/>
    <col min="3" max="3" width="19.21875" customWidth="1"/>
    <col min="4" max="5" width="11" customWidth="1"/>
    <col min="6" max="7" width="11.21875" customWidth="1"/>
    <col min="8" max="13" width="8" customWidth="1"/>
    <col min="14" max="14" width="10.77734375" bestFit="1" customWidth="1"/>
  </cols>
  <sheetData>
    <row r="3" spans="1:2" x14ac:dyDescent="0.3">
      <c r="A3" t="s">
        <v>60</v>
      </c>
    </row>
    <row r="4" spans="1:2" x14ac:dyDescent="0.3">
      <c r="A4" s="3">
        <v>59686173.283700012</v>
      </c>
    </row>
    <row r="7" spans="1:2" x14ac:dyDescent="0.3">
      <c r="A7" s="5" t="s">
        <v>58</v>
      </c>
      <c r="B7" t="s">
        <v>60</v>
      </c>
    </row>
    <row r="8" spans="1:2" x14ac:dyDescent="0.3">
      <c r="A8" s="6" t="s">
        <v>13</v>
      </c>
      <c r="B8" s="10">
        <v>0.26087017018147779</v>
      </c>
    </row>
    <row r="9" spans="1:2" x14ac:dyDescent="0.3">
      <c r="A9" s="6" t="s">
        <v>32</v>
      </c>
      <c r="B9" s="10">
        <v>0.25470358356433065</v>
      </c>
    </row>
    <row r="10" spans="1:2" x14ac:dyDescent="0.3">
      <c r="A10" s="6" t="s">
        <v>19</v>
      </c>
      <c r="B10" s="10">
        <v>0.25163095188247875</v>
      </c>
    </row>
    <row r="11" spans="1:2" x14ac:dyDescent="0.3">
      <c r="A11" s="6" t="s">
        <v>23</v>
      </c>
      <c r="B11" s="10">
        <v>0.23279529437171281</v>
      </c>
    </row>
    <row r="12" spans="1:2" x14ac:dyDescent="0.3">
      <c r="A12" s="6" t="s">
        <v>59</v>
      </c>
      <c r="B12" s="10">
        <v>1</v>
      </c>
    </row>
    <row r="15" spans="1:2" x14ac:dyDescent="0.3">
      <c r="A15" s="5" t="s">
        <v>58</v>
      </c>
      <c r="B15" s="7" t="s">
        <v>60</v>
      </c>
    </row>
    <row r="16" spans="1:2" x14ac:dyDescent="0.3">
      <c r="A16" s="6" t="s">
        <v>22</v>
      </c>
      <c r="B16" s="10">
        <v>0.22910514193803105</v>
      </c>
    </row>
    <row r="17" spans="1:3" x14ac:dyDescent="0.3">
      <c r="A17" s="6" t="s">
        <v>36</v>
      </c>
      <c r="B17" s="10">
        <v>0.21677925132843953</v>
      </c>
    </row>
    <row r="18" spans="1:3" x14ac:dyDescent="0.3">
      <c r="A18" s="6" t="s">
        <v>12</v>
      </c>
      <c r="B18" s="10">
        <v>0.19717638208703811</v>
      </c>
    </row>
    <row r="19" spans="1:3" x14ac:dyDescent="0.3">
      <c r="A19" s="6" t="s">
        <v>40</v>
      </c>
      <c r="B19" s="10">
        <v>0.1922831525611346</v>
      </c>
    </row>
    <row r="20" spans="1:3" x14ac:dyDescent="0.3">
      <c r="A20" s="6" t="s">
        <v>31</v>
      </c>
      <c r="B20" s="10">
        <v>0.16465607208535668</v>
      </c>
    </row>
    <row r="21" spans="1:3" x14ac:dyDescent="0.3">
      <c r="A21" s="6" t="s">
        <v>59</v>
      </c>
      <c r="B21" s="10">
        <v>1</v>
      </c>
    </row>
    <row r="25" spans="1:3" x14ac:dyDescent="0.3">
      <c r="A25" s="5" t="s">
        <v>58</v>
      </c>
      <c r="B25" t="s">
        <v>61</v>
      </c>
      <c r="C25" t="s">
        <v>83</v>
      </c>
    </row>
    <row r="26" spans="1:3" x14ac:dyDescent="0.3">
      <c r="A26" s="6" t="s">
        <v>28</v>
      </c>
      <c r="B26" s="3">
        <v>504</v>
      </c>
      <c r="C26" s="3">
        <v>13184</v>
      </c>
    </row>
    <row r="27" spans="1:3" x14ac:dyDescent="0.3">
      <c r="A27" s="6" t="s">
        <v>15</v>
      </c>
      <c r="B27" s="3">
        <v>496</v>
      </c>
      <c r="C27" s="3">
        <v>12171</v>
      </c>
    </row>
    <row r="28" spans="1:3" x14ac:dyDescent="0.3">
      <c r="A28" s="6" t="s">
        <v>59</v>
      </c>
      <c r="B28" s="3">
        <v>1000</v>
      </c>
      <c r="C28" s="3">
        <v>25355</v>
      </c>
    </row>
    <row r="34" spans="1:2" x14ac:dyDescent="0.3">
      <c r="A34" s="5" t="s">
        <v>58</v>
      </c>
      <c r="B34" t="s">
        <v>60</v>
      </c>
    </row>
    <row r="35" spans="1:2" x14ac:dyDescent="0.3">
      <c r="A35" s="6" t="s">
        <v>27</v>
      </c>
      <c r="B35" s="7">
        <v>16360844.624700002</v>
      </c>
    </row>
    <row r="36" spans="1:2" x14ac:dyDescent="0.3">
      <c r="A36" s="6" t="s">
        <v>14</v>
      </c>
      <c r="B36" s="7">
        <v>15363777.142799992</v>
      </c>
    </row>
    <row r="37" spans="1:2" x14ac:dyDescent="0.3">
      <c r="A37" s="6" t="s">
        <v>33</v>
      </c>
      <c r="B37" s="7">
        <v>15153225.285399996</v>
      </c>
    </row>
    <row r="38" spans="1:2" x14ac:dyDescent="0.3">
      <c r="A38" s="6" t="s">
        <v>24</v>
      </c>
      <c r="B38" s="7">
        <v>12808326.230800003</v>
      </c>
    </row>
    <row r="39" spans="1:2" x14ac:dyDescent="0.3">
      <c r="A39" s="6" t="s">
        <v>59</v>
      </c>
      <c r="B39" s="7">
        <v>59686173.283699989</v>
      </c>
    </row>
    <row r="43" spans="1:2" x14ac:dyDescent="0.3">
      <c r="A43" s="33" t="s">
        <v>88</v>
      </c>
      <c r="B43" s="34"/>
    </row>
    <row r="44" spans="1:2" x14ac:dyDescent="0.3">
      <c r="A44" s="5" t="s">
        <v>58</v>
      </c>
      <c r="B44" t="s">
        <v>60</v>
      </c>
    </row>
    <row r="45" spans="1:2" x14ac:dyDescent="0.3">
      <c r="A45" s="6" t="s">
        <v>63</v>
      </c>
      <c r="B45" s="7">
        <v>16195870.419900002</v>
      </c>
    </row>
    <row r="46" spans="1:2" x14ac:dyDescent="0.3">
      <c r="A46" s="6" t="s">
        <v>64</v>
      </c>
      <c r="B46" s="7">
        <v>14692573.422599996</v>
      </c>
    </row>
    <row r="47" spans="1:2" x14ac:dyDescent="0.3">
      <c r="A47" s="6" t="s">
        <v>65</v>
      </c>
      <c r="B47" s="7">
        <v>13563763.143299997</v>
      </c>
    </row>
    <row r="48" spans="1:2" x14ac:dyDescent="0.3">
      <c r="A48" s="6" t="s">
        <v>66</v>
      </c>
      <c r="B48" s="7">
        <v>15233966.297900001</v>
      </c>
    </row>
    <row r="49" spans="1:3" x14ac:dyDescent="0.3">
      <c r="A49" s="6" t="s">
        <v>59</v>
      </c>
      <c r="B49" s="7">
        <v>59686173.283699997</v>
      </c>
    </row>
    <row r="53" spans="1:3" x14ac:dyDescent="0.3">
      <c r="A53" s="19"/>
      <c r="B53" s="20"/>
      <c r="C53" s="20"/>
    </row>
    <row r="77" spans="1:3" x14ac:dyDescent="0.3">
      <c r="A77" s="33" t="s">
        <v>81</v>
      </c>
      <c r="B77" s="34"/>
      <c r="C77" s="34"/>
    </row>
    <row r="78" spans="1:3" x14ac:dyDescent="0.3">
      <c r="A78" s="5" t="s">
        <v>58</v>
      </c>
      <c r="B78" t="s">
        <v>80</v>
      </c>
      <c r="C78" t="s">
        <v>83</v>
      </c>
    </row>
    <row r="79" spans="1:3" x14ac:dyDescent="0.3">
      <c r="A79" s="6" t="s">
        <v>33</v>
      </c>
      <c r="B79" s="7">
        <v>61598.476769918685</v>
      </c>
      <c r="C79" s="7">
        <v>6096</v>
      </c>
    </row>
    <row r="80" spans="1:3" x14ac:dyDescent="0.3">
      <c r="A80" s="6" t="s">
        <v>27</v>
      </c>
      <c r="B80" s="7">
        <v>61047.927704104484</v>
      </c>
      <c r="C80" s="7">
        <v>6922</v>
      </c>
    </row>
    <row r="81" spans="1:3" x14ac:dyDescent="0.3">
      <c r="A81" s="6" t="s">
        <v>14</v>
      </c>
      <c r="B81" s="7">
        <v>59091.450549230736</v>
      </c>
      <c r="C81" s="7">
        <v>6729</v>
      </c>
    </row>
    <row r="82" spans="1:3" x14ac:dyDescent="0.3">
      <c r="A82" s="6" t="s">
        <v>24</v>
      </c>
      <c r="B82" s="7">
        <v>56674.009870796472</v>
      </c>
      <c r="C82" s="7">
        <v>5608</v>
      </c>
    </row>
    <row r="83" spans="1:3" x14ac:dyDescent="0.3">
      <c r="A83" s="6" t="s">
        <v>59</v>
      </c>
      <c r="B83" s="7">
        <v>59686.173283700045</v>
      </c>
      <c r="C83" s="7">
        <v>25355</v>
      </c>
    </row>
    <row r="90" spans="1:3" x14ac:dyDescent="0.3">
      <c r="A90" s="33" t="s">
        <v>82</v>
      </c>
      <c r="B90" s="34"/>
    </row>
    <row r="91" spans="1:3" x14ac:dyDescent="0.3">
      <c r="A91" s="5" t="s">
        <v>58</v>
      </c>
      <c r="B91" t="s">
        <v>83</v>
      </c>
    </row>
    <row r="92" spans="1:3" x14ac:dyDescent="0.3">
      <c r="A92" s="6" t="s">
        <v>31</v>
      </c>
      <c r="B92" s="3">
        <v>4217</v>
      </c>
    </row>
    <row r="93" spans="1:3" x14ac:dyDescent="0.3">
      <c r="A93" s="6" t="s">
        <v>40</v>
      </c>
      <c r="B93" s="3">
        <v>4832</v>
      </c>
    </row>
    <row r="94" spans="1:3" x14ac:dyDescent="0.3">
      <c r="A94" s="6" t="s">
        <v>12</v>
      </c>
      <c r="B94" s="3">
        <v>4977</v>
      </c>
    </row>
    <row r="95" spans="1:3" x14ac:dyDescent="0.3">
      <c r="A95" s="6" t="s">
        <v>36</v>
      </c>
      <c r="B95" s="3">
        <v>5287</v>
      </c>
    </row>
    <row r="96" spans="1:3" x14ac:dyDescent="0.3">
      <c r="A96" s="6" t="s">
        <v>22</v>
      </c>
      <c r="B96" s="3">
        <v>6042</v>
      </c>
    </row>
    <row r="97" spans="1:3" x14ac:dyDescent="0.3">
      <c r="A97" s="6" t="s">
        <v>59</v>
      </c>
      <c r="B97" s="3">
        <v>25355</v>
      </c>
    </row>
    <row r="103" spans="1:3" x14ac:dyDescent="0.3">
      <c r="A103" s="5" t="s">
        <v>58</v>
      </c>
      <c r="B103" s="7" t="s">
        <v>60</v>
      </c>
      <c r="C103" t="s">
        <v>83</v>
      </c>
    </row>
    <row r="104" spans="1:3" x14ac:dyDescent="0.3">
      <c r="A104" s="6" t="s">
        <v>22</v>
      </c>
      <c r="B104" s="7">
        <v>13674409.201900002</v>
      </c>
      <c r="C104" s="3">
        <v>6042</v>
      </c>
    </row>
    <row r="105" spans="1:3" x14ac:dyDescent="0.3">
      <c r="A105" s="6" t="s">
        <v>36</v>
      </c>
      <c r="B105" s="7">
        <v>12938723.959099991</v>
      </c>
      <c r="C105" s="3">
        <v>5287</v>
      </c>
    </row>
    <row r="106" spans="1:3" x14ac:dyDescent="0.3">
      <c r="A106" s="6" t="s">
        <v>12</v>
      </c>
      <c r="B106" s="7">
        <v>11768703.708699994</v>
      </c>
      <c r="C106" s="3">
        <v>4977</v>
      </c>
    </row>
    <row r="107" spans="1:3" x14ac:dyDescent="0.3">
      <c r="A107" s="6" t="s">
        <v>40</v>
      </c>
      <c r="B107" s="7">
        <v>11476645.563299999</v>
      </c>
      <c r="C107" s="3">
        <v>4832</v>
      </c>
    </row>
    <row r="108" spans="1:3" x14ac:dyDescent="0.3">
      <c r="A108" s="6" t="s">
        <v>31</v>
      </c>
      <c r="B108" s="7">
        <v>9827690.8506999947</v>
      </c>
      <c r="C108" s="3">
        <v>4217</v>
      </c>
    </row>
    <row r="109" spans="1:3" x14ac:dyDescent="0.3">
      <c r="A109" s="6" t="s">
        <v>59</v>
      </c>
      <c r="B109" s="7">
        <v>59686173.283699982</v>
      </c>
      <c r="C109" s="3">
        <v>25355</v>
      </c>
    </row>
    <row r="116" spans="1:7" x14ac:dyDescent="0.3">
      <c r="A116" s="11" t="s">
        <v>60</v>
      </c>
      <c r="B116" s="11" t="s">
        <v>85</v>
      </c>
      <c r="C116" s="12"/>
      <c r="D116" s="12"/>
      <c r="E116" s="12"/>
      <c r="F116" s="12"/>
      <c r="G116" s="12"/>
    </row>
    <row r="117" spans="1:7" x14ac:dyDescent="0.3">
      <c r="A117" s="11" t="s">
        <v>58</v>
      </c>
      <c r="B117" s="12" t="s">
        <v>40</v>
      </c>
      <c r="C117" s="12" t="s">
        <v>12</v>
      </c>
      <c r="D117" s="12" t="s">
        <v>31</v>
      </c>
      <c r="E117" s="12" t="s">
        <v>22</v>
      </c>
      <c r="F117" s="12" t="s">
        <v>36</v>
      </c>
      <c r="G117" s="12" t="s">
        <v>59</v>
      </c>
    </row>
    <row r="118" spans="1:7" x14ac:dyDescent="0.3">
      <c r="A118" s="13" t="s">
        <v>68</v>
      </c>
      <c r="B118" s="14">
        <v>1.1336377483673979E-2</v>
      </c>
      <c r="C118" s="14">
        <v>2.6372936418925668E-2</v>
      </c>
      <c r="D118" s="14">
        <v>2.7514276070174572E-2</v>
      </c>
      <c r="E118" s="14">
        <v>1.3251283008890702E-2</v>
      </c>
      <c r="F118" s="14">
        <v>2.9120414278170231E-2</v>
      </c>
      <c r="G118" s="14">
        <v>0.10759528725983515</v>
      </c>
    </row>
    <row r="119" spans="1:7" x14ac:dyDescent="0.3">
      <c r="A119" s="13" t="s">
        <v>69</v>
      </c>
      <c r="B119" s="14">
        <v>2.0974335051596973E-2</v>
      </c>
      <c r="C119" s="14">
        <v>1.3560358668881754E-2</v>
      </c>
      <c r="D119" s="14">
        <v>1.2998241500797827E-2</v>
      </c>
      <c r="E119" s="14">
        <v>1.8670529856272919E-2</v>
      </c>
      <c r="F119" s="14">
        <v>1.1909257533086328E-2</v>
      </c>
      <c r="G119" s="14">
        <v>7.8112722610635801E-2</v>
      </c>
    </row>
    <row r="120" spans="1:7" x14ac:dyDescent="0.3">
      <c r="A120" s="13" t="s">
        <v>70</v>
      </c>
      <c r="B120" s="14">
        <v>1.6475683534373172E-2</v>
      </c>
      <c r="C120" s="14">
        <v>1.6803177458419701E-2</v>
      </c>
      <c r="D120" s="14">
        <v>8.3161557173502577E-3</v>
      </c>
      <c r="E120" s="14">
        <v>1.9810836594929042E-2</v>
      </c>
      <c r="F120" s="14">
        <v>2.4236594206233961E-2</v>
      </c>
      <c r="G120" s="14">
        <v>8.5642447511306133E-2</v>
      </c>
    </row>
    <row r="121" spans="1:7" x14ac:dyDescent="0.3">
      <c r="A121" s="13" t="s">
        <v>71</v>
      </c>
      <c r="B121" s="14">
        <v>1.7791135431863839E-2</v>
      </c>
      <c r="C121" s="14">
        <v>7.7073661535213564E-3</v>
      </c>
      <c r="D121" s="14">
        <v>1.7748484895567938E-2</v>
      </c>
      <c r="E121" s="14">
        <v>1.9065697691675786E-2</v>
      </c>
      <c r="F121" s="14">
        <v>1.3386583989933918E-2</v>
      </c>
      <c r="G121" s="14">
        <v>7.5699268162562838E-2</v>
      </c>
    </row>
    <row r="122" spans="1:7" x14ac:dyDescent="0.3">
      <c r="A122" s="13" t="s">
        <v>72</v>
      </c>
      <c r="B122" s="14">
        <v>1.8149059138891546E-2</v>
      </c>
      <c r="C122" s="14">
        <v>2.4402329160508569E-2</v>
      </c>
      <c r="D122" s="14">
        <v>9.5657827833288515E-3</v>
      </c>
      <c r="E122" s="14">
        <v>2.0212402972556831E-2</v>
      </c>
      <c r="F122" s="14">
        <v>9.4022830619844271E-3</v>
      </c>
      <c r="G122" s="14">
        <v>8.1731857117270226E-2</v>
      </c>
    </row>
    <row r="123" spans="1:7" x14ac:dyDescent="0.3">
      <c r="A123" s="13" t="s">
        <v>73</v>
      </c>
      <c r="B123" s="14">
        <v>1.4096305630131086E-2</v>
      </c>
      <c r="C123" s="14">
        <v>1.8662993340271768E-2</v>
      </c>
      <c r="D123" s="14">
        <v>1.7262576679235357E-2</v>
      </c>
      <c r="E123" s="14">
        <v>1.2995960466640168E-2</v>
      </c>
      <c r="F123" s="14">
        <v>2.5714808439882868E-2</v>
      </c>
      <c r="G123" s="14">
        <v>8.8732644556161241E-2</v>
      </c>
    </row>
    <row r="124" spans="1:7" x14ac:dyDescent="0.3">
      <c r="A124" s="13" t="s">
        <v>74</v>
      </c>
      <c r="B124" s="14">
        <v>1.4553976030110641E-2</v>
      </c>
      <c r="C124" s="14">
        <v>9.429013664940266E-3</v>
      </c>
      <c r="D124" s="14">
        <v>1.197158471868621E-2</v>
      </c>
      <c r="E124" s="14">
        <v>1.3316561919995964E-2</v>
      </c>
      <c r="F124" s="14">
        <v>1.7806045709253711E-2</v>
      </c>
      <c r="G124" s="14">
        <v>6.7077182042986794E-2</v>
      </c>
    </row>
    <row r="125" spans="1:7" x14ac:dyDescent="0.3">
      <c r="A125" s="13" t="s">
        <v>75</v>
      </c>
      <c r="B125" s="14">
        <v>2.1603806733780699E-2</v>
      </c>
      <c r="C125" s="14">
        <v>2.0199629369257188E-2</v>
      </c>
      <c r="D125" s="14">
        <v>1.5634762295187159E-2</v>
      </c>
      <c r="E125" s="14">
        <v>1.9018893883585727E-2</v>
      </c>
      <c r="F125" s="14">
        <v>1.9461098256021311E-2</v>
      </c>
      <c r="G125" s="14">
        <v>9.5918190537832085E-2</v>
      </c>
    </row>
    <row r="126" spans="1:7" x14ac:dyDescent="0.3">
      <c r="A126" s="13" t="s">
        <v>76</v>
      </c>
      <c r="B126" s="14">
        <v>5.3006892919101115E-3</v>
      </c>
      <c r="C126" s="14">
        <v>1.8123303828818424E-2</v>
      </c>
      <c r="D126" s="14">
        <v>1.2921044367081462E-2</v>
      </c>
      <c r="E126" s="14">
        <v>1.237304512537212E-2</v>
      </c>
      <c r="F126" s="14">
        <v>1.5537889582766523E-2</v>
      </c>
      <c r="G126" s="14">
        <v>6.4255972195948641E-2</v>
      </c>
    </row>
    <row r="127" spans="1:7" x14ac:dyDescent="0.3">
      <c r="A127" s="13" t="s">
        <v>77</v>
      </c>
      <c r="B127" s="14">
        <v>1.1651229732798349E-2</v>
      </c>
      <c r="C127" s="14">
        <v>1.3691860674592408E-2</v>
      </c>
      <c r="D127" s="14">
        <v>1.5742981171430043E-2</v>
      </c>
      <c r="E127" s="14">
        <v>3.4532730515375219E-2</v>
      </c>
      <c r="F127" s="14">
        <v>1.95149501068465E-2</v>
      </c>
      <c r="G127" s="14">
        <v>9.5133752201042532E-2</v>
      </c>
    </row>
    <row r="128" spans="1:7" x14ac:dyDescent="0.3">
      <c r="A128" s="13" t="s">
        <v>78</v>
      </c>
      <c r="B128" s="14">
        <v>1.6367811388350396E-2</v>
      </c>
      <c r="C128" s="14">
        <v>1.1003998508635586E-2</v>
      </c>
      <c r="D128" s="14">
        <v>8.2511795564299325E-3</v>
      </c>
      <c r="E128" s="14">
        <v>2.2999765568400013E-2</v>
      </c>
      <c r="F128" s="14">
        <v>1.1034661900160133E-2</v>
      </c>
      <c r="G128" s="14">
        <v>6.9657416921976051E-2</v>
      </c>
    </row>
    <row r="129" spans="1:7" x14ac:dyDescent="0.3">
      <c r="A129" s="13" t="s">
        <v>79</v>
      </c>
      <c r="B129" s="14">
        <v>2.398274311365374E-2</v>
      </c>
      <c r="C129" s="14">
        <v>1.7219414840265464E-2</v>
      </c>
      <c r="D129" s="14">
        <v>6.7290023300871048E-3</v>
      </c>
      <c r="E129" s="14">
        <v>2.2857434334336457E-2</v>
      </c>
      <c r="F129" s="14">
        <v>1.9654664264099689E-2</v>
      </c>
      <c r="G129" s="14">
        <v>9.0443258882442451E-2</v>
      </c>
    </row>
    <row r="130" spans="1:7" x14ac:dyDescent="0.3">
      <c r="A130" s="13" t="s">
        <v>59</v>
      </c>
      <c r="B130" s="14">
        <v>0.19228315256113451</v>
      </c>
      <c r="C130" s="14">
        <v>0.19717638208703814</v>
      </c>
      <c r="D130" s="14">
        <v>0.16465607208535668</v>
      </c>
      <c r="E130" s="14">
        <v>0.22910514193803094</v>
      </c>
      <c r="F130" s="14">
        <v>0.21677925132843961</v>
      </c>
      <c r="G130" s="14">
        <v>1</v>
      </c>
    </row>
    <row r="135" spans="1:7" x14ac:dyDescent="0.3">
      <c r="A135" s="16" t="s">
        <v>60</v>
      </c>
      <c r="B135" s="16" t="s">
        <v>85</v>
      </c>
      <c r="C135" s="15"/>
      <c r="D135" s="15"/>
      <c r="E135" s="15"/>
      <c r="F135" s="15"/>
      <c r="G135" s="7"/>
    </row>
    <row r="136" spans="1:7" x14ac:dyDescent="0.3">
      <c r="A136" s="16" t="s">
        <v>58</v>
      </c>
      <c r="B136" s="15" t="s">
        <v>27</v>
      </c>
      <c r="C136" s="15" t="s">
        <v>33</v>
      </c>
      <c r="D136" s="15" t="s">
        <v>24</v>
      </c>
      <c r="E136" s="15" t="s">
        <v>14</v>
      </c>
      <c r="F136" s="15" t="s">
        <v>59</v>
      </c>
      <c r="G136" s="7"/>
    </row>
    <row r="137" spans="1:7" x14ac:dyDescent="0.3">
      <c r="A137" s="17" t="s">
        <v>32</v>
      </c>
      <c r="B137" s="15">
        <v>4159577.4449999998</v>
      </c>
      <c r="C137" s="15">
        <v>4192155.9304999989</v>
      </c>
      <c r="D137" s="15">
        <v>3383985.8214999987</v>
      </c>
      <c r="E137" s="15">
        <v>3466563.0275999992</v>
      </c>
      <c r="F137" s="15">
        <v>15202282.224599997</v>
      </c>
      <c r="G137" s="7"/>
    </row>
    <row r="138" spans="1:7" x14ac:dyDescent="0.3">
      <c r="A138" s="17" t="s">
        <v>13</v>
      </c>
      <c r="B138" s="15">
        <v>4424111.8028000006</v>
      </c>
      <c r="C138" s="15">
        <v>3799465.8435000004</v>
      </c>
      <c r="D138" s="15">
        <v>3172617.0758000012</v>
      </c>
      <c r="E138" s="15">
        <v>4174147.4599000011</v>
      </c>
      <c r="F138" s="15">
        <v>15570342.182000004</v>
      </c>
      <c r="G138" s="7"/>
    </row>
    <row r="139" spans="1:7" x14ac:dyDescent="0.3">
      <c r="A139" s="17" t="s">
        <v>23</v>
      </c>
      <c r="B139" s="15">
        <v>3907815.9484000006</v>
      </c>
      <c r="C139" s="15">
        <v>3246712.0266</v>
      </c>
      <c r="D139" s="15">
        <v>3307592.2702000001</v>
      </c>
      <c r="E139" s="15">
        <v>3432540.0343000009</v>
      </c>
      <c r="F139" s="15">
        <v>13894660.279500002</v>
      </c>
      <c r="G139" s="7"/>
    </row>
    <row r="140" spans="1:7" x14ac:dyDescent="0.3">
      <c r="A140" s="17" t="s">
        <v>19</v>
      </c>
      <c r="B140" s="15">
        <v>3869339.4285000004</v>
      </c>
      <c r="C140" s="15">
        <v>3914891.4848000007</v>
      </c>
      <c r="D140" s="15">
        <v>2944131.0632999996</v>
      </c>
      <c r="E140" s="15">
        <v>4290526.6210000003</v>
      </c>
      <c r="F140" s="15">
        <v>15018888.597600002</v>
      </c>
      <c r="G140" s="7"/>
    </row>
    <row r="141" spans="1:7" x14ac:dyDescent="0.3">
      <c r="A141" s="17" t="s">
        <v>59</v>
      </c>
      <c r="B141" s="15">
        <v>16360844.624700001</v>
      </c>
      <c r="C141" s="15">
        <v>15153225.285399999</v>
      </c>
      <c r="D141" s="15">
        <v>12808326.230799999</v>
      </c>
      <c r="E141" s="15">
        <v>15363777.142800003</v>
      </c>
      <c r="F141" s="15">
        <v>59686173.283700004</v>
      </c>
      <c r="G141" s="7"/>
    </row>
    <row r="142" spans="1:7" x14ac:dyDescent="0.3">
      <c r="A142" s="7"/>
      <c r="B142" s="7"/>
      <c r="C142" s="7"/>
      <c r="D142" s="7"/>
      <c r="E142" s="7"/>
      <c r="F142" s="7"/>
      <c r="G142" s="7"/>
    </row>
    <row r="143" spans="1:7" x14ac:dyDescent="0.3">
      <c r="A143" s="7"/>
      <c r="B143" s="7"/>
      <c r="C143" s="7"/>
      <c r="D143" s="7"/>
      <c r="E143" s="7"/>
      <c r="F143" s="7"/>
      <c r="G143" s="7"/>
    </row>
    <row r="144" spans="1:7" x14ac:dyDescent="0.3">
      <c r="A144" s="7"/>
      <c r="B144" s="7"/>
      <c r="C144" s="7"/>
      <c r="D144" s="7"/>
      <c r="E144" s="7"/>
      <c r="F144" s="7"/>
      <c r="G144" s="7"/>
    </row>
    <row r="145" spans="1:7" x14ac:dyDescent="0.3">
      <c r="A145" s="7"/>
      <c r="B145" s="7"/>
      <c r="C145" s="7"/>
      <c r="D145" s="7"/>
      <c r="E145" s="7"/>
      <c r="F145" s="7"/>
      <c r="G145" s="7"/>
    </row>
    <row r="146" spans="1:7" x14ac:dyDescent="0.3">
      <c r="A146" s="7"/>
      <c r="B146" s="7"/>
      <c r="C146" s="7"/>
      <c r="D146" s="7"/>
      <c r="E146" s="7"/>
      <c r="F146" s="7"/>
      <c r="G146" s="7"/>
    </row>
    <row r="147" spans="1:7" x14ac:dyDescent="0.3">
      <c r="A147" s="16" t="s">
        <v>83</v>
      </c>
      <c r="B147" s="16" t="s">
        <v>85</v>
      </c>
      <c r="C147" s="15"/>
      <c r="D147" s="15"/>
      <c r="E147" s="15"/>
      <c r="F147" s="15"/>
    </row>
    <row r="148" spans="1:7" x14ac:dyDescent="0.3">
      <c r="A148" s="16" t="s">
        <v>58</v>
      </c>
      <c r="B148" s="15" t="s">
        <v>27</v>
      </c>
      <c r="C148" s="15" t="s">
        <v>33</v>
      </c>
      <c r="D148" s="15" t="s">
        <v>24</v>
      </c>
      <c r="E148" s="15" t="s">
        <v>14</v>
      </c>
      <c r="F148" s="15" t="s">
        <v>59</v>
      </c>
    </row>
    <row r="149" spans="1:7" x14ac:dyDescent="0.3">
      <c r="A149" s="17" t="s">
        <v>23</v>
      </c>
      <c r="B149" s="15">
        <v>1517</v>
      </c>
      <c r="C149" s="15">
        <v>1274</v>
      </c>
      <c r="D149" s="15">
        <v>1577</v>
      </c>
      <c r="E149" s="15">
        <v>1440</v>
      </c>
      <c r="F149" s="15">
        <v>5808</v>
      </c>
    </row>
    <row r="150" spans="1:7" x14ac:dyDescent="0.3">
      <c r="A150" s="17" t="s">
        <v>19</v>
      </c>
      <c r="B150" s="15">
        <v>1669</v>
      </c>
      <c r="C150" s="15">
        <v>1539</v>
      </c>
      <c r="D150" s="15">
        <v>1389</v>
      </c>
      <c r="E150" s="15">
        <v>1889</v>
      </c>
      <c r="F150" s="15">
        <v>6486</v>
      </c>
    </row>
    <row r="151" spans="1:7" x14ac:dyDescent="0.3">
      <c r="A151" s="17" t="s">
        <v>32</v>
      </c>
      <c r="B151" s="15">
        <v>1797</v>
      </c>
      <c r="C151" s="15">
        <v>1623</v>
      </c>
      <c r="D151" s="15">
        <v>1463</v>
      </c>
      <c r="E151" s="15">
        <v>1473</v>
      </c>
      <c r="F151" s="15">
        <v>6356</v>
      </c>
    </row>
    <row r="152" spans="1:7" x14ac:dyDescent="0.3">
      <c r="A152" s="17" t="s">
        <v>13</v>
      </c>
      <c r="B152" s="15">
        <v>1939</v>
      </c>
      <c r="C152" s="15">
        <v>1660</v>
      </c>
      <c r="D152" s="15">
        <v>1179</v>
      </c>
      <c r="E152" s="15">
        <v>1927</v>
      </c>
      <c r="F152" s="15">
        <v>6705</v>
      </c>
    </row>
    <row r="153" spans="1:7" x14ac:dyDescent="0.3">
      <c r="A153" s="17" t="s">
        <v>59</v>
      </c>
      <c r="B153" s="15">
        <v>6922</v>
      </c>
      <c r="C153" s="15">
        <v>6096</v>
      </c>
      <c r="D153" s="15">
        <v>5608</v>
      </c>
      <c r="E153" s="15">
        <v>6729</v>
      </c>
      <c r="F153" s="15">
        <v>25355</v>
      </c>
    </row>
    <row r="164" spans="1:2" x14ac:dyDescent="0.3">
      <c r="A164" s="16" t="s">
        <v>58</v>
      </c>
      <c r="B164" s="15" t="s">
        <v>83</v>
      </c>
    </row>
    <row r="165" spans="1:2" x14ac:dyDescent="0.3">
      <c r="A165" s="17" t="s">
        <v>27</v>
      </c>
      <c r="B165" s="15">
        <v>6922</v>
      </c>
    </row>
    <row r="166" spans="1:2" x14ac:dyDescent="0.3">
      <c r="A166" s="17" t="s">
        <v>14</v>
      </c>
      <c r="B166" s="15">
        <v>6729</v>
      </c>
    </row>
    <row r="167" spans="1:2" x14ac:dyDescent="0.3">
      <c r="A167" s="17" t="s">
        <v>33</v>
      </c>
      <c r="B167" s="15">
        <v>6096</v>
      </c>
    </row>
    <row r="168" spans="1:2" x14ac:dyDescent="0.3">
      <c r="A168" s="17" t="s">
        <v>24</v>
      </c>
      <c r="B168" s="15">
        <v>5608</v>
      </c>
    </row>
    <row r="169" spans="1:2" x14ac:dyDescent="0.3">
      <c r="A169" s="17" t="s">
        <v>59</v>
      </c>
      <c r="B169" s="15">
        <v>25355</v>
      </c>
    </row>
    <row r="172" spans="1:2" x14ac:dyDescent="0.3">
      <c r="A172" s="33" t="s">
        <v>87</v>
      </c>
      <c r="B172" s="34"/>
    </row>
    <row r="173" spans="1:2" x14ac:dyDescent="0.3">
      <c r="A173" s="16" t="s">
        <v>58</v>
      </c>
      <c r="B173" s="15" t="s">
        <v>86</v>
      </c>
    </row>
    <row r="174" spans="1:2" x14ac:dyDescent="0.3">
      <c r="A174" s="17" t="s">
        <v>33</v>
      </c>
      <c r="B174" s="18">
        <v>-843495.22459999996</v>
      </c>
    </row>
    <row r="175" spans="1:2" x14ac:dyDescent="0.3">
      <c r="A175" s="17" t="s">
        <v>24</v>
      </c>
      <c r="B175" s="18">
        <v>-912451.36920000042</v>
      </c>
    </row>
    <row r="176" spans="1:2" x14ac:dyDescent="0.3">
      <c r="A176" s="17" t="s">
        <v>14</v>
      </c>
      <c r="B176" s="18">
        <v>-1187042.2571999989</v>
      </c>
    </row>
    <row r="177" spans="1:2" x14ac:dyDescent="0.3">
      <c r="A177" s="17" t="s">
        <v>27</v>
      </c>
      <c r="B177" s="18">
        <v>-1212931.5052999998</v>
      </c>
    </row>
    <row r="178" spans="1:2" x14ac:dyDescent="0.3">
      <c r="A178" s="17" t="s">
        <v>59</v>
      </c>
      <c r="B178" s="18">
        <v>-4155920.3562999992</v>
      </c>
    </row>
    <row r="184" spans="1:2" x14ac:dyDescent="0.3">
      <c r="A184" s="16" t="s">
        <v>58</v>
      </c>
      <c r="B184" s="15" t="s">
        <v>60</v>
      </c>
    </row>
    <row r="185" spans="1:2" x14ac:dyDescent="0.3">
      <c r="A185" s="17" t="s">
        <v>27</v>
      </c>
      <c r="B185" s="14">
        <v>0.27411448455463422</v>
      </c>
    </row>
    <row r="186" spans="1:2" x14ac:dyDescent="0.3">
      <c r="A186" s="17" t="s">
        <v>14</v>
      </c>
      <c r="B186" s="14">
        <v>0.25740931772879744</v>
      </c>
    </row>
    <row r="187" spans="1:2" x14ac:dyDescent="0.3">
      <c r="A187" s="17" t="s">
        <v>33</v>
      </c>
      <c r="B187" s="14">
        <v>0.25388166893149222</v>
      </c>
    </row>
    <row r="188" spans="1:2" x14ac:dyDescent="0.3">
      <c r="A188" s="17" t="s">
        <v>24</v>
      </c>
      <c r="B188" s="14">
        <v>0.21459452878507618</v>
      </c>
    </row>
    <row r="189" spans="1:2" x14ac:dyDescent="0.3">
      <c r="A189" s="17" t="s">
        <v>59</v>
      </c>
      <c r="B189" s="14">
        <v>1</v>
      </c>
    </row>
    <row r="193" spans="1:3" x14ac:dyDescent="0.3">
      <c r="A193" s="5" t="s">
        <v>58</v>
      </c>
      <c r="B193" t="s">
        <v>60</v>
      </c>
      <c r="C193" t="s">
        <v>84</v>
      </c>
    </row>
    <row r="194" spans="1:3" x14ac:dyDescent="0.3">
      <c r="A194" s="6" t="s">
        <v>27</v>
      </c>
      <c r="B194" s="7">
        <v>16360844.624700002</v>
      </c>
      <c r="C194" s="10">
        <v>-3.6588745545894141E-2</v>
      </c>
    </row>
    <row r="195" spans="1:3" x14ac:dyDescent="0.3">
      <c r="A195" s="6" t="s">
        <v>14</v>
      </c>
      <c r="B195" s="7">
        <v>15363777.142799992</v>
      </c>
      <c r="C195" s="10">
        <v>-2.405907447757339E-2</v>
      </c>
    </row>
    <row r="196" spans="1:3" x14ac:dyDescent="0.3">
      <c r="A196" s="6" t="s">
        <v>33</v>
      </c>
      <c r="B196" s="7">
        <v>15153225.285399996</v>
      </c>
      <c r="C196" s="10">
        <v>-1.9130797093520975E-3</v>
      </c>
    </row>
    <row r="197" spans="1:3" x14ac:dyDescent="0.3">
      <c r="A197" s="6" t="s">
        <v>24</v>
      </c>
      <c r="B197" s="7">
        <v>12808326.230800003</v>
      </c>
      <c r="C197" s="10">
        <v>-2.2460754346732403E-2</v>
      </c>
    </row>
    <row r="198" spans="1:3" x14ac:dyDescent="0.3">
      <c r="A198" s="6" t="s">
        <v>59</v>
      </c>
      <c r="B198" s="7">
        <v>59686173.283700049</v>
      </c>
      <c r="C198" s="10">
        <v>-2.1607891261330853E-2</v>
      </c>
    </row>
    <row r="204" spans="1:3" x14ac:dyDescent="0.3">
      <c r="A204" s="15" t="s">
        <v>83</v>
      </c>
    </row>
    <row r="205" spans="1:3" x14ac:dyDescent="0.3">
      <c r="A205" s="15">
        <v>25355</v>
      </c>
    </row>
    <row r="208" spans="1:3" x14ac:dyDescent="0.3">
      <c r="A208" s="15" t="s">
        <v>86</v>
      </c>
    </row>
    <row r="209" spans="1:3" x14ac:dyDescent="0.3">
      <c r="A209" s="15">
        <v>-4155920.3563000048</v>
      </c>
    </row>
    <row r="212" spans="1:3" x14ac:dyDescent="0.3">
      <c r="A212" s="15" t="s">
        <v>89</v>
      </c>
    </row>
    <row r="213" spans="1:3" x14ac:dyDescent="0.3">
      <c r="A213" s="15">
        <v>63842093.640000015</v>
      </c>
    </row>
    <row r="216" spans="1:3" x14ac:dyDescent="0.3">
      <c r="A216" s="15" t="s">
        <v>60</v>
      </c>
    </row>
    <row r="217" spans="1:3" x14ac:dyDescent="0.3">
      <c r="A217" s="15">
        <v>59686173.283700012</v>
      </c>
    </row>
    <row r="219" spans="1:3" x14ac:dyDescent="0.3">
      <c r="A219" s="5" t="s">
        <v>58</v>
      </c>
      <c r="B219" t="s">
        <v>83</v>
      </c>
      <c r="C219" t="s">
        <v>84</v>
      </c>
    </row>
    <row r="220" spans="1:3" x14ac:dyDescent="0.3">
      <c r="A220" s="6" t="s">
        <v>31</v>
      </c>
      <c r="B220" s="3">
        <v>4217</v>
      </c>
      <c r="C220" s="10">
        <v>-1.9771899010473167E-2</v>
      </c>
    </row>
    <row r="221" spans="1:3" x14ac:dyDescent="0.3">
      <c r="A221" s="6" t="s">
        <v>40</v>
      </c>
      <c r="B221" s="3">
        <v>4832</v>
      </c>
      <c r="C221" s="10">
        <v>-5.4682045333679895E-3</v>
      </c>
    </row>
    <row r="222" spans="1:3" x14ac:dyDescent="0.3">
      <c r="A222" s="6" t="s">
        <v>12</v>
      </c>
      <c r="B222" s="3">
        <v>4977</v>
      </c>
      <c r="C222" s="10">
        <v>-1.4367830095610299E-2</v>
      </c>
    </row>
    <row r="223" spans="1:3" x14ac:dyDescent="0.3">
      <c r="A223" s="6" t="s">
        <v>36</v>
      </c>
      <c r="B223" s="3">
        <v>5287</v>
      </c>
      <c r="C223" s="10">
        <v>-3.5046056842101152E-2</v>
      </c>
    </row>
    <row r="224" spans="1:3" x14ac:dyDescent="0.3">
      <c r="A224" s="6" t="s">
        <v>22</v>
      </c>
      <c r="B224" s="3">
        <v>6042</v>
      </c>
      <c r="C224" s="10">
        <v>-3.1096443775982661E-2</v>
      </c>
    </row>
    <row r="225" spans="1:4" x14ac:dyDescent="0.3">
      <c r="A225" s="6" t="s">
        <v>59</v>
      </c>
      <c r="B225" s="7">
        <v>25355</v>
      </c>
      <c r="C225" s="10">
        <v>-2.1607891261330846E-2</v>
      </c>
    </row>
    <row r="229" spans="1:4" x14ac:dyDescent="0.3">
      <c r="A229" s="5" t="s">
        <v>58</v>
      </c>
      <c r="B229" s="7" t="s">
        <v>60</v>
      </c>
      <c r="C229" t="s">
        <v>83</v>
      </c>
      <c r="D229" t="s">
        <v>96</v>
      </c>
    </row>
    <row r="230" spans="1:4" x14ac:dyDescent="0.3">
      <c r="A230" s="6" t="s">
        <v>23</v>
      </c>
      <c r="B230" s="7">
        <v>13894660.2795</v>
      </c>
      <c r="C230" s="3">
        <v>5808</v>
      </c>
      <c r="D230" s="3">
        <v>2444.7254424778744</v>
      </c>
    </row>
    <row r="231" spans="1:4" x14ac:dyDescent="0.3">
      <c r="A231" s="6" t="s">
        <v>32</v>
      </c>
      <c r="B231" s="7">
        <v>15202282.224599998</v>
      </c>
      <c r="C231" s="3">
        <v>6356</v>
      </c>
      <c r="D231" s="3">
        <v>2483.7113688212899</v>
      </c>
    </row>
    <row r="232" spans="1:4" x14ac:dyDescent="0.3">
      <c r="A232" s="6" t="s">
        <v>19</v>
      </c>
      <c r="B232" s="7">
        <v>15018888.5976</v>
      </c>
      <c r="C232" s="3">
        <v>6486</v>
      </c>
      <c r="D232" s="3">
        <v>2507.7948770491803</v>
      </c>
    </row>
    <row r="233" spans="1:4" x14ac:dyDescent="0.3">
      <c r="A233" s="6" t="s">
        <v>13</v>
      </c>
      <c r="B233" s="7">
        <v>15570342.181999991</v>
      </c>
      <c r="C233" s="3">
        <v>6705</v>
      </c>
      <c r="D233" s="3">
        <v>2463.2155805243437</v>
      </c>
    </row>
    <row r="234" spans="1:4" x14ac:dyDescent="0.3">
      <c r="A234" s="6" t="s">
        <v>59</v>
      </c>
      <c r="B234" s="7">
        <v>59686173.283700004</v>
      </c>
      <c r="C234" s="3">
        <v>25355</v>
      </c>
      <c r="D234" s="3">
        <v>2475.3045499999998</v>
      </c>
    </row>
    <row r="247" spans="1:2" x14ac:dyDescent="0.3">
      <c r="A247" s="5" t="s">
        <v>58</v>
      </c>
      <c r="B247" t="s">
        <v>83</v>
      </c>
    </row>
    <row r="248" spans="1:2" x14ac:dyDescent="0.3">
      <c r="A248" s="6" t="s">
        <v>24</v>
      </c>
      <c r="B248" s="3">
        <v>5608</v>
      </c>
    </row>
    <row r="249" spans="1:2" x14ac:dyDescent="0.3">
      <c r="A249" s="6" t="s">
        <v>33</v>
      </c>
      <c r="B249" s="3">
        <v>6096</v>
      </c>
    </row>
    <row r="250" spans="1:2" x14ac:dyDescent="0.3">
      <c r="A250" s="6" t="s">
        <v>14</v>
      </c>
      <c r="B250" s="3">
        <v>6729</v>
      </c>
    </row>
    <row r="251" spans="1:2" x14ac:dyDescent="0.3">
      <c r="A251" s="6" t="s">
        <v>27</v>
      </c>
      <c r="B251" s="3">
        <v>6922</v>
      </c>
    </row>
    <row r="252" spans="1:2" x14ac:dyDescent="0.3">
      <c r="A252" s="6" t="s">
        <v>59</v>
      </c>
      <c r="B252" s="3">
        <v>25355</v>
      </c>
    </row>
    <row r="263" spans="1:3" x14ac:dyDescent="0.3">
      <c r="A263" s="5" t="s">
        <v>58</v>
      </c>
      <c r="B263" s="7" t="s">
        <v>60</v>
      </c>
      <c r="C263" t="s">
        <v>96</v>
      </c>
    </row>
    <row r="264" spans="1:3" x14ac:dyDescent="0.3">
      <c r="A264" s="6" t="s">
        <v>24</v>
      </c>
      <c r="B264" s="7">
        <v>12808326.230800003</v>
      </c>
      <c r="C264" s="3">
        <v>2407.9989380530965</v>
      </c>
    </row>
    <row r="265" spans="1:3" x14ac:dyDescent="0.3">
      <c r="A265" s="6" t="s">
        <v>33</v>
      </c>
      <c r="B265" s="7">
        <v>15153225.285399996</v>
      </c>
      <c r="C265" s="3">
        <v>2545.3300813008113</v>
      </c>
    </row>
    <row r="266" spans="1:3" x14ac:dyDescent="0.3">
      <c r="A266" s="6" t="s">
        <v>14</v>
      </c>
      <c r="B266" s="7">
        <v>15363777.142799992</v>
      </c>
      <c r="C266" s="3">
        <v>2472.4161153846126</v>
      </c>
    </row>
    <row r="267" spans="1:3" x14ac:dyDescent="0.3">
      <c r="A267" s="6" t="s">
        <v>27</v>
      </c>
      <c r="B267" s="7">
        <v>16360844.624700002</v>
      </c>
      <c r="C267" s="3">
        <v>2470.5873134328353</v>
      </c>
    </row>
    <row r="268" spans="1:3" x14ac:dyDescent="0.3">
      <c r="A268" s="6" t="s">
        <v>59</v>
      </c>
      <c r="B268" s="7">
        <v>59686173.283700049</v>
      </c>
      <c r="C268" s="3">
        <v>2475.3045500000026</v>
      </c>
    </row>
    <row r="271" spans="1:3" x14ac:dyDescent="0.3">
      <c r="A271" s="5" t="s">
        <v>58</v>
      </c>
      <c r="B271" t="s">
        <v>99</v>
      </c>
    </row>
    <row r="272" spans="1:3" x14ac:dyDescent="0.3">
      <c r="A272" s="6" t="s">
        <v>40</v>
      </c>
      <c r="B272" s="3">
        <v>192</v>
      </c>
    </row>
    <row r="273" spans="1:2" x14ac:dyDescent="0.3">
      <c r="A273" s="6" t="s">
        <v>31</v>
      </c>
      <c r="B273" s="3">
        <v>169</v>
      </c>
    </row>
    <row r="274" spans="1:2" x14ac:dyDescent="0.3">
      <c r="A274" s="6" t="s">
        <v>22</v>
      </c>
      <c r="B274" s="3">
        <v>222</v>
      </c>
    </row>
    <row r="275" spans="1:2" x14ac:dyDescent="0.3">
      <c r="A275" s="6" t="s">
        <v>36</v>
      </c>
      <c r="B275" s="3">
        <v>209</v>
      </c>
    </row>
    <row r="276" spans="1:2" x14ac:dyDescent="0.3">
      <c r="A276" s="6" t="s">
        <v>59</v>
      </c>
      <c r="B276" s="3">
        <v>792</v>
      </c>
    </row>
    <row r="294" spans="1:3" x14ac:dyDescent="0.3">
      <c r="A294" t="s">
        <v>60</v>
      </c>
      <c r="B294" t="s">
        <v>101</v>
      </c>
      <c r="C294" t="s">
        <v>102</v>
      </c>
    </row>
    <row r="295" spans="1:3" x14ac:dyDescent="0.3">
      <c r="A295" s="7">
        <v>59686173.283700012</v>
      </c>
      <c r="B295" s="3">
        <v>1000</v>
      </c>
      <c r="C295" s="7">
        <v>59686.173283700009</v>
      </c>
    </row>
    <row r="299" spans="1:3" x14ac:dyDescent="0.3">
      <c r="A299" s="5" t="s">
        <v>58</v>
      </c>
      <c r="B299" t="s">
        <v>60</v>
      </c>
    </row>
    <row r="300" spans="1:3" x14ac:dyDescent="0.3">
      <c r="A300" s="6" t="s">
        <v>62</v>
      </c>
      <c r="B300" s="10"/>
    </row>
    <row r="301" spans="1:3" x14ac:dyDescent="0.3">
      <c r="A301" s="9" t="s">
        <v>68</v>
      </c>
      <c r="B301" s="10">
        <v>0.10681875579785487</v>
      </c>
    </row>
    <row r="302" spans="1:3" x14ac:dyDescent="0.3">
      <c r="A302" s="9" t="s">
        <v>69</v>
      </c>
      <c r="B302" s="10">
        <v>7.8112722610635843E-2</v>
      </c>
    </row>
    <row r="303" spans="1:3" x14ac:dyDescent="0.3">
      <c r="A303" s="9" t="s">
        <v>70</v>
      </c>
      <c r="B303" s="10">
        <v>8.5642447511306175E-2</v>
      </c>
    </row>
    <row r="304" spans="1:3" x14ac:dyDescent="0.3">
      <c r="A304" s="9" t="s">
        <v>71</v>
      </c>
      <c r="B304" s="10">
        <v>7.5699268162562838E-2</v>
      </c>
    </row>
    <row r="305" spans="1:7" x14ac:dyDescent="0.3">
      <c r="A305" s="9" t="s">
        <v>72</v>
      </c>
      <c r="B305" s="10">
        <v>8.1731857117270212E-2</v>
      </c>
    </row>
    <row r="306" spans="1:7" x14ac:dyDescent="0.3">
      <c r="A306" s="9" t="s">
        <v>73</v>
      </c>
      <c r="B306" s="10">
        <v>8.8732644556161269E-2</v>
      </c>
    </row>
    <row r="307" spans="1:7" x14ac:dyDescent="0.3">
      <c r="A307" s="9" t="s">
        <v>74</v>
      </c>
      <c r="B307" s="10">
        <v>6.7077182042986794E-2</v>
      </c>
    </row>
    <row r="308" spans="1:7" x14ac:dyDescent="0.3">
      <c r="A308" s="9" t="s">
        <v>75</v>
      </c>
      <c r="B308" s="10">
        <v>9.5918190537832113E-2</v>
      </c>
    </row>
    <row r="309" spans="1:7" x14ac:dyDescent="0.3">
      <c r="A309" s="9" t="s">
        <v>76</v>
      </c>
      <c r="B309" s="10">
        <v>6.4255972195948668E-2</v>
      </c>
    </row>
    <row r="310" spans="1:7" x14ac:dyDescent="0.3">
      <c r="A310" s="9" t="s">
        <v>77</v>
      </c>
      <c r="B310" s="10">
        <v>9.5133752201042518E-2</v>
      </c>
    </row>
    <row r="311" spans="1:7" x14ac:dyDescent="0.3">
      <c r="A311" s="9" t="s">
        <v>78</v>
      </c>
      <c r="B311" s="10">
        <v>6.9657416921976023E-2</v>
      </c>
    </row>
    <row r="312" spans="1:7" x14ac:dyDescent="0.3">
      <c r="A312" s="9" t="s">
        <v>79</v>
      </c>
      <c r="B312" s="10">
        <v>9.0443258882442479E-2</v>
      </c>
    </row>
    <row r="313" spans="1:7" x14ac:dyDescent="0.3">
      <c r="A313" s="6" t="s">
        <v>67</v>
      </c>
      <c r="B313" s="10"/>
    </row>
    <row r="314" spans="1:7" x14ac:dyDescent="0.3">
      <c r="A314" s="9" t="s">
        <v>68</v>
      </c>
      <c r="B314" s="10">
        <v>7.7653146198028184E-4</v>
      </c>
    </row>
    <row r="315" spans="1:7" x14ac:dyDescent="0.3">
      <c r="A315" s="6" t="s">
        <v>59</v>
      </c>
      <c r="B315" s="10">
        <v>1</v>
      </c>
    </row>
    <row r="319" spans="1:7" x14ac:dyDescent="0.3">
      <c r="A319" s="5" t="s">
        <v>60</v>
      </c>
      <c r="B319" s="5" t="s">
        <v>85</v>
      </c>
    </row>
    <row r="320" spans="1:7" x14ac:dyDescent="0.3">
      <c r="A320" s="5" t="s">
        <v>58</v>
      </c>
      <c r="B320" t="s">
        <v>40</v>
      </c>
      <c r="C320" t="s">
        <v>12</v>
      </c>
      <c r="D320" t="s">
        <v>31</v>
      </c>
      <c r="E320" t="s">
        <v>22</v>
      </c>
      <c r="F320" t="s">
        <v>36</v>
      </c>
      <c r="G320" t="s">
        <v>59</v>
      </c>
    </row>
    <row r="321" spans="1:7" x14ac:dyDescent="0.3">
      <c r="A321" s="6" t="s">
        <v>62</v>
      </c>
      <c r="B321" s="7"/>
      <c r="C321" s="7"/>
      <c r="D321" s="7"/>
      <c r="E321" s="7"/>
      <c r="F321" s="7"/>
      <c r="G321" s="7"/>
    </row>
    <row r="322" spans="1:7" x14ac:dyDescent="0.3">
      <c r="A322" s="26" t="s">
        <v>63</v>
      </c>
      <c r="B322" s="7">
        <v>2882397.3272999991</v>
      </c>
      <c r="C322" s="7">
        <v>3382340.9510999992</v>
      </c>
      <c r="D322" s="7">
        <v>2914396.6551000001</v>
      </c>
      <c r="E322" s="7">
        <v>3074893.6319000004</v>
      </c>
      <c r="F322" s="7">
        <v>3895493.6630999995</v>
      </c>
      <c r="G322" s="7">
        <v>16149522.228500001</v>
      </c>
    </row>
    <row r="323" spans="1:7" x14ac:dyDescent="0.3">
      <c r="A323" s="26" t="s">
        <v>64</v>
      </c>
      <c r="B323" s="7">
        <v>2986487.2214999995</v>
      </c>
      <c r="C323" s="7">
        <v>3030427.4931000005</v>
      </c>
      <c r="D323" s="7">
        <v>2660621.2568000001</v>
      </c>
      <c r="E323" s="7">
        <v>3120038.6709000007</v>
      </c>
      <c r="F323" s="7">
        <v>2894998.7803000002</v>
      </c>
      <c r="G323" s="7">
        <v>14692573.422600001</v>
      </c>
    </row>
    <row r="324" spans="1:7" x14ac:dyDescent="0.3">
      <c r="A324" s="26" t="s">
        <v>65</v>
      </c>
      <c r="B324" s="7">
        <v>2474497.5472000004</v>
      </c>
      <c r="C324" s="7">
        <v>2850130.9751000013</v>
      </c>
      <c r="D324" s="7">
        <v>2418924.9046999998</v>
      </c>
      <c r="E324" s="7">
        <v>2668479.3337000003</v>
      </c>
      <c r="F324" s="7">
        <v>3151730.3826000001</v>
      </c>
      <c r="G324" s="7">
        <v>13563763.143300002</v>
      </c>
    </row>
    <row r="325" spans="1:7" x14ac:dyDescent="0.3">
      <c r="A325" s="26" t="s">
        <v>66</v>
      </c>
      <c r="B325" s="7">
        <v>3103787.5049000001</v>
      </c>
      <c r="C325" s="7">
        <v>2501762.3086000006</v>
      </c>
      <c r="D325" s="7">
        <v>1833748.0340999993</v>
      </c>
      <c r="E325" s="7">
        <v>4798167.3171999995</v>
      </c>
      <c r="F325" s="7">
        <v>2996501.1330999997</v>
      </c>
      <c r="G325" s="7">
        <v>15233966.297899999</v>
      </c>
    </row>
    <row r="326" spans="1:7" x14ac:dyDescent="0.3">
      <c r="A326" s="6" t="s">
        <v>67</v>
      </c>
      <c r="B326" s="7"/>
      <c r="C326" s="7"/>
      <c r="D326" s="7"/>
      <c r="E326" s="7"/>
      <c r="F326" s="7"/>
      <c r="G326" s="7"/>
    </row>
    <row r="327" spans="1:7" x14ac:dyDescent="0.3">
      <c r="A327" s="26" t="s">
        <v>63</v>
      </c>
      <c r="B327" s="7">
        <v>29475.9624</v>
      </c>
      <c r="C327" s="7">
        <v>4041.9807999999998</v>
      </c>
      <c r="D327" s="7"/>
      <c r="E327" s="7">
        <v>12830.2482</v>
      </c>
      <c r="F327" s="7"/>
      <c r="G327" s="7">
        <v>46348.191400000003</v>
      </c>
    </row>
    <row r="328" spans="1:7" x14ac:dyDescent="0.3">
      <c r="A328" s="6" t="s">
        <v>59</v>
      </c>
      <c r="B328" s="7">
        <v>11476645.563299999</v>
      </c>
      <c r="C328" s="7">
        <v>11768703.708700001</v>
      </c>
      <c r="D328" s="7">
        <v>9827690.8507000003</v>
      </c>
      <c r="E328" s="7">
        <v>13674409.2019</v>
      </c>
      <c r="F328" s="7">
        <v>12938723.959099999</v>
      </c>
      <c r="G328" s="7">
        <v>59686173.283700004</v>
      </c>
    </row>
    <row r="336" spans="1:7" x14ac:dyDescent="0.3">
      <c r="A336" s="5" t="s">
        <v>58</v>
      </c>
      <c r="B336" t="s">
        <v>60</v>
      </c>
      <c r="C336" t="s">
        <v>96</v>
      </c>
    </row>
    <row r="337" spans="1:3" x14ac:dyDescent="0.3">
      <c r="A337" s="6" t="s">
        <v>32</v>
      </c>
      <c r="B337" s="7">
        <v>15202282.224599995</v>
      </c>
      <c r="C337" s="7">
        <v>2483.7113688212921</v>
      </c>
    </row>
    <row r="338" spans="1:3" x14ac:dyDescent="0.3">
      <c r="A338" s="26" t="s">
        <v>27</v>
      </c>
      <c r="B338" s="7">
        <v>4159577.4449999998</v>
      </c>
      <c r="C338" s="7">
        <v>2442.0680263157892</v>
      </c>
    </row>
    <row r="339" spans="1:3" x14ac:dyDescent="0.3">
      <c r="A339" s="26" t="s">
        <v>33</v>
      </c>
      <c r="B339" s="7">
        <v>4192155.9304999989</v>
      </c>
      <c r="C339" s="7">
        <v>2573.0483076923083</v>
      </c>
    </row>
    <row r="340" spans="1:3" x14ac:dyDescent="0.3">
      <c r="A340" s="26" t="s">
        <v>24</v>
      </c>
      <c r="B340" s="7">
        <v>3383985.8214999987</v>
      </c>
      <c r="C340" s="7">
        <v>2475.0288888888895</v>
      </c>
    </row>
    <row r="341" spans="1:3" x14ac:dyDescent="0.3">
      <c r="A341" s="26" t="s">
        <v>14</v>
      </c>
      <c r="B341" s="7">
        <v>3466563.0275999992</v>
      </c>
      <c r="C341" s="7">
        <v>2448.2027118644073</v>
      </c>
    </row>
    <row r="342" spans="1:3" x14ac:dyDescent="0.3">
      <c r="A342" s="6" t="s">
        <v>13</v>
      </c>
      <c r="B342" s="7">
        <v>15570342.181999991</v>
      </c>
      <c r="C342" s="7">
        <v>2463.2155805243437</v>
      </c>
    </row>
    <row r="343" spans="1:3" x14ac:dyDescent="0.3">
      <c r="A343" s="26" t="s">
        <v>27</v>
      </c>
      <c r="B343" s="7">
        <v>4424111.8028000006</v>
      </c>
      <c r="C343" s="7">
        <v>2280.6860526315791</v>
      </c>
    </row>
    <row r="344" spans="1:3" x14ac:dyDescent="0.3">
      <c r="A344" s="26" t="s">
        <v>33</v>
      </c>
      <c r="B344" s="7">
        <v>3799465.8435000004</v>
      </c>
      <c r="C344" s="7">
        <v>2452.1506153846158</v>
      </c>
    </row>
    <row r="345" spans="1:3" x14ac:dyDescent="0.3">
      <c r="A345" s="26" t="s">
        <v>24</v>
      </c>
      <c r="B345" s="7">
        <v>3172617.0758000012</v>
      </c>
      <c r="C345" s="7">
        <v>2914.0958333333328</v>
      </c>
    </row>
    <row r="346" spans="1:3" x14ac:dyDescent="0.3">
      <c r="A346" s="26" t="s">
        <v>14</v>
      </c>
      <c r="B346" s="7">
        <v>4174147.4599000011</v>
      </c>
      <c r="C346" s="7">
        <v>2372.8208974358972</v>
      </c>
    </row>
    <row r="347" spans="1:3" x14ac:dyDescent="0.3">
      <c r="A347" s="6" t="s">
        <v>23</v>
      </c>
      <c r="B347" s="7">
        <v>13894660.279500004</v>
      </c>
      <c r="C347" s="7">
        <v>2444.7254424778753</v>
      </c>
    </row>
    <row r="348" spans="1:3" x14ac:dyDescent="0.3">
      <c r="A348" s="26" t="s">
        <v>27</v>
      </c>
      <c r="B348" s="7">
        <v>3907815.9484000006</v>
      </c>
      <c r="C348" s="7">
        <v>2679.6709090909085</v>
      </c>
    </row>
    <row r="349" spans="1:3" x14ac:dyDescent="0.3">
      <c r="A349" s="26" t="s">
        <v>33</v>
      </c>
      <c r="B349" s="7">
        <v>3246712.0266</v>
      </c>
      <c r="C349" s="7">
        <v>2432.7824561403513</v>
      </c>
    </row>
    <row r="350" spans="1:3" x14ac:dyDescent="0.3">
      <c r="A350" s="26" t="s">
        <v>24</v>
      </c>
      <c r="B350" s="7">
        <v>3307592.2702000001</v>
      </c>
      <c r="C350" s="7">
        <v>2193.6034482758623</v>
      </c>
    </row>
    <row r="351" spans="1:3" x14ac:dyDescent="0.3">
      <c r="A351" s="26" t="s">
        <v>14</v>
      </c>
      <c r="B351" s="7">
        <v>3432540.0343000009</v>
      </c>
      <c r="C351" s="7">
        <v>2486.2223214285718</v>
      </c>
    </row>
    <row r="352" spans="1:3" x14ac:dyDescent="0.3">
      <c r="A352" s="6" t="s">
        <v>19</v>
      </c>
      <c r="B352" s="7">
        <v>15018888.597600009</v>
      </c>
      <c r="C352" s="7">
        <v>2507.7948770491817</v>
      </c>
    </row>
    <row r="353" spans="1:4" x14ac:dyDescent="0.3">
      <c r="A353" s="26" t="s">
        <v>27</v>
      </c>
      <c r="B353" s="7">
        <v>3869339.4285000004</v>
      </c>
      <c r="C353" s="7">
        <v>2554.1998360655739</v>
      </c>
    </row>
    <row r="354" spans="1:4" x14ac:dyDescent="0.3">
      <c r="A354" s="26" t="s">
        <v>33</v>
      </c>
      <c r="B354" s="7">
        <v>3914891.4848000007</v>
      </c>
      <c r="C354" s="7">
        <v>2726.1808474576274</v>
      </c>
    </row>
    <row r="355" spans="1:4" x14ac:dyDescent="0.3">
      <c r="A355" s="26" t="s">
        <v>24</v>
      </c>
      <c r="B355" s="7">
        <v>2944131.0632999996</v>
      </c>
      <c r="C355" s="7">
        <v>2125.883157894737</v>
      </c>
    </row>
    <row r="356" spans="1:4" x14ac:dyDescent="0.3">
      <c r="A356" s="26" t="s">
        <v>14</v>
      </c>
      <c r="B356" s="7">
        <v>4290526.6210000003</v>
      </c>
      <c r="C356" s="7">
        <v>2598.1455223880594</v>
      </c>
    </row>
    <row r="357" spans="1:4" x14ac:dyDescent="0.3">
      <c r="A357" s="6" t="s">
        <v>59</v>
      </c>
      <c r="B357" s="7">
        <v>59686173.283700034</v>
      </c>
      <c r="C357" s="7">
        <v>2475.3045499999989</v>
      </c>
    </row>
    <row r="360" spans="1:4" x14ac:dyDescent="0.3">
      <c r="A360" s="5" t="s">
        <v>60</v>
      </c>
      <c r="B360" s="5" t="s">
        <v>85</v>
      </c>
    </row>
    <row r="361" spans="1:4" x14ac:dyDescent="0.3">
      <c r="A361" s="5" t="s">
        <v>58</v>
      </c>
      <c r="B361" t="s">
        <v>105</v>
      </c>
      <c r="C361" t="s">
        <v>106</v>
      </c>
      <c r="D361" t="s">
        <v>59</v>
      </c>
    </row>
    <row r="362" spans="1:4" x14ac:dyDescent="0.3">
      <c r="A362" s="6" t="s">
        <v>32</v>
      </c>
      <c r="B362" s="10">
        <v>0.73818335755803099</v>
      </c>
      <c r="C362" s="10">
        <v>0.26181664244196895</v>
      </c>
      <c r="D362" s="10">
        <v>1</v>
      </c>
    </row>
    <row r="363" spans="1:4" x14ac:dyDescent="0.3">
      <c r="A363" s="6" t="s">
        <v>13</v>
      </c>
      <c r="B363" s="10">
        <v>0.67395631496340602</v>
      </c>
      <c r="C363" s="10">
        <v>0.32604368503659403</v>
      </c>
      <c r="D363" s="10">
        <v>1</v>
      </c>
    </row>
    <row r="364" spans="1:4" x14ac:dyDescent="0.3">
      <c r="A364" s="6" t="s">
        <v>23</v>
      </c>
      <c r="B364" s="10">
        <v>0.73734882014464576</v>
      </c>
      <c r="C364" s="10">
        <v>0.26265117985535413</v>
      </c>
      <c r="D364" s="10">
        <v>1</v>
      </c>
    </row>
    <row r="365" spans="1:4" x14ac:dyDescent="0.3">
      <c r="A365" s="6" t="s">
        <v>19</v>
      </c>
      <c r="B365" s="10">
        <v>0.6855335528719001</v>
      </c>
      <c r="C365" s="10">
        <v>0.31446644712809985</v>
      </c>
      <c r="D365" s="10">
        <v>1</v>
      </c>
    </row>
    <row r="366" spans="1:4" x14ac:dyDescent="0.3">
      <c r="A366" s="6" t="s">
        <v>59</v>
      </c>
      <c r="B366" s="10">
        <v>0.70798584117370722</v>
      </c>
      <c r="C366" s="10">
        <v>0.29201415882629278</v>
      </c>
      <c r="D366" s="10">
        <v>1</v>
      </c>
    </row>
    <row r="378" spans="1:3" x14ac:dyDescent="0.3">
      <c r="A378" s="5" t="s">
        <v>58</v>
      </c>
      <c r="B378" t="s">
        <v>107</v>
      </c>
      <c r="C378" t="s">
        <v>60</v>
      </c>
    </row>
    <row r="379" spans="1:3" x14ac:dyDescent="0.3">
      <c r="A379" s="6" t="s">
        <v>27</v>
      </c>
      <c r="B379" s="7">
        <v>662117.39999999991</v>
      </c>
      <c r="C379" s="7">
        <v>16360844.624700002</v>
      </c>
    </row>
    <row r="380" spans="1:3" x14ac:dyDescent="0.3">
      <c r="A380" s="6" t="s">
        <v>14</v>
      </c>
      <c r="B380" s="7">
        <v>642828.18999999925</v>
      </c>
      <c r="C380" s="7">
        <v>15363777.142799992</v>
      </c>
    </row>
    <row r="381" spans="1:3" x14ac:dyDescent="0.3">
      <c r="A381" s="6" t="s">
        <v>33</v>
      </c>
      <c r="B381" s="7">
        <v>626151.1999999996</v>
      </c>
      <c r="C381" s="7">
        <v>15153225.285399996</v>
      </c>
    </row>
    <row r="382" spans="1:3" x14ac:dyDescent="0.3">
      <c r="A382" s="6" t="s">
        <v>24</v>
      </c>
      <c r="B382" s="7">
        <v>544207.75999999978</v>
      </c>
      <c r="C382" s="7">
        <v>12808326.230800003</v>
      </c>
    </row>
    <row r="383" spans="1:3" x14ac:dyDescent="0.3">
      <c r="A383" s="6" t="s">
        <v>59</v>
      </c>
      <c r="B383" s="7">
        <v>2475304.5499999989</v>
      </c>
      <c r="C383" s="7">
        <v>59686173.283699989</v>
      </c>
    </row>
    <row r="386" spans="1:3" x14ac:dyDescent="0.3">
      <c r="A386" s="40" t="s">
        <v>58</v>
      </c>
      <c r="B386" s="40" t="s">
        <v>107</v>
      </c>
      <c r="C386" s="40" t="s">
        <v>60</v>
      </c>
    </row>
    <row r="387" spans="1:3" x14ac:dyDescent="0.3">
      <c r="A387" s="6" t="s">
        <v>27</v>
      </c>
      <c r="B387" s="7">
        <v>662117.39999999991</v>
      </c>
      <c r="C387" s="7">
        <v>16360844.624700002</v>
      </c>
    </row>
    <row r="388" spans="1:3" x14ac:dyDescent="0.3">
      <c r="A388" s="6" t="s">
        <v>33</v>
      </c>
      <c r="B388" s="7">
        <v>642828.18999999925</v>
      </c>
      <c r="C388" s="7">
        <v>15363777.142799992</v>
      </c>
    </row>
    <row r="389" spans="1:3" x14ac:dyDescent="0.3">
      <c r="A389" s="6" t="s">
        <v>24</v>
      </c>
      <c r="B389" s="7">
        <v>626151.1999999996</v>
      </c>
      <c r="C389" s="7">
        <v>15153225.285399996</v>
      </c>
    </row>
    <row r="390" spans="1:3" x14ac:dyDescent="0.3">
      <c r="A390" s="6" t="s">
        <v>14</v>
      </c>
      <c r="B390" s="7">
        <v>544207.75999999978</v>
      </c>
      <c r="C390" s="7">
        <v>12808326.230800003</v>
      </c>
    </row>
    <row r="396" spans="1:3" x14ac:dyDescent="0.3">
      <c r="A396" s="5" t="s">
        <v>58</v>
      </c>
      <c r="B396" t="s">
        <v>60</v>
      </c>
    </row>
    <row r="397" spans="1:3" x14ac:dyDescent="0.3">
      <c r="A397" s="6" t="s">
        <v>28</v>
      </c>
      <c r="B397" s="7">
        <v>31164860.843100041</v>
      </c>
    </row>
    <row r="398" spans="1:3" x14ac:dyDescent="0.3">
      <c r="A398" s="6" t="s">
        <v>15</v>
      </c>
      <c r="B398" s="7">
        <v>28521312.440600011</v>
      </c>
    </row>
    <row r="399" spans="1:3" x14ac:dyDescent="0.3">
      <c r="A399" s="6" t="s">
        <v>59</v>
      </c>
      <c r="B399" s="7">
        <v>59686173.283700049</v>
      </c>
    </row>
  </sheetData>
  <mergeCells count="4">
    <mergeCell ref="A77:C77"/>
    <mergeCell ref="A90:B90"/>
    <mergeCell ref="A172:B172"/>
    <mergeCell ref="A43:B43"/>
  </mergeCells>
  <pageMargins left="0.7" right="0.7" top="0.75" bottom="0.75" header="0.3" footer="0.3"/>
  <pageSetup orientation="portrait" r:id="rId33"/>
  <drawing r:id="rId3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1001"/>
  <sheetViews>
    <sheetView tabSelected="1" topLeftCell="G103" workbookViewId="0">
      <selection activeCell="I21" sqref="I21"/>
    </sheetView>
  </sheetViews>
  <sheetFormatPr defaultRowHeight="14.4" x14ac:dyDescent="0.3"/>
  <cols>
    <col min="1" max="1" width="14.44140625" customWidth="1"/>
    <col min="2" max="2" width="13.109375" customWidth="1"/>
    <col min="3" max="3" width="11.5546875" style="2" customWidth="1"/>
    <col min="4" max="4" width="13.33203125" customWidth="1"/>
    <col min="5" max="5" width="15.88671875" customWidth="1"/>
    <col min="6" max="7" width="13.6640625" customWidth="1"/>
    <col min="8" max="8" width="15.6640625" style="3" customWidth="1"/>
    <col min="9" max="12" width="15.109375" style="3" customWidth="1"/>
    <col min="13" max="13" width="15.109375" style="8" customWidth="1"/>
    <col min="14" max="15" width="15.109375" style="4" customWidth="1"/>
    <col min="16" max="16" width="13" customWidth="1"/>
    <col min="17" max="17" width="14.88671875" customWidth="1"/>
    <col min="18" max="18" width="12.109375" customWidth="1"/>
    <col min="19" max="19" width="13.33203125" customWidth="1"/>
    <col min="20" max="20" width="17.77734375" customWidth="1"/>
  </cols>
  <sheetData>
    <row r="1" spans="1:22" x14ac:dyDescent="0.3">
      <c r="A1" t="s">
        <v>0</v>
      </c>
      <c r="B1" t="s">
        <v>1</v>
      </c>
      <c r="C1" s="2" t="s">
        <v>2</v>
      </c>
      <c r="D1" t="s">
        <v>3</v>
      </c>
      <c r="E1" t="s">
        <v>4</v>
      </c>
      <c r="F1" t="s">
        <v>5</v>
      </c>
      <c r="G1" t="s">
        <v>100</v>
      </c>
      <c r="H1" s="3" t="s">
        <v>6</v>
      </c>
      <c r="I1" s="3" t="s">
        <v>104</v>
      </c>
      <c r="J1" s="3" t="s">
        <v>55</v>
      </c>
      <c r="K1" s="3" t="s">
        <v>52</v>
      </c>
      <c r="L1" s="3" t="s">
        <v>53</v>
      </c>
      <c r="M1" s="8" t="s">
        <v>54</v>
      </c>
      <c r="N1" s="4" t="s">
        <v>56</v>
      </c>
      <c r="O1" s="4" t="s">
        <v>57</v>
      </c>
      <c r="P1" t="s">
        <v>7</v>
      </c>
      <c r="Q1" t="s">
        <v>8</v>
      </c>
      <c r="R1" t="s">
        <v>9</v>
      </c>
      <c r="S1" t="s">
        <v>10</v>
      </c>
      <c r="T1" t="s">
        <v>11</v>
      </c>
      <c r="U1" t="s">
        <v>103</v>
      </c>
    </row>
    <row r="2" spans="1:22" x14ac:dyDescent="0.3">
      <c r="A2">
        <v>1001</v>
      </c>
      <c r="B2" s="1">
        <v>45141</v>
      </c>
      <c r="C2" s="2" t="s">
        <v>12</v>
      </c>
      <c r="D2" t="s">
        <v>19</v>
      </c>
      <c r="E2">
        <v>20</v>
      </c>
      <c r="F2" t="s">
        <v>24</v>
      </c>
      <c r="G2">
        <f>1</f>
        <v>1</v>
      </c>
      <c r="H2" s="3">
        <v>2153.52</v>
      </c>
      <c r="I2" s="3">
        <v>2303.6999999999998</v>
      </c>
      <c r="J2" s="3">
        <f t="shared" ref="J2:J65" si="0">I2*(1-Q2)</f>
        <v>2280.663</v>
      </c>
      <c r="K2" s="41">
        <f>E2*I2*(1-Q2)</f>
        <v>45613.26</v>
      </c>
      <c r="L2" s="3">
        <f>H2*E2</f>
        <v>43070.400000000001</v>
      </c>
      <c r="M2" s="8">
        <f>K2-L2</f>
        <v>2542.8600000000006</v>
      </c>
      <c r="N2" s="4">
        <f t="shared" ref="N2:N65" si="1">(M2/K2)</f>
        <v>5.5748262676248099E-2</v>
      </c>
      <c r="O2" s="4" t="str">
        <f t="shared" ref="O2:O65" si="2">IF(M2&lt;0,"Loss","Profit")</f>
        <v>Profit</v>
      </c>
      <c r="P2" t="s">
        <v>15</v>
      </c>
      <c r="Q2">
        <v>0.01</v>
      </c>
      <c r="R2" t="s">
        <v>16</v>
      </c>
      <c r="S2" t="s">
        <v>20</v>
      </c>
      <c r="T2" t="s">
        <v>21</v>
      </c>
      <c r="U2" t="str">
        <f t="shared" ref="U2:U7" si="3">IF(I2 &gt;=2800, "High-Cost", "Low-Cost")</f>
        <v>Low-Cost</v>
      </c>
    </row>
    <row r="3" spans="1:22" x14ac:dyDescent="0.3">
      <c r="A3">
        <v>1001</v>
      </c>
      <c r="B3" s="1">
        <v>45142</v>
      </c>
      <c r="C3" s="2" t="s">
        <v>22</v>
      </c>
      <c r="D3" t="s">
        <v>19</v>
      </c>
      <c r="E3">
        <v>20</v>
      </c>
      <c r="F3" t="s">
        <v>24</v>
      </c>
      <c r="G3">
        <f>1</f>
        <v>1</v>
      </c>
      <c r="H3" s="3">
        <v>3279.76</v>
      </c>
      <c r="I3" s="3">
        <v>3563.97</v>
      </c>
      <c r="J3" s="3">
        <f t="shared" si="0"/>
        <v>2672.9775</v>
      </c>
      <c r="K3" s="3">
        <f t="shared" ref="K2:K65" si="4">E3*I3*(1-Q3)</f>
        <v>53459.549999999996</v>
      </c>
      <c r="L3" s="3">
        <f t="shared" ref="L3:L66" si="5">H3*E3</f>
        <v>65595.200000000012</v>
      </c>
      <c r="M3" s="8">
        <f t="shared" ref="M3:M66" si="6">K3-L3</f>
        <v>-12135.650000000016</v>
      </c>
      <c r="N3" s="4">
        <f t="shared" si="1"/>
        <v>-0.22700621310879004</v>
      </c>
      <c r="O3" s="4" t="str">
        <f t="shared" si="2"/>
        <v>Loss</v>
      </c>
      <c r="P3" t="s">
        <v>15</v>
      </c>
      <c r="Q3">
        <v>0.25</v>
      </c>
      <c r="R3" t="s">
        <v>16</v>
      </c>
      <c r="S3" t="s">
        <v>20</v>
      </c>
      <c r="T3" t="s">
        <v>45</v>
      </c>
      <c r="U3" t="str">
        <f t="shared" si="3"/>
        <v>High-Cost</v>
      </c>
    </row>
    <row r="4" spans="1:22" x14ac:dyDescent="0.3">
      <c r="A4">
        <v>1001</v>
      </c>
      <c r="B4" s="1">
        <v>45143</v>
      </c>
      <c r="C4" s="2" t="s">
        <v>12</v>
      </c>
      <c r="D4" t="s">
        <v>13</v>
      </c>
      <c r="E4">
        <v>4</v>
      </c>
      <c r="F4" t="s">
        <v>24</v>
      </c>
      <c r="G4">
        <f>1</f>
        <v>1</v>
      </c>
      <c r="H4" s="3">
        <v>1791.83</v>
      </c>
      <c r="I4" s="3">
        <v>1871.22</v>
      </c>
      <c r="J4" s="3">
        <f t="shared" si="0"/>
        <v>1646.6736000000001</v>
      </c>
      <c r="K4" s="3">
        <f t="shared" si="4"/>
        <v>6586.6944000000003</v>
      </c>
      <c r="L4" s="3">
        <f t="shared" si="5"/>
        <v>7167.32</v>
      </c>
      <c r="M4" s="8">
        <f t="shared" si="6"/>
        <v>-580.62559999999939</v>
      </c>
      <c r="N4" s="4">
        <f t="shared" si="1"/>
        <v>-8.8151288755707172E-2</v>
      </c>
      <c r="O4" s="4" t="str">
        <f t="shared" si="2"/>
        <v>Loss</v>
      </c>
      <c r="P4" t="s">
        <v>15</v>
      </c>
      <c r="Q4">
        <v>0.12</v>
      </c>
      <c r="R4" t="s">
        <v>25</v>
      </c>
      <c r="S4" t="s">
        <v>17</v>
      </c>
      <c r="T4" t="s">
        <v>18</v>
      </c>
      <c r="U4" t="str">
        <f t="shared" si="3"/>
        <v>Low-Cost</v>
      </c>
    </row>
    <row r="5" spans="1:22" x14ac:dyDescent="0.3">
      <c r="A5">
        <v>1001</v>
      </c>
      <c r="B5" s="1">
        <v>45207</v>
      </c>
      <c r="C5" s="2" t="s">
        <v>12</v>
      </c>
      <c r="D5" t="s">
        <v>19</v>
      </c>
      <c r="E5">
        <v>33</v>
      </c>
      <c r="F5" t="s">
        <v>14</v>
      </c>
      <c r="G5">
        <f>1</f>
        <v>1</v>
      </c>
      <c r="H5" s="3">
        <v>2933.54</v>
      </c>
      <c r="I5" s="3">
        <v>3307.75</v>
      </c>
      <c r="J5" s="3">
        <f t="shared" si="0"/>
        <v>3274.6725000000001</v>
      </c>
      <c r="K5" s="3">
        <f t="shared" si="4"/>
        <v>108064.1925</v>
      </c>
      <c r="L5" s="3">
        <f t="shared" si="5"/>
        <v>96806.819999999992</v>
      </c>
      <c r="M5" s="8">
        <f t="shared" si="6"/>
        <v>11257.372500000012</v>
      </c>
      <c r="N5" s="4">
        <f t="shared" si="1"/>
        <v>0.10417301272111955</v>
      </c>
      <c r="O5" s="4" t="str">
        <f t="shared" si="2"/>
        <v>Profit</v>
      </c>
      <c r="P5" t="s">
        <v>15</v>
      </c>
      <c r="Q5">
        <v>0.01</v>
      </c>
      <c r="R5" t="s">
        <v>25</v>
      </c>
      <c r="S5" t="s">
        <v>20</v>
      </c>
      <c r="T5" t="s">
        <v>21</v>
      </c>
      <c r="U5" t="str">
        <f t="shared" si="3"/>
        <v>High-Cost</v>
      </c>
    </row>
    <row r="6" spans="1:22" x14ac:dyDescent="0.3">
      <c r="A6">
        <v>1001</v>
      </c>
      <c r="B6" s="1">
        <v>45056</v>
      </c>
      <c r="C6" s="2" t="s">
        <v>22</v>
      </c>
      <c r="D6" t="s">
        <v>32</v>
      </c>
      <c r="E6">
        <v>47</v>
      </c>
      <c r="F6" t="s">
        <v>24</v>
      </c>
      <c r="G6">
        <f>1</f>
        <v>1</v>
      </c>
      <c r="H6" s="3">
        <v>4865.33</v>
      </c>
      <c r="I6" s="3">
        <v>5316.13</v>
      </c>
      <c r="J6" s="3">
        <f t="shared" si="0"/>
        <v>4997.1621999999998</v>
      </c>
      <c r="K6" s="3">
        <f t="shared" si="4"/>
        <v>234866.62340000001</v>
      </c>
      <c r="L6" s="3">
        <f t="shared" si="5"/>
        <v>228670.51</v>
      </c>
      <c r="M6" s="8">
        <f t="shared" si="6"/>
        <v>6196.113400000002</v>
      </c>
      <c r="N6" s="4">
        <f t="shared" si="1"/>
        <v>2.6381413034782027E-2</v>
      </c>
      <c r="O6" s="4" t="str">
        <f t="shared" si="2"/>
        <v>Profit</v>
      </c>
      <c r="P6" t="s">
        <v>28</v>
      </c>
      <c r="Q6">
        <v>0.06</v>
      </c>
      <c r="R6" t="s">
        <v>25</v>
      </c>
      <c r="S6" t="s">
        <v>17</v>
      </c>
      <c r="T6" t="s">
        <v>48</v>
      </c>
      <c r="U6" t="str">
        <f t="shared" si="3"/>
        <v>High-Cost</v>
      </c>
    </row>
    <row r="7" spans="1:22" x14ac:dyDescent="0.3">
      <c r="A7">
        <v>1001</v>
      </c>
      <c r="B7" s="1">
        <v>45209</v>
      </c>
      <c r="C7" s="2" t="s">
        <v>22</v>
      </c>
      <c r="D7" t="s">
        <v>19</v>
      </c>
      <c r="E7">
        <v>18</v>
      </c>
      <c r="F7" t="s">
        <v>14</v>
      </c>
      <c r="G7">
        <f>1</f>
        <v>1</v>
      </c>
      <c r="H7" s="3">
        <v>2602.6</v>
      </c>
      <c r="I7" s="3">
        <v>3013.49</v>
      </c>
      <c r="J7" s="3">
        <f t="shared" si="0"/>
        <v>2772.4108000000001</v>
      </c>
      <c r="K7" s="3">
        <f t="shared" si="4"/>
        <v>49903.394399999997</v>
      </c>
      <c r="L7" s="3">
        <f t="shared" si="5"/>
        <v>46846.799999999996</v>
      </c>
      <c r="M7" s="8">
        <f t="shared" si="6"/>
        <v>3056.5944000000018</v>
      </c>
      <c r="N7" s="4">
        <f t="shared" si="1"/>
        <v>6.1250230304975048E-2</v>
      </c>
      <c r="O7" s="4" t="str">
        <f t="shared" si="2"/>
        <v>Profit</v>
      </c>
      <c r="P7" t="s">
        <v>15</v>
      </c>
      <c r="Q7">
        <v>0.08</v>
      </c>
      <c r="R7" t="s">
        <v>25</v>
      </c>
      <c r="S7" t="s">
        <v>17</v>
      </c>
      <c r="T7" t="s">
        <v>45</v>
      </c>
      <c r="U7" t="str">
        <f t="shared" si="3"/>
        <v>High-Cost</v>
      </c>
    </row>
    <row r="8" spans="1:22" x14ac:dyDescent="0.3">
      <c r="A8">
        <v>1001</v>
      </c>
      <c r="B8" s="1">
        <v>45057</v>
      </c>
      <c r="C8" s="2" t="s">
        <v>36</v>
      </c>
      <c r="D8" t="s">
        <v>32</v>
      </c>
      <c r="E8">
        <v>8</v>
      </c>
      <c r="F8" t="s">
        <v>27</v>
      </c>
      <c r="G8">
        <f>1</f>
        <v>1</v>
      </c>
      <c r="H8" s="3">
        <v>442.11</v>
      </c>
      <c r="I8" s="3">
        <v>803.87</v>
      </c>
      <c r="J8" s="3">
        <f t="shared" si="0"/>
        <v>659.17340000000002</v>
      </c>
      <c r="K8" s="3">
        <f t="shared" si="4"/>
        <v>5273.3872000000001</v>
      </c>
      <c r="L8" s="3">
        <f t="shared" si="5"/>
        <v>3536.88</v>
      </c>
      <c r="M8" s="8">
        <f t="shared" si="6"/>
        <v>1736.5072</v>
      </c>
      <c r="N8" s="4">
        <f t="shared" si="1"/>
        <v>0.32929635813581071</v>
      </c>
      <c r="O8" s="4" t="str">
        <f t="shared" si="2"/>
        <v>Profit</v>
      </c>
      <c r="P8" t="s">
        <v>28</v>
      </c>
      <c r="Q8">
        <v>0.18</v>
      </c>
      <c r="R8" t="s">
        <v>16</v>
      </c>
      <c r="S8" t="s">
        <v>20</v>
      </c>
      <c r="T8" t="s">
        <v>46</v>
      </c>
      <c r="U8" t="str">
        <f t="shared" ref="U8:U71" si="7">IF(I8 &gt;=2800, "High-Cost", "Low-Cost")</f>
        <v>Low-Cost</v>
      </c>
    </row>
    <row r="9" spans="1:22" x14ac:dyDescent="0.3">
      <c r="A9">
        <v>1001</v>
      </c>
      <c r="B9" s="1">
        <v>45242</v>
      </c>
      <c r="C9" s="2" t="s">
        <v>40</v>
      </c>
      <c r="D9" t="s">
        <v>13</v>
      </c>
      <c r="E9">
        <v>8</v>
      </c>
      <c r="F9" t="s">
        <v>33</v>
      </c>
      <c r="G9">
        <f>1</f>
        <v>1</v>
      </c>
      <c r="H9" s="3">
        <v>3657.91</v>
      </c>
      <c r="I9" s="3">
        <v>3729.27</v>
      </c>
      <c r="J9" s="3">
        <f t="shared" si="0"/>
        <v>3393.6357000000003</v>
      </c>
      <c r="K9" s="3">
        <f t="shared" si="4"/>
        <v>27149.085600000002</v>
      </c>
      <c r="L9" s="3">
        <f t="shared" si="5"/>
        <v>29263.279999999999</v>
      </c>
      <c r="M9" s="8">
        <f t="shared" si="6"/>
        <v>-2114.1943999999967</v>
      </c>
      <c r="N9" s="4">
        <f t="shared" si="1"/>
        <v>-7.7873503039822323E-2</v>
      </c>
      <c r="O9" s="4" t="str">
        <f t="shared" si="2"/>
        <v>Loss</v>
      </c>
      <c r="P9" t="s">
        <v>28</v>
      </c>
      <c r="Q9">
        <v>0.09</v>
      </c>
      <c r="R9" t="s">
        <v>25</v>
      </c>
      <c r="S9" t="s">
        <v>20</v>
      </c>
      <c r="T9" t="s">
        <v>47</v>
      </c>
      <c r="U9" t="str">
        <f t="shared" si="7"/>
        <v>High-Cost</v>
      </c>
    </row>
    <row r="10" spans="1:22" x14ac:dyDescent="0.3">
      <c r="A10">
        <v>1001</v>
      </c>
      <c r="B10" s="1">
        <v>45030</v>
      </c>
      <c r="C10" s="2" t="s">
        <v>22</v>
      </c>
      <c r="D10" t="s">
        <v>32</v>
      </c>
      <c r="E10">
        <v>2</v>
      </c>
      <c r="F10" t="s">
        <v>33</v>
      </c>
      <c r="G10">
        <f>1</f>
        <v>1</v>
      </c>
      <c r="H10" s="3">
        <v>2631.68</v>
      </c>
      <c r="I10" s="3">
        <v>2904.06</v>
      </c>
      <c r="J10" s="3">
        <f t="shared" si="0"/>
        <v>2468.451</v>
      </c>
      <c r="K10" s="3">
        <f t="shared" si="4"/>
        <v>4936.902</v>
      </c>
      <c r="L10" s="3">
        <f t="shared" si="5"/>
        <v>5263.36</v>
      </c>
      <c r="M10" s="8">
        <f t="shared" si="6"/>
        <v>-326.45799999999963</v>
      </c>
      <c r="N10" s="4">
        <f t="shared" si="1"/>
        <v>-6.6126084738971858E-2</v>
      </c>
      <c r="O10" s="4" t="str">
        <f t="shared" si="2"/>
        <v>Loss</v>
      </c>
      <c r="P10" t="s">
        <v>28</v>
      </c>
      <c r="Q10">
        <v>0.15</v>
      </c>
      <c r="R10" t="s">
        <v>25</v>
      </c>
      <c r="S10" t="s">
        <v>17</v>
      </c>
      <c r="T10" t="s">
        <v>48</v>
      </c>
      <c r="U10" t="str">
        <f t="shared" si="7"/>
        <v>High-Cost</v>
      </c>
    </row>
    <row r="11" spans="1:22" x14ac:dyDescent="0.3">
      <c r="A11">
        <v>1001</v>
      </c>
      <c r="B11" s="1">
        <v>45060</v>
      </c>
      <c r="C11" s="2" t="s">
        <v>36</v>
      </c>
      <c r="D11" t="s">
        <v>23</v>
      </c>
      <c r="E11">
        <v>35</v>
      </c>
      <c r="F11" t="s">
        <v>33</v>
      </c>
      <c r="G11">
        <f>1</f>
        <v>1</v>
      </c>
      <c r="H11" s="3">
        <v>2745.75</v>
      </c>
      <c r="I11" s="3">
        <v>3244.76</v>
      </c>
      <c r="J11" s="3">
        <f t="shared" si="0"/>
        <v>3082.5219999999999</v>
      </c>
      <c r="K11" s="3">
        <f t="shared" si="4"/>
        <v>107888.27</v>
      </c>
      <c r="L11" s="3">
        <f t="shared" si="5"/>
        <v>96101.25</v>
      </c>
      <c r="M11" s="8">
        <f t="shared" si="6"/>
        <v>11787.020000000004</v>
      </c>
      <c r="N11" s="4">
        <f t="shared" si="1"/>
        <v>0.10925209941729536</v>
      </c>
      <c r="O11" s="4" t="str">
        <f t="shared" si="2"/>
        <v>Profit</v>
      </c>
      <c r="P11" t="s">
        <v>28</v>
      </c>
      <c r="Q11">
        <v>0.05</v>
      </c>
      <c r="R11" t="s">
        <v>25</v>
      </c>
      <c r="S11" t="s">
        <v>17</v>
      </c>
      <c r="T11" t="s">
        <v>37</v>
      </c>
      <c r="U11" t="str">
        <f t="shared" si="7"/>
        <v>High-Cost</v>
      </c>
    </row>
    <row r="12" spans="1:22" x14ac:dyDescent="0.3">
      <c r="A12">
        <v>1001</v>
      </c>
      <c r="B12" s="1">
        <v>45183</v>
      </c>
      <c r="C12" s="2" t="s">
        <v>36</v>
      </c>
      <c r="D12" t="s">
        <v>23</v>
      </c>
      <c r="E12">
        <v>39</v>
      </c>
      <c r="F12" t="s">
        <v>24</v>
      </c>
      <c r="G12">
        <f>1</f>
        <v>1</v>
      </c>
      <c r="H12" s="3">
        <v>2437.2600000000002</v>
      </c>
      <c r="I12" s="3">
        <v>2889.67</v>
      </c>
      <c r="J12" s="3">
        <f t="shared" si="0"/>
        <v>2167.2525000000001</v>
      </c>
      <c r="K12" s="3">
        <f t="shared" si="4"/>
        <v>84522.847500000003</v>
      </c>
      <c r="L12" s="3">
        <f t="shared" si="5"/>
        <v>95053.140000000014</v>
      </c>
      <c r="M12" s="8">
        <f t="shared" si="6"/>
        <v>-10530.29250000001</v>
      </c>
      <c r="N12" s="4">
        <f t="shared" si="1"/>
        <v>-0.12458516024321128</v>
      </c>
      <c r="O12" s="4" t="str">
        <f t="shared" si="2"/>
        <v>Loss</v>
      </c>
      <c r="P12" t="s">
        <v>15</v>
      </c>
      <c r="Q12">
        <v>0.25</v>
      </c>
      <c r="R12" t="s">
        <v>16</v>
      </c>
      <c r="S12" t="s">
        <v>17</v>
      </c>
      <c r="T12" t="s">
        <v>37</v>
      </c>
      <c r="U12" t="str">
        <f t="shared" si="7"/>
        <v>High-Cost</v>
      </c>
    </row>
    <row r="13" spans="1:22" x14ac:dyDescent="0.3">
      <c r="A13">
        <v>1001</v>
      </c>
      <c r="B13" s="1">
        <v>45244</v>
      </c>
      <c r="C13" s="2" t="s">
        <v>22</v>
      </c>
      <c r="D13" t="s">
        <v>13</v>
      </c>
      <c r="E13">
        <v>36</v>
      </c>
      <c r="F13" t="s">
        <v>14</v>
      </c>
      <c r="G13">
        <f>1</f>
        <v>1</v>
      </c>
      <c r="H13" s="3">
        <v>666.84</v>
      </c>
      <c r="I13" s="3">
        <v>682.24</v>
      </c>
      <c r="J13" s="3">
        <f t="shared" si="0"/>
        <v>573.08159999999998</v>
      </c>
      <c r="K13" s="3">
        <f t="shared" si="4"/>
        <v>20630.937599999997</v>
      </c>
      <c r="L13" s="3">
        <f t="shared" si="5"/>
        <v>24006.240000000002</v>
      </c>
      <c r="M13" s="8">
        <f t="shared" si="6"/>
        <v>-3375.3024000000041</v>
      </c>
      <c r="N13" s="4">
        <f t="shared" si="1"/>
        <v>-0.16360392656124387</v>
      </c>
      <c r="O13" s="4" t="str">
        <f t="shared" si="2"/>
        <v>Loss</v>
      </c>
      <c r="P13" t="s">
        <v>28</v>
      </c>
      <c r="Q13">
        <v>0.16</v>
      </c>
      <c r="R13" t="s">
        <v>25</v>
      </c>
      <c r="S13" t="s">
        <v>20</v>
      </c>
      <c r="T13" t="s">
        <v>43</v>
      </c>
      <c r="U13" t="str">
        <f t="shared" si="7"/>
        <v>Low-Cost</v>
      </c>
      <c r="V13" s="3">
        <f>AVERAGE(I:I)</f>
        <v>2728.4401199999966</v>
      </c>
    </row>
    <row r="14" spans="1:22" x14ac:dyDescent="0.3">
      <c r="A14">
        <v>1001</v>
      </c>
      <c r="B14" s="1">
        <v>44975</v>
      </c>
      <c r="C14" s="2" t="s">
        <v>22</v>
      </c>
      <c r="D14" t="s">
        <v>19</v>
      </c>
      <c r="E14">
        <v>27</v>
      </c>
      <c r="F14" t="s">
        <v>27</v>
      </c>
      <c r="G14">
        <f>1</f>
        <v>1</v>
      </c>
      <c r="H14" s="3">
        <v>939.02</v>
      </c>
      <c r="I14" s="3">
        <v>1286.92</v>
      </c>
      <c r="J14" s="3">
        <f t="shared" si="0"/>
        <v>1196.8355999999999</v>
      </c>
      <c r="K14" s="3">
        <f t="shared" si="4"/>
        <v>32314.5612</v>
      </c>
      <c r="L14" s="3">
        <f t="shared" si="5"/>
        <v>25353.54</v>
      </c>
      <c r="M14" s="8">
        <f t="shared" si="6"/>
        <v>6961.0211999999992</v>
      </c>
      <c r="N14" s="4">
        <f t="shared" si="1"/>
        <v>0.21541438105617844</v>
      </c>
      <c r="O14" s="4" t="str">
        <f t="shared" si="2"/>
        <v>Profit</v>
      </c>
      <c r="P14" t="s">
        <v>15</v>
      </c>
      <c r="Q14">
        <v>7.0000000000000007E-2</v>
      </c>
      <c r="R14" t="s">
        <v>29</v>
      </c>
      <c r="S14" t="s">
        <v>20</v>
      </c>
      <c r="T14" t="s">
        <v>45</v>
      </c>
      <c r="U14" t="str">
        <f t="shared" si="7"/>
        <v>Low-Cost</v>
      </c>
    </row>
    <row r="15" spans="1:22" x14ac:dyDescent="0.3">
      <c r="A15">
        <v>1001</v>
      </c>
      <c r="B15" s="1">
        <v>45282</v>
      </c>
      <c r="C15" s="2" t="s">
        <v>22</v>
      </c>
      <c r="D15" t="s">
        <v>19</v>
      </c>
      <c r="E15">
        <v>45</v>
      </c>
      <c r="F15" t="s">
        <v>27</v>
      </c>
      <c r="G15">
        <f>1</f>
        <v>1</v>
      </c>
      <c r="H15" s="3">
        <v>1372.36</v>
      </c>
      <c r="I15" s="3">
        <v>1687.83</v>
      </c>
      <c r="J15" s="3">
        <f t="shared" si="0"/>
        <v>1654.0734</v>
      </c>
      <c r="K15" s="3">
        <f t="shared" si="4"/>
        <v>74433.302999999985</v>
      </c>
      <c r="L15" s="3">
        <f t="shared" si="5"/>
        <v>61756.2</v>
      </c>
      <c r="M15" s="8">
        <f t="shared" si="6"/>
        <v>12677.102999999988</v>
      </c>
      <c r="N15" s="4">
        <f t="shared" si="1"/>
        <v>0.17031493281978888</v>
      </c>
      <c r="O15" s="4" t="str">
        <f t="shared" si="2"/>
        <v>Profit</v>
      </c>
      <c r="P15" t="s">
        <v>28</v>
      </c>
      <c r="Q15">
        <v>0.02</v>
      </c>
      <c r="R15" t="s">
        <v>29</v>
      </c>
      <c r="S15" t="s">
        <v>17</v>
      </c>
      <c r="T15" t="s">
        <v>45</v>
      </c>
      <c r="U15" t="str">
        <f t="shared" si="7"/>
        <v>Low-Cost</v>
      </c>
    </row>
    <row r="16" spans="1:22" x14ac:dyDescent="0.3">
      <c r="A16">
        <v>1001</v>
      </c>
      <c r="B16" s="1">
        <v>45043</v>
      </c>
      <c r="C16" s="2" t="s">
        <v>36</v>
      </c>
      <c r="D16" t="s">
        <v>32</v>
      </c>
      <c r="E16">
        <v>25</v>
      </c>
      <c r="F16" t="s">
        <v>33</v>
      </c>
      <c r="G16">
        <f>1</f>
        <v>1</v>
      </c>
      <c r="H16" s="3">
        <v>1330.62</v>
      </c>
      <c r="I16" s="3">
        <v>1543.69</v>
      </c>
      <c r="J16" s="3">
        <f t="shared" si="0"/>
        <v>1126.8937000000001</v>
      </c>
      <c r="K16" s="3">
        <f t="shared" si="4"/>
        <v>28172.342499999999</v>
      </c>
      <c r="L16" s="3">
        <f t="shared" si="5"/>
        <v>33265.5</v>
      </c>
      <c r="M16" s="8">
        <f t="shared" si="6"/>
        <v>-5093.1575000000012</v>
      </c>
      <c r="N16" s="4">
        <f t="shared" si="1"/>
        <v>-0.18078572983414501</v>
      </c>
      <c r="O16" s="4" t="str">
        <f t="shared" si="2"/>
        <v>Loss</v>
      </c>
      <c r="P16" t="s">
        <v>28</v>
      </c>
      <c r="Q16">
        <v>0.27</v>
      </c>
      <c r="R16" t="s">
        <v>29</v>
      </c>
      <c r="S16" t="s">
        <v>17</v>
      </c>
      <c r="T16" t="s">
        <v>46</v>
      </c>
      <c r="U16" t="str">
        <f t="shared" si="7"/>
        <v>Low-Cost</v>
      </c>
    </row>
    <row r="17" spans="1:21" x14ac:dyDescent="0.3">
      <c r="A17">
        <v>1001</v>
      </c>
      <c r="B17" s="1">
        <v>45073</v>
      </c>
      <c r="C17" s="2" t="s">
        <v>40</v>
      </c>
      <c r="D17" t="s">
        <v>23</v>
      </c>
      <c r="E17">
        <v>7</v>
      </c>
      <c r="F17" t="s">
        <v>33</v>
      </c>
      <c r="G17">
        <f>1</f>
        <v>1</v>
      </c>
      <c r="H17" s="3">
        <v>4094.68</v>
      </c>
      <c r="I17" s="3">
        <v>4576.5</v>
      </c>
      <c r="J17" s="3">
        <f t="shared" si="0"/>
        <v>3203.5499999999997</v>
      </c>
      <c r="K17" s="3">
        <f t="shared" si="4"/>
        <v>22424.85</v>
      </c>
      <c r="L17" s="3">
        <f t="shared" si="5"/>
        <v>28662.76</v>
      </c>
      <c r="M17" s="8">
        <f t="shared" si="6"/>
        <v>-6237.91</v>
      </c>
      <c r="N17" s="4">
        <f t="shared" si="1"/>
        <v>-0.27816953067690531</v>
      </c>
      <c r="O17" s="4" t="str">
        <f t="shared" si="2"/>
        <v>Loss</v>
      </c>
      <c r="P17" t="s">
        <v>28</v>
      </c>
      <c r="Q17">
        <v>0.3</v>
      </c>
      <c r="R17" t="s">
        <v>16</v>
      </c>
      <c r="S17" t="s">
        <v>20</v>
      </c>
      <c r="T17" t="s">
        <v>41</v>
      </c>
      <c r="U17" t="str">
        <f t="shared" si="7"/>
        <v>High-Cost</v>
      </c>
    </row>
    <row r="18" spans="1:21" x14ac:dyDescent="0.3">
      <c r="A18">
        <v>1002</v>
      </c>
      <c r="B18" s="1">
        <v>45141</v>
      </c>
      <c r="C18" s="2" t="s">
        <v>40</v>
      </c>
      <c r="D18" t="s">
        <v>23</v>
      </c>
      <c r="E18">
        <v>16</v>
      </c>
      <c r="F18" t="s">
        <v>14</v>
      </c>
      <c r="G18">
        <f>1</f>
        <v>1</v>
      </c>
      <c r="H18" s="3">
        <v>2872.4</v>
      </c>
      <c r="I18" s="3">
        <v>3193.76</v>
      </c>
      <c r="J18" s="3">
        <f t="shared" si="0"/>
        <v>3066.0096000000003</v>
      </c>
      <c r="K18" s="3">
        <f t="shared" si="4"/>
        <v>49056.153600000005</v>
      </c>
      <c r="L18" s="3">
        <f t="shared" si="5"/>
        <v>45958.400000000001</v>
      </c>
      <c r="M18" s="8">
        <f t="shared" si="6"/>
        <v>3097.7536000000036</v>
      </c>
      <c r="N18" s="4">
        <f t="shared" si="1"/>
        <v>6.3147095168912787E-2</v>
      </c>
      <c r="O18" s="4" t="str">
        <f t="shared" si="2"/>
        <v>Profit</v>
      </c>
      <c r="P18" t="s">
        <v>15</v>
      </c>
      <c r="Q18">
        <v>0.04</v>
      </c>
      <c r="R18" t="s">
        <v>29</v>
      </c>
      <c r="S18" t="s">
        <v>17</v>
      </c>
      <c r="T18" t="s">
        <v>41</v>
      </c>
      <c r="U18" t="str">
        <f t="shared" si="7"/>
        <v>High-Cost</v>
      </c>
    </row>
    <row r="19" spans="1:21" x14ac:dyDescent="0.3">
      <c r="A19">
        <v>1002</v>
      </c>
      <c r="B19" s="1">
        <v>44930</v>
      </c>
      <c r="C19" s="2" t="s">
        <v>12</v>
      </c>
      <c r="D19" t="s">
        <v>32</v>
      </c>
      <c r="E19">
        <v>17</v>
      </c>
      <c r="F19" t="s">
        <v>14</v>
      </c>
      <c r="G19">
        <f>1</f>
        <v>1</v>
      </c>
      <c r="H19" s="3">
        <v>1727.12</v>
      </c>
      <c r="I19" s="3">
        <v>1865.83</v>
      </c>
      <c r="J19" s="3">
        <f t="shared" si="0"/>
        <v>1474.0056999999999</v>
      </c>
      <c r="K19" s="3">
        <f t="shared" si="4"/>
        <v>25058.0969</v>
      </c>
      <c r="L19" s="3">
        <f t="shared" si="5"/>
        <v>29361.039999999997</v>
      </c>
      <c r="M19" s="8">
        <f t="shared" si="6"/>
        <v>-4302.9430999999968</v>
      </c>
      <c r="N19" s="4">
        <f t="shared" si="1"/>
        <v>-0.17171867110147526</v>
      </c>
      <c r="O19" s="4" t="str">
        <f t="shared" si="2"/>
        <v>Loss</v>
      </c>
      <c r="P19" t="s">
        <v>28</v>
      </c>
      <c r="Q19">
        <v>0.21</v>
      </c>
      <c r="R19" t="s">
        <v>16</v>
      </c>
      <c r="S19" t="s">
        <v>17</v>
      </c>
      <c r="T19" t="s">
        <v>44</v>
      </c>
      <c r="U19" t="str">
        <f t="shared" si="7"/>
        <v>Low-Cost</v>
      </c>
    </row>
    <row r="20" spans="1:21" x14ac:dyDescent="0.3">
      <c r="A20">
        <v>1002</v>
      </c>
      <c r="B20" s="1">
        <v>45027</v>
      </c>
      <c r="C20" s="2" t="s">
        <v>12</v>
      </c>
      <c r="D20" t="s">
        <v>13</v>
      </c>
      <c r="E20">
        <v>21</v>
      </c>
      <c r="F20" t="s">
        <v>24</v>
      </c>
      <c r="G20">
        <f>1</f>
        <v>1</v>
      </c>
      <c r="H20" s="3">
        <v>914.22</v>
      </c>
      <c r="I20" s="3">
        <v>971.57</v>
      </c>
      <c r="J20" s="3">
        <f t="shared" si="0"/>
        <v>835.55020000000002</v>
      </c>
      <c r="K20" s="3">
        <f t="shared" si="4"/>
        <v>17546.554200000002</v>
      </c>
      <c r="L20" s="3">
        <f t="shared" si="5"/>
        <v>19198.62</v>
      </c>
      <c r="M20" s="8">
        <f t="shared" si="6"/>
        <v>-1652.0657999999967</v>
      </c>
      <c r="N20" s="4">
        <f t="shared" si="1"/>
        <v>-9.4153289652734007E-2</v>
      </c>
      <c r="O20" s="4" t="str">
        <f t="shared" si="2"/>
        <v>Loss</v>
      </c>
      <c r="P20" t="s">
        <v>15</v>
      </c>
      <c r="Q20">
        <v>0.14000000000000001</v>
      </c>
      <c r="R20" t="s">
        <v>16</v>
      </c>
      <c r="S20" t="s">
        <v>17</v>
      </c>
      <c r="T20" t="s">
        <v>18</v>
      </c>
      <c r="U20" t="str">
        <f t="shared" si="7"/>
        <v>Low-Cost</v>
      </c>
    </row>
    <row r="21" spans="1:21" x14ac:dyDescent="0.3">
      <c r="A21">
        <v>1002</v>
      </c>
      <c r="B21" s="1">
        <v>45213</v>
      </c>
      <c r="C21" s="2" t="s">
        <v>22</v>
      </c>
      <c r="D21" t="s">
        <v>23</v>
      </c>
      <c r="E21">
        <v>39</v>
      </c>
      <c r="F21" t="s">
        <v>27</v>
      </c>
      <c r="G21">
        <f>1</f>
        <v>1</v>
      </c>
      <c r="H21" s="3">
        <v>1004.71</v>
      </c>
      <c r="I21" s="3">
        <v>1389.35</v>
      </c>
      <c r="J21" s="3">
        <f t="shared" si="0"/>
        <v>1055.9059999999999</v>
      </c>
      <c r="K21" s="3">
        <f t="shared" si="4"/>
        <v>41180.333999999995</v>
      </c>
      <c r="L21" s="3">
        <f t="shared" si="5"/>
        <v>39183.69</v>
      </c>
      <c r="M21" s="8">
        <f t="shared" si="6"/>
        <v>1996.643999999993</v>
      </c>
      <c r="N21" s="4">
        <f t="shared" si="1"/>
        <v>4.8485376539199349E-2</v>
      </c>
      <c r="O21" s="4" t="str">
        <f t="shared" si="2"/>
        <v>Profit</v>
      </c>
      <c r="P21" t="s">
        <v>28</v>
      </c>
      <c r="Q21">
        <v>0.24</v>
      </c>
      <c r="R21" t="s">
        <v>25</v>
      </c>
      <c r="S21" t="s">
        <v>17</v>
      </c>
      <c r="T21" t="s">
        <v>26</v>
      </c>
      <c r="U21" t="str">
        <f t="shared" si="7"/>
        <v>Low-Cost</v>
      </c>
    </row>
    <row r="22" spans="1:21" x14ac:dyDescent="0.3">
      <c r="A22">
        <v>1002</v>
      </c>
      <c r="B22" s="1">
        <v>45096</v>
      </c>
      <c r="C22" s="2" t="s">
        <v>36</v>
      </c>
      <c r="D22" t="s">
        <v>19</v>
      </c>
      <c r="E22">
        <v>18</v>
      </c>
      <c r="F22" t="s">
        <v>24</v>
      </c>
      <c r="G22">
        <f>1</f>
        <v>1</v>
      </c>
      <c r="H22" s="3">
        <v>117.63</v>
      </c>
      <c r="I22" s="3">
        <v>576.44000000000005</v>
      </c>
      <c r="J22" s="3">
        <f t="shared" si="0"/>
        <v>472.68080000000009</v>
      </c>
      <c r="K22" s="3">
        <f t="shared" si="4"/>
        <v>8508.2544000000016</v>
      </c>
      <c r="L22" s="3">
        <f t="shared" si="5"/>
        <v>2117.34</v>
      </c>
      <c r="M22" s="8">
        <f t="shared" si="6"/>
        <v>6390.9144000000015</v>
      </c>
      <c r="N22" s="4">
        <f t="shared" si="1"/>
        <v>0.75114284311950053</v>
      </c>
      <c r="O22" s="4" t="str">
        <f t="shared" si="2"/>
        <v>Profit</v>
      </c>
      <c r="P22" t="s">
        <v>28</v>
      </c>
      <c r="Q22">
        <v>0.18</v>
      </c>
      <c r="R22" t="s">
        <v>29</v>
      </c>
      <c r="S22" t="s">
        <v>20</v>
      </c>
      <c r="T22" t="s">
        <v>39</v>
      </c>
      <c r="U22" t="str">
        <f t="shared" si="7"/>
        <v>Low-Cost</v>
      </c>
    </row>
    <row r="23" spans="1:21" x14ac:dyDescent="0.3">
      <c r="A23">
        <v>1002</v>
      </c>
      <c r="B23" s="1">
        <v>44977</v>
      </c>
      <c r="C23" s="2" t="s">
        <v>31</v>
      </c>
      <c r="D23" t="s">
        <v>19</v>
      </c>
      <c r="E23">
        <v>26</v>
      </c>
      <c r="F23" t="s">
        <v>24</v>
      </c>
      <c r="G23">
        <f>1</f>
        <v>1</v>
      </c>
      <c r="H23" s="3">
        <v>508.94</v>
      </c>
      <c r="I23" s="3">
        <v>557.69000000000005</v>
      </c>
      <c r="J23" s="3">
        <f t="shared" si="0"/>
        <v>434.99820000000005</v>
      </c>
      <c r="K23" s="3">
        <f t="shared" si="4"/>
        <v>11309.953200000002</v>
      </c>
      <c r="L23" s="3">
        <f t="shared" si="5"/>
        <v>13232.44</v>
      </c>
      <c r="M23" s="8">
        <f t="shared" si="6"/>
        <v>-1922.4867999999988</v>
      </c>
      <c r="N23" s="4">
        <f t="shared" si="1"/>
        <v>-0.16998185279847122</v>
      </c>
      <c r="O23" s="4" t="str">
        <f t="shared" si="2"/>
        <v>Loss</v>
      </c>
      <c r="P23" t="s">
        <v>28</v>
      </c>
      <c r="Q23">
        <v>0.22</v>
      </c>
      <c r="R23" t="s">
        <v>29</v>
      </c>
      <c r="S23" t="s">
        <v>20</v>
      </c>
      <c r="T23" t="s">
        <v>35</v>
      </c>
      <c r="U23" t="str">
        <f t="shared" si="7"/>
        <v>Low-Cost</v>
      </c>
    </row>
    <row r="24" spans="1:21" x14ac:dyDescent="0.3">
      <c r="A24">
        <v>1002</v>
      </c>
      <c r="B24" s="1">
        <v>45219</v>
      </c>
      <c r="C24" s="2" t="s">
        <v>22</v>
      </c>
      <c r="D24" t="s">
        <v>13</v>
      </c>
      <c r="E24">
        <v>30</v>
      </c>
      <c r="F24" t="s">
        <v>27</v>
      </c>
      <c r="G24">
        <f>1</f>
        <v>1</v>
      </c>
      <c r="H24" s="3">
        <v>4646.55</v>
      </c>
      <c r="I24" s="3">
        <v>4784.28</v>
      </c>
      <c r="J24" s="3">
        <f t="shared" si="0"/>
        <v>4305.8519999999999</v>
      </c>
      <c r="K24" s="3">
        <f t="shared" si="4"/>
        <v>129175.56</v>
      </c>
      <c r="L24" s="3">
        <f t="shared" si="5"/>
        <v>139396.5</v>
      </c>
      <c r="M24" s="8">
        <f t="shared" si="6"/>
        <v>-10220.940000000002</v>
      </c>
      <c r="N24" s="4">
        <f t="shared" si="1"/>
        <v>-7.9124410221252398E-2</v>
      </c>
      <c r="O24" s="4" t="str">
        <f t="shared" si="2"/>
        <v>Loss</v>
      </c>
      <c r="P24" t="s">
        <v>15</v>
      </c>
      <c r="Q24">
        <v>0.1</v>
      </c>
      <c r="R24" t="s">
        <v>29</v>
      </c>
      <c r="S24" t="s">
        <v>20</v>
      </c>
      <c r="T24" t="s">
        <v>43</v>
      </c>
      <c r="U24" t="str">
        <f t="shared" si="7"/>
        <v>High-Cost</v>
      </c>
    </row>
    <row r="25" spans="1:21" x14ac:dyDescent="0.3">
      <c r="A25">
        <v>1002</v>
      </c>
      <c r="B25" s="1">
        <v>45067</v>
      </c>
      <c r="C25" s="2" t="s">
        <v>31</v>
      </c>
      <c r="D25" t="s">
        <v>19</v>
      </c>
      <c r="E25">
        <v>26</v>
      </c>
      <c r="F25" t="s">
        <v>27</v>
      </c>
      <c r="G25">
        <f>1</f>
        <v>1</v>
      </c>
      <c r="H25" s="3">
        <v>2041.42</v>
      </c>
      <c r="I25" s="3">
        <v>2291.17</v>
      </c>
      <c r="J25" s="3">
        <f t="shared" si="0"/>
        <v>1649.6424</v>
      </c>
      <c r="K25" s="3">
        <f t="shared" si="4"/>
        <v>42890.702399999995</v>
      </c>
      <c r="L25" s="3">
        <f t="shared" si="5"/>
        <v>53076.92</v>
      </c>
      <c r="M25" s="8">
        <f t="shared" si="6"/>
        <v>-10186.217600000004</v>
      </c>
      <c r="N25" s="4">
        <f t="shared" si="1"/>
        <v>-0.23749244078595469</v>
      </c>
      <c r="O25" s="4" t="str">
        <f t="shared" si="2"/>
        <v>Loss</v>
      </c>
      <c r="P25" t="s">
        <v>15</v>
      </c>
      <c r="Q25">
        <v>0.28000000000000003</v>
      </c>
      <c r="R25" t="s">
        <v>16</v>
      </c>
      <c r="S25" t="s">
        <v>17</v>
      </c>
      <c r="T25" t="s">
        <v>35</v>
      </c>
      <c r="U25" t="str">
        <f t="shared" si="7"/>
        <v>Low-Cost</v>
      </c>
    </row>
    <row r="26" spans="1:21" x14ac:dyDescent="0.3">
      <c r="A26">
        <v>1002</v>
      </c>
      <c r="B26" s="1">
        <v>45038</v>
      </c>
      <c r="C26" s="2" t="s">
        <v>36</v>
      </c>
      <c r="D26" t="s">
        <v>13</v>
      </c>
      <c r="E26">
        <v>9</v>
      </c>
      <c r="F26" t="s">
        <v>33</v>
      </c>
      <c r="G26">
        <f>1</f>
        <v>1</v>
      </c>
      <c r="H26" s="3">
        <v>4398.16</v>
      </c>
      <c r="I26" s="3">
        <v>4439.12</v>
      </c>
      <c r="J26" s="3">
        <f t="shared" si="0"/>
        <v>3640.0784000000003</v>
      </c>
      <c r="K26" s="3">
        <f t="shared" si="4"/>
        <v>32760.705600000005</v>
      </c>
      <c r="L26" s="3">
        <f t="shared" si="5"/>
        <v>39583.440000000002</v>
      </c>
      <c r="M26" s="8">
        <f t="shared" si="6"/>
        <v>-6822.7343999999975</v>
      </c>
      <c r="N26" s="4">
        <f t="shared" si="1"/>
        <v>-0.20825969023084767</v>
      </c>
      <c r="O26" s="4" t="str">
        <f t="shared" si="2"/>
        <v>Loss</v>
      </c>
      <c r="P26" t="s">
        <v>28</v>
      </c>
      <c r="Q26">
        <v>0.18</v>
      </c>
      <c r="R26" t="s">
        <v>25</v>
      </c>
      <c r="S26" t="s">
        <v>17</v>
      </c>
      <c r="T26" t="s">
        <v>38</v>
      </c>
      <c r="U26" t="str">
        <f t="shared" si="7"/>
        <v>High-Cost</v>
      </c>
    </row>
    <row r="27" spans="1:21" x14ac:dyDescent="0.3">
      <c r="A27">
        <v>1002</v>
      </c>
      <c r="B27" s="1">
        <v>45259</v>
      </c>
      <c r="C27" s="2" t="s">
        <v>22</v>
      </c>
      <c r="D27" t="s">
        <v>13</v>
      </c>
      <c r="E27">
        <v>24</v>
      </c>
      <c r="F27" t="s">
        <v>14</v>
      </c>
      <c r="G27">
        <f>1</f>
        <v>1</v>
      </c>
      <c r="H27" s="3">
        <v>3305.94</v>
      </c>
      <c r="I27" s="3">
        <v>3599.27</v>
      </c>
      <c r="J27" s="3">
        <f t="shared" si="0"/>
        <v>3275.3357000000001</v>
      </c>
      <c r="K27" s="3">
        <f t="shared" si="4"/>
        <v>78608.056800000006</v>
      </c>
      <c r="L27" s="3">
        <f t="shared" si="5"/>
        <v>79342.559999999998</v>
      </c>
      <c r="M27" s="8">
        <f t="shared" si="6"/>
        <v>-734.50319999999192</v>
      </c>
      <c r="N27" s="4">
        <f t="shared" si="1"/>
        <v>-9.3438666454860372E-3</v>
      </c>
      <c r="O27" s="4" t="str">
        <f t="shared" si="2"/>
        <v>Loss</v>
      </c>
      <c r="P27" t="s">
        <v>28</v>
      </c>
      <c r="Q27">
        <v>0.09</v>
      </c>
      <c r="R27" t="s">
        <v>29</v>
      </c>
      <c r="S27" t="s">
        <v>20</v>
      </c>
      <c r="T27" t="s">
        <v>43</v>
      </c>
      <c r="U27" t="str">
        <f t="shared" si="7"/>
        <v>High-Cost</v>
      </c>
    </row>
    <row r="28" spans="1:21" x14ac:dyDescent="0.3">
      <c r="A28">
        <v>1002</v>
      </c>
      <c r="B28" s="1">
        <v>45076</v>
      </c>
      <c r="C28" s="2" t="s">
        <v>22</v>
      </c>
      <c r="D28" t="s">
        <v>13</v>
      </c>
      <c r="E28">
        <v>17</v>
      </c>
      <c r="F28" t="s">
        <v>14</v>
      </c>
      <c r="G28">
        <f>1</f>
        <v>1</v>
      </c>
      <c r="H28" s="3">
        <v>4024.76</v>
      </c>
      <c r="I28" s="3">
        <v>4420.1499999999996</v>
      </c>
      <c r="J28" s="3">
        <f t="shared" si="0"/>
        <v>4243.3439999999991</v>
      </c>
      <c r="K28" s="3">
        <f t="shared" si="4"/>
        <v>72136.847999999984</v>
      </c>
      <c r="L28" s="3">
        <f t="shared" si="5"/>
        <v>68420.92</v>
      </c>
      <c r="M28" s="8">
        <f t="shared" si="6"/>
        <v>3715.9279999999853</v>
      </c>
      <c r="N28" s="4">
        <f t="shared" si="1"/>
        <v>5.1512203582834482E-2</v>
      </c>
      <c r="O28" s="4" t="str">
        <f t="shared" si="2"/>
        <v>Profit</v>
      </c>
      <c r="P28" t="s">
        <v>15</v>
      </c>
      <c r="Q28">
        <v>0.04</v>
      </c>
      <c r="R28" t="s">
        <v>16</v>
      </c>
      <c r="S28" t="s">
        <v>17</v>
      </c>
      <c r="T28" t="s">
        <v>43</v>
      </c>
      <c r="U28" t="str">
        <f t="shared" si="7"/>
        <v>High-Cost</v>
      </c>
    </row>
    <row r="29" spans="1:21" x14ac:dyDescent="0.3">
      <c r="A29">
        <v>1002</v>
      </c>
      <c r="B29" s="1">
        <v>45076</v>
      </c>
      <c r="C29" s="2" t="s">
        <v>36</v>
      </c>
      <c r="D29" t="s">
        <v>13</v>
      </c>
      <c r="E29">
        <v>44</v>
      </c>
      <c r="F29" t="s">
        <v>14</v>
      </c>
      <c r="G29">
        <f>1</f>
        <v>1</v>
      </c>
      <c r="H29" s="3">
        <v>1393.58</v>
      </c>
      <c r="I29" s="3">
        <v>1533.09</v>
      </c>
      <c r="J29" s="3">
        <f t="shared" si="0"/>
        <v>1165.1484</v>
      </c>
      <c r="K29" s="3">
        <f t="shared" si="4"/>
        <v>51266.529599999994</v>
      </c>
      <c r="L29" s="3">
        <f t="shared" si="5"/>
        <v>61317.52</v>
      </c>
      <c r="M29" s="8">
        <f t="shared" si="6"/>
        <v>-10050.990400000002</v>
      </c>
      <c r="N29" s="4">
        <f t="shared" si="1"/>
        <v>-0.19605365290807597</v>
      </c>
      <c r="O29" s="4" t="str">
        <f t="shared" si="2"/>
        <v>Loss</v>
      </c>
      <c r="P29" t="s">
        <v>15</v>
      </c>
      <c r="Q29">
        <v>0.24</v>
      </c>
      <c r="R29" t="s">
        <v>29</v>
      </c>
      <c r="S29" t="s">
        <v>20</v>
      </c>
      <c r="T29" t="s">
        <v>38</v>
      </c>
      <c r="U29" t="str">
        <f t="shared" si="7"/>
        <v>Low-Cost</v>
      </c>
    </row>
    <row r="30" spans="1:21" x14ac:dyDescent="0.3">
      <c r="A30">
        <v>1002</v>
      </c>
      <c r="B30" s="1">
        <v>45138</v>
      </c>
      <c r="C30" s="2" t="s">
        <v>22</v>
      </c>
      <c r="D30" t="s">
        <v>32</v>
      </c>
      <c r="E30">
        <v>21</v>
      </c>
      <c r="F30" t="s">
        <v>27</v>
      </c>
      <c r="G30">
        <f>1</f>
        <v>1</v>
      </c>
      <c r="H30" s="3">
        <v>4138.41</v>
      </c>
      <c r="I30" s="3">
        <v>4361.7</v>
      </c>
      <c r="J30" s="3">
        <f t="shared" si="0"/>
        <v>4056.3809999999994</v>
      </c>
      <c r="K30" s="3">
        <f t="shared" si="4"/>
        <v>85184.000999999989</v>
      </c>
      <c r="L30" s="3">
        <f t="shared" si="5"/>
        <v>86906.61</v>
      </c>
      <c r="M30" s="8">
        <f t="shared" si="6"/>
        <v>-1722.6090000000113</v>
      </c>
      <c r="N30" s="4">
        <f t="shared" si="1"/>
        <v>-2.0222212854266043E-2</v>
      </c>
      <c r="O30" s="4" t="str">
        <f t="shared" si="2"/>
        <v>Loss</v>
      </c>
      <c r="P30" t="s">
        <v>15</v>
      </c>
      <c r="Q30">
        <v>7.0000000000000007E-2</v>
      </c>
      <c r="R30" t="s">
        <v>29</v>
      </c>
      <c r="S30" t="s">
        <v>20</v>
      </c>
      <c r="T30" t="s">
        <v>48</v>
      </c>
      <c r="U30" t="str">
        <f t="shared" si="7"/>
        <v>High-Cost</v>
      </c>
    </row>
    <row r="31" spans="1:21" x14ac:dyDescent="0.3">
      <c r="A31">
        <v>1003</v>
      </c>
      <c r="B31" s="1">
        <v>45057</v>
      </c>
      <c r="C31" s="2" t="s">
        <v>31</v>
      </c>
      <c r="D31" t="s">
        <v>13</v>
      </c>
      <c r="E31">
        <v>26</v>
      </c>
      <c r="F31" t="s">
        <v>33</v>
      </c>
      <c r="G31">
        <f>1</f>
        <v>1</v>
      </c>
      <c r="H31" s="3">
        <v>3418.78</v>
      </c>
      <c r="I31" s="3">
        <v>3824.1</v>
      </c>
      <c r="J31" s="3">
        <f t="shared" si="0"/>
        <v>3097.5210000000002</v>
      </c>
      <c r="K31" s="3">
        <f t="shared" si="4"/>
        <v>80535.546000000002</v>
      </c>
      <c r="L31" s="3">
        <f t="shared" si="5"/>
        <v>88888.28</v>
      </c>
      <c r="M31" s="8">
        <f t="shared" si="6"/>
        <v>-8352.7339999999967</v>
      </c>
      <c r="N31" s="4">
        <f t="shared" si="1"/>
        <v>-0.10371487392660127</v>
      </c>
      <c r="O31" s="4" t="str">
        <f t="shared" si="2"/>
        <v>Loss</v>
      </c>
      <c r="P31" t="s">
        <v>28</v>
      </c>
      <c r="Q31">
        <v>0.19</v>
      </c>
      <c r="R31" t="s">
        <v>29</v>
      </c>
      <c r="S31" t="s">
        <v>17</v>
      </c>
      <c r="T31" t="s">
        <v>51</v>
      </c>
      <c r="U31" t="str">
        <f t="shared" si="7"/>
        <v>High-Cost</v>
      </c>
    </row>
    <row r="32" spans="1:21" x14ac:dyDescent="0.3">
      <c r="A32">
        <v>1003</v>
      </c>
      <c r="B32" s="1">
        <v>45180</v>
      </c>
      <c r="C32" s="2" t="s">
        <v>22</v>
      </c>
      <c r="D32" t="s">
        <v>32</v>
      </c>
      <c r="E32">
        <v>22</v>
      </c>
      <c r="F32" t="s">
        <v>24</v>
      </c>
      <c r="G32">
        <f>1</f>
        <v>1</v>
      </c>
      <c r="H32" s="3">
        <v>4218.43</v>
      </c>
      <c r="I32" s="3">
        <v>4331.42</v>
      </c>
      <c r="J32" s="3">
        <f t="shared" si="0"/>
        <v>3205.2507999999998</v>
      </c>
      <c r="K32" s="3">
        <f t="shared" si="4"/>
        <v>70515.517600000006</v>
      </c>
      <c r="L32" s="3">
        <f t="shared" si="5"/>
        <v>92805.46</v>
      </c>
      <c r="M32" s="8">
        <f t="shared" si="6"/>
        <v>-22289.9424</v>
      </c>
      <c r="N32" s="4">
        <f t="shared" si="1"/>
        <v>-0.31609981970833606</v>
      </c>
      <c r="O32" s="4" t="str">
        <f t="shared" si="2"/>
        <v>Loss</v>
      </c>
      <c r="P32" t="s">
        <v>28</v>
      </c>
      <c r="Q32">
        <v>0.26</v>
      </c>
      <c r="R32" t="s">
        <v>25</v>
      </c>
      <c r="S32" t="s">
        <v>17</v>
      </c>
      <c r="T32" t="s">
        <v>48</v>
      </c>
      <c r="U32" t="str">
        <f t="shared" si="7"/>
        <v>High-Cost</v>
      </c>
    </row>
    <row r="33" spans="1:21" x14ac:dyDescent="0.3">
      <c r="A33">
        <v>1003</v>
      </c>
      <c r="B33" s="1">
        <v>45183</v>
      </c>
      <c r="C33" s="2" t="s">
        <v>12</v>
      </c>
      <c r="D33" t="s">
        <v>19</v>
      </c>
      <c r="E33">
        <v>15</v>
      </c>
      <c r="F33" t="s">
        <v>27</v>
      </c>
      <c r="G33">
        <f>1</f>
        <v>1</v>
      </c>
      <c r="H33" s="3">
        <v>3286.24</v>
      </c>
      <c r="I33" s="3">
        <v>3388.84</v>
      </c>
      <c r="J33" s="3">
        <f t="shared" si="0"/>
        <v>3083.8444000000004</v>
      </c>
      <c r="K33" s="3">
        <f t="shared" si="4"/>
        <v>46257.666000000005</v>
      </c>
      <c r="L33" s="3">
        <f t="shared" si="5"/>
        <v>49293.599999999999</v>
      </c>
      <c r="M33" s="8">
        <f t="shared" si="6"/>
        <v>-3035.9339999999938</v>
      </c>
      <c r="N33" s="4">
        <f t="shared" si="1"/>
        <v>-6.5630937799585343E-2</v>
      </c>
      <c r="O33" s="4" t="str">
        <f t="shared" si="2"/>
        <v>Loss</v>
      </c>
      <c r="P33" t="s">
        <v>15</v>
      </c>
      <c r="Q33">
        <v>0.09</v>
      </c>
      <c r="R33" t="s">
        <v>29</v>
      </c>
      <c r="S33" t="s">
        <v>20</v>
      </c>
      <c r="T33" t="s">
        <v>21</v>
      </c>
      <c r="U33" t="str">
        <f t="shared" si="7"/>
        <v>High-Cost</v>
      </c>
    </row>
    <row r="34" spans="1:21" x14ac:dyDescent="0.3">
      <c r="A34">
        <v>1003</v>
      </c>
      <c r="B34" s="1">
        <v>45124</v>
      </c>
      <c r="C34" s="2" t="s">
        <v>36</v>
      </c>
      <c r="D34" t="s">
        <v>19</v>
      </c>
      <c r="E34">
        <v>15</v>
      </c>
      <c r="F34" t="s">
        <v>33</v>
      </c>
      <c r="G34">
        <f>1</f>
        <v>1</v>
      </c>
      <c r="H34" s="3">
        <v>1729.14</v>
      </c>
      <c r="I34" s="3">
        <v>1870.88</v>
      </c>
      <c r="J34" s="3">
        <f t="shared" si="0"/>
        <v>1440.5776000000001</v>
      </c>
      <c r="K34" s="3">
        <f t="shared" si="4"/>
        <v>21608.664000000001</v>
      </c>
      <c r="L34" s="3">
        <f t="shared" si="5"/>
        <v>25937.100000000002</v>
      </c>
      <c r="M34" s="8">
        <f t="shared" si="6"/>
        <v>-4328.4360000000015</v>
      </c>
      <c r="N34" s="4">
        <f t="shared" si="1"/>
        <v>-0.20031020890509479</v>
      </c>
      <c r="O34" s="4" t="str">
        <f t="shared" si="2"/>
        <v>Loss</v>
      </c>
      <c r="P34" t="s">
        <v>15</v>
      </c>
      <c r="Q34">
        <v>0.23</v>
      </c>
      <c r="R34" t="s">
        <v>16</v>
      </c>
      <c r="S34" t="s">
        <v>17</v>
      </c>
      <c r="T34" t="s">
        <v>39</v>
      </c>
      <c r="U34" t="str">
        <f t="shared" si="7"/>
        <v>Low-Cost</v>
      </c>
    </row>
    <row r="35" spans="1:21" x14ac:dyDescent="0.3">
      <c r="A35">
        <v>1003</v>
      </c>
      <c r="B35" s="1">
        <v>44976</v>
      </c>
      <c r="C35" s="2" t="s">
        <v>40</v>
      </c>
      <c r="D35" t="s">
        <v>32</v>
      </c>
      <c r="E35">
        <v>45</v>
      </c>
      <c r="F35" t="s">
        <v>33</v>
      </c>
      <c r="G35">
        <f>1</f>
        <v>1</v>
      </c>
      <c r="H35" s="3">
        <v>4974.1400000000003</v>
      </c>
      <c r="I35" s="3">
        <v>5227.93</v>
      </c>
      <c r="J35" s="3">
        <f t="shared" si="0"/>
        <v>4130.0647000000008</v>
      </c>
      <c r="K35" s="3">
        <f t="shared" si="4"/>
        <v>185852.91150000002</v>
      </c>
      <c r="L35" s="3">
        <f t="shared" si="5"/>
        <v>223836.30000000002</v>
      </c>
      <c r="M35" s="8">
        <f t="shared" si="6"/>
        <v>-37983.388500000001</v>
      </c>
      <c r="N35" s="4">
        <f t="shared" si="1"/>
        <v>-0.20437338427167981</v>
      </c>
      <c r="O35" s="4" t="str">
        <f t="shared" si="2"/>
        <v>Loss</v>
      </c>
      <c r="P35" t="s">
        <v>28</v>
      </c>
      <c r="Q35">
        <v>0.21</v>
      </c>
      <c r="R35" t="s">
        <v>25</v>
      </c>
      <c r="S35" t="s">
        <v>17</v>
      </c>
      <c r="T35" t="s">
        <v>50</v>
      </c>
      <c r="U35" t="str">
        <f t="shared" si="7"/>
        <v>High-Cost</v>
      </c>
    </row>
    <row r="36" spans="1:21" x14ac:dyDescent="0.3">
      <c r="A36">
        <v>1003</v>
      </c>
      <c r="B36" s="1">
        <v>44947</v>
      </c>
      <c r="C36" s="2" t="s">
        <v>31</v>
      </c>
      <c r="D36" t="s">
        <v>13</v>
      </c>
      <c r="E36">
        <v>3</v>
      </c>
      <c r="F36" t="s">
        <v>14</v>
      </c>
      <c r="G36">
        <f>1</f>
        <v>1</v>
      </c>
      <c r="H36" s="3">
        <v>1792.05</v>
      </c>
      <c r="I36" s="3">
        <v>2091.23</v>
      </c>
      <c r="J36" s="3">
        <f t="shared" si="0"/>
        <v>1903.0193000000002</v>
      </c>
      <c r="K36" s="3">
        <f t="shared" si="4"/>
        <v>5709.0579000000007</v>
      </c>
      <c r="L36" s="3">
        <f t="shared" si="5"/>
        <v>5376.15</v>
      </c>
      <c r="M36" s="8">
        <f t="shared" si="6"/>
        <v>332.90790000000106</v>
      </c>
      <c r="N36" s="4">
        <f t="shared" si="1"/>
        <v>5.8312230464504664E-2</v>
      </c>
      <c r="O36" s="4" t="str">
        <f t="shared" si="2"/>
        <v>Profit</v>
      </c>
      <c r="P36" t="s">
        <v>15</v>
      </c>
      <c r="Q36">
        <v>0.09</v>
      </c>
      <c r="R36" t="s">
        <v>16</v>
      </c>
      <c r="S36" t="s">
        <v>20</v>
      </c>
      <c r="T36" t="s">
        <v>51</v>
      </c>
      <c r="U36" t="str">
        <f t="shared" si="7"/>
        <v>Low-Cost</v>
      </c>
    </row>
    <row r="37" spans="1:21" x14ac:dyDescent="0.3">
      <c r="A37">
        <v>1003</v>
      </c>
      <c r="B37" s="1">
        <v>45254</v>
      </c>
      <c r="C37" s="2" t="s">
        <v>36</v>
      </c>
      <c r="D37" t="s">
        <v>32</v>
      </c>
      <c r="E37">
        <v>11</v>
      </c>
      <c r="F37" t="s">
        <v>24</v>
      </c>
      <c r="G37">
        <f>1</f>
        <v>1</v>
      </c>
      <c r="H37" s="3">
        <v>3706.78</v>
      </c>
      <c r="I37" s="3">
        <v>3862.26</v>
      </c>
      <c r="J37" s="3">
        <f t="shared" si="0"/>
        <v>3012.5628000000002</v>
      </c>
      <c r="K37" s="3">
        <f t="shared" si="4"/>
        <v>33138.190800000004</v>
      </c>
      <c r="L37" s="3">
        <f t="shared" si="5"/>
        <v>40774.58</v>
      </c>
      <c r="M37" s="8">
        <f t="shared" si="6"/>
        <v>-7636.3891999999978</v>
      </c>
      <c r="N37" s="4">
        <f t="shared" si="1"/>
        <v>-0.23044073969179985</v>
      </c>
      <c r="O37" s="4" t="str">
        <f t="shared" si="2"/>
        <v>Loss</v>
      </c>
      <c r="P37" t="s">
        <v>28</v>
      </c>
      <c r="Q37">
        <v>0.22</v>
      </c>
      <c r="R37" t="s">
        <v>29</v>
      </c>
      <c r="S37" t="s">
        <v>20</v>
      </c>
      <c r="T37" t="s">
        <v>46</v>
      </c>
      <c r="U37" t="str">
        <f t="shared" si="7"/>
        <v>High-Cost</v>
      </c>
    </row>
    <row r="38" spans="1:21" x14ac:dyDescent="0.3">
      <c r="A38">
        <v>1003</v>
      </c>
      <c r="B38" s="1">
        <v>45132</v>
      </c>
      <c r="C38" s="2" t="s">
        <v>36</v>
      </c>
      <c r="D38" t="s">
        <v>19</v>
      </c>
      <c r="E38">
        <v>5</v>
      </c>
      <c r="F38" t="s">
        <v>24</v>
      </c>
      <c r="G38">
        <f>1</f>
        <v>1</v>
      </c>
      <c r="H38" s="3">
        <v>2206.58</v>
      </c>
      <c r="I38" s="3">
        <v>2490.4699999999998</v>
      </c>
      <c r="J38" s="3">
        <f t="shared" si="0"/>
        <v>1793.1383999999998</v>
      </c>
      <c r="K38" s="3">
        <f t="shared" si="4"/>
        <v>8965.6919999999991</v>
      </c>
      <c r="L38" s="3">
        <f t="shared" si="5"/>
        <v>11032.9</v>
      </c>
      <c r="M38" s="8">
        <f t="shared" si="6"/>
        <v>-2067.2080000000005</v>
      </c>
      <c r="N38" s="4">
        <f t="shared" si="1"/>
        <v>-0.23056870568384469</v>
      </c>
      <c r="O38" s="4" t="str">
        <f t="shared" si="2"/>
        <v>Loss</v>
      </c>
      <c r="P38" t="s">
        <v>28</v>
      </c>
      <c r="Q38">
        <v>0.28000000000000003</v>
      </c>
      <c r="R38" t="s">
        <v>16</v>
      </c>
      <c r="S38" t="s">
        <v>17</v>
      </c>
      <c r="T38" t="s">
        <v>39</v>
      </c>
      <c r="U38" t="str">
        <f t="shared" si="7"/>
        <v>Low-Cost</v>
      </c>
    </row>
    <row r="39" spans="1:21" x14ac:dyDescent="0.3">
      <c r="A39">
        <v>1003</v>
      </c>
      <c r="B39" s="1">
        <v>45073</v>
      </c>
      <c r="C39" s="2" t="s">
        <v>36</v>
      </c>
      <c r="D39" t="s">
        <v>32</v>
      </c>
      <c r="E39">
        <v>39</v>
      </c>
      <c r="F39" t="s">
        <v>27</v>
      </c>
      <c r="G39">
        <f>1</f>
        <v>1</v>
      </c>
      <c r="H39" s="3">
        <v>310.95999999999998</v>
      </c>
      <c r="I39" s="3">
        <v>457.84</v>
      </c>
      <c r="J39" s="3">
        <f t="shared" si="0"/>
        <v>444.10479999999995</v>
      </c>
      <c r="K39" s="3">
        <f t="shared" si="4"/>
        <v>17320.087199999998</v>
      </c>
      <c r="L39" s="3">
        <f t="shared" si="5"/>
        <v>12127.439999999999</v>
      </c>
      <c r="M39" s="8">
        <f t="shared" si="6"/>
        <v>5192.6471999999994</v>
      </c>
      <c r="N39" s="4">
        <f t="shared" si="1"/>
        <v>0.29980491091291966</v>
      </c>
      <c r="O39" s="4" t="str">
        <f t="shared" si="2"/>
        <v>Profit</v>
      </c>
      <c r="P39" t="s">
        <v>28</v>
      </c>
      <c r="Q39">
        <v>0.03</v>
      </c>
      <c r="R39" t="s">
        <v>29</v>
      </c>
      <c r="S39" t="s">
        <v>17</v>
      </c>
      <c r="T39" t="s">
        <v>46</v>
      </c>
      <c r="U39" t="str">
        <f t="shared" si="7"/>
        <v>Low-Cost</v>
      </c>
    </row>
    <row r="40" spans="1:21" x14ac:dyDescent="0.3">
      <c r="A40">
        <v>1003</v>
      </c>
      <c r="B40" s="1">
        <v>45044</v>
      </c>
      <c r="C40" s="2" t="s">
        <v>31</v>
      </c>
      <c r="D40" t="s">
        <v>23</v>
      </c>
      <c r="E40">
        <v>27</v>
      </c>
      <c r="F40" t="s">
        <v>14</v>
      </c>
      <c r="G40">
        <f>1</f>
        <v>1</v>
      </c>
      <c r="H40" s="3">
        <v>623.32000000000005</v>
      </c>
      <c r="I40" s="3">
        <v>853.66</v>
      </c>
      <c r="J40" s="3">
        <f t="shared" si="0"/>
        <v>819.51359999999988</v>
      </c>
      <c r="K40" s="3">
        <f t="shared" si="4"/>
        <v>22126.867200000001</v>
      </c>
      <c r="L40" s="3">
        <f t="shared" si="5"/>
        <v>16829.640000000003</v>
      </c>
      <c r="M40" s="8">
        <f t="shared" si="6"/>
        <v>5297.2271999999975</v>
      </c>
      <c r="N40" s="4">
        <f t="shared" si="1"/>
        <v>0.23940249435762861</v>
      </c>
      <c r="O40" s="4" t="str">
        <f t="shared" si="2"/>
        <v>Profit</v>
      </c>
      <c r="P40" t="s">
        <v>15</v>
      </c>
      <c r="Q40">
        <v>0.04</v>
      </c>
      <c r="R40" t="s">
        <v>16</v>
      </c>
      <c r="S40" t="s">
        <v>17</v>
      </c>
      <c r="T40" t="s">
        <v>42</v>
      </c>
      <c r="U40" t="str">
        <f t="shared" si="7"/>
        <v>Low-Cost</v>
      </c>
    </row>
    <row r="41" spans="1:21" x14ac:dyDescent="0.3">
      <c r="A41">
        <v>1003</v>
      </c>
      <c r="B41" s="1">
        <v>45290</v>
      </c>
      <c r="C41" s="2" t="s">
        <v>40</v>
      </c>
      <c r="D41" t="s">
        <v>32</v>
      </c>
      <c r="E41">
        <v>17</v>
      </c>
      <c r="F41" t="s">
        <v>14</v>
      </c>
      <c r="G41">
        <f>1</f>
        <v>1</v>
      </c>
      <c r="H41" s="3">
        <v>395.11</v>
      </c>
      <c r="I41" s="3">
        <v>676.66</v>
      </c>
      <c r="J41" s="3">
        <f t="shared" si="0"/>
        <v>507.495</v>
      </c>
      <c r="K41" s="3">
        <f t="shared" si="4"/>
        <v>8627.4149999999991</v>
      </c>
      <c r="L41" s="3">
        <f t="shared" si="5"/>
        <v>6716.87</v>
      </c>
      <c r="M41" s="8">
        <f t="shared" si="6"/>
        <v>1910.5449999999992</v>
      </c>
      <c r="N41" s="4">
        <f t="shared" si="1"/>
        <v>0.22145045763997667</v>
      </c>
      <c r="O41" s="4" t="str">
        <f t="shared" si="2"/>
        <v>Profit</v>
      </c>
      <c r="P41" t="s">
        <v>15</v>
      </c>
      <c r="Q41">
        <v>0.25</v>
      </c>
      <c r="R41" t="s">
        <v>16</v>
      </c>
      <c r="S41" t="s">
        <v>20</v>
      </c>
      <c r="T41" t="s">
        <v>50</v>
      </c>
      <c r="U41" t="str">
        <f t="shared" si="7"/>
        <v>Low-Cost</v>
      </c>
    </row>
    <row r="42" spans="1:21" x14ac:dyDescent="0.3">
      <c r="A42">
        <v>1003</v>
      </c>
      <c r="B42" s="1">
        <v>45291</v>
      </c>
      <c r="C42" s="2" t="s">
        <v>40</v>
      </c>
      <c r="D42" t="s">
        <v>23</v>
      </c>
      <c r="E42">
        <v>30</v>
      </c>
      <c r="F42" t="s">
        <v>14</v>
      </c>
      <c r="G42">
        <f>1</f>
        <v>1</v>
      </c>
      <c r="H42" s="3">
        <v>4190.28</v>
      </c>
      <c r="I42" s="3">
        <v>4270.6499999999996</v>
      </c>
      <c r="J42" s="3">
        <f t="shared" si="0"/>
        <v>3416.52</v>
      </c>
      <c r="K42" s="3">
        <f t="shared" si="4"/>
        <v>102495.59999999999</v>
      </c>
      <c r="L42" s="3">
        <f t="shared" si="5"/>
        <v>125708.4</v>
      </c>
      <c r="M42" s="8">
        <f t="shared" si="6"/>
        <v>-23212.800000000003</v>
      </c>
      <c r="N42" s="4">
        <f t="shared" si="1"/>
        <v>-0.22647606336272</v>
      </c>
      <c r="O42" s="4" t="str">
        <f t="shared" si="2"/>
        <v>Loss</v>
      </c>
      <c r="P42" t="s">
        <v>28</v>
      </c>
      <c r="Q42">
        <v>0.2</v>
      </c>
      <c r="R42" t="s">
        <v>16</v>
      </c>
      <c r="S42" t="s">
        <v>17</v>
      </c>
      <c r="T42" t="s">
        <v>41</v>
      </c>
      <c r="U42" t="str">
        <f t="shared" si="7"/>
        <v>High-Cost</v>
      </c>
    </row>
    <row r="43" spans="1:21" x14ac:dyDescent="0.3">
      <c r="A43">
        <v>1004</v>
      </c>
      <c r="B43" s="1">
        <v>45114</v>
      </c>
      <c r="C43" s="2" t="s">
        <v>36</v>
      </c>
      <c r="D43" t="s">
        <v>13</v>
      </c>
      <c r="E43">
        <v>35</v>
      </c>
      <c r="F43" t="s">
        <v>27</v>
      </c>
      <c r="G43">
        <f>1</f>
        <v>1</v>
      </c>
      <c r="H43" s="3">
        <v>2278.87</v>
      </c>
      <c r="I43" s="3">
        <v>2646.53</v>
      </c>
      <c r="J43" s="3">
        <f t="shared" si="0"/>
        <v>2408.3423000000003</v>
      </c>
      <c r="K43" s="3">
        <f t="shared" si="4"/>
        <v>84291.980500000005</v>
      </c>
      <c r="L43" s="3">
        <f t="shared" si="5"/>
        <v>79760.45</v>
      </c>
      <c r="M43" s="8">
        <f t="shared" si="6"/>
        <v>4531.530500000008</v>
      </c>
      <c r="N43" s="4">
        <f t="shared" si="1"/>
        <v>5.375992440941648E-2</v>
      </c>
      <c r="O43" s="4" t="str">
        <f t="shared" si="2"/>
        <v>Profit</v>
      </c>
      <c r="P43" t="s">
        <v>15</v>
      </c>
      <c r="Q43">
        <v>0.09</v>
      </c>
      <c r="R43" t="s">
        <v>25</v>
      </c>
      <c r="S43" t="s">
        <v>17</v>
      </c>
      <c r="T43" t="s">
        <v>38</v>
      </c>
      <c r="U43" t="str">
        <f t="shared" si="7"/>
        <v>Low-Cost</v>
      </c>
    </row>
    <row r="44" spans="1:21" x14ac:dyDescent="0.3">
      <c r="A44">
        <v>1004</v>
      </c>
      <c r="B44" s="1">
        <v>45120</v>
      </c>
      <c r="C44" s="2" t="s">
        <v>36</v>
      </c>
      <c r="D44" t="s">
        <v>32</v>
      </c>
      <c r="E44">
        <v>16</v>
      </c>
      <c r="F44" t="s">
        <v>27</v>
      </c>
      <c r="G44">
        <f>1</f>
        <v>1</v>
      </c>
      <c r="H44" s="3">
        <v>1067.83</v>
      </c>
      <c r="I44" s="3">
        <v>1189.22</v>
      </c>
      <c r="J44" s="3">
        <f t="shared" si="0"/>
        <v>880.02279999999996</v>
      </c>
      <c r="K44" s="3">
        <f t="shared" si="4"/>
        <v>14080.364799999999</v>
      </c>
      <c r="L44" s="3">
        <f t="shared" si="5"/>
        <v>17085.28</v>
      </c>
      <c r="M44" s="8">
        <f t="shared" si="6"/>
        <v>-3004.9151999999995</v>
      </c>
      <c r="N44" s="4">
        <f t="shared" si="1"/>
        <v>-0.21341174342301128</v>
      </c>
      <c r="O44" s="4" t="str">
        <f t="shared" si="2"/>
        <v>Loss</v>
      </c>
      <c r="P44" t="s">
        <v>15</v>
      </c>
      <c r="Q44">
        <v>0.26</v>
      </c>
      <c r="R44" t="s">
        <v>29</v>
      </c>
      <c r="S44" t="s">
        <v>20</v>
      </c>
      <c r="T44" t="s">
        <v>46</v>
      </c>
      <c r="U44" t="str">
        <f t="shared" si="7"/>
        <v>Low-Cost</v>
      </c>
    </row>
    <row r="45" spans="1:21" x14ac:dyDescent="0.3">
      <c r="A45">
        <v>1004</v>
      </c>
      <c r="B45" s="1">
        <v>45092</v>
      </c>
      <c r="C45" s="2" t="s">
        <v>40</v>
      </c>
      <c r="D45" t="s">
        <v>32</v>
      </c>
      <c r="E45">
        <v>13</v>
      </c>
      <c r="F45" t="s">
        <v>14</v>
      </c>
      <c r="G45">
        <f>1</f>
        <v>1</v>
      </c>
      <c r="H45" s="3">
        <v>3087.73</v>
      </c>
      <c r="I45" s="3">
        <v>3263.96</v>
      </c>
      <c r="J45" s="3">
        <f t="shared" si="0"/>
        <v>2480.6096000000002</v>
      </c>
      <c r="K45" s="3">
        <f t="shared" si="4"/>
        <v>32247.924800000004</v>
      </c>
      <c r="L45" s="3">
        <f t="shared" si="5"/>
        <v>40140.49</v>
      </c>
      <c r="M45" s="8">
        <f t="shared" si="6"/>
        <v>-7892.5651999999936</v>
      </c>
      <c r="N45" s="4">
        <f t="shared" si="1"/>
        <v>-0.24474645264615577</v>
      </c>
      <c r="O45" s="4" t="str">
        <f t="shared" si="2"/>
        <v>Loss</v>
      </c>
      <c r="P45" t="s">
        <v>28</v>
      </c>
      <c r="Q45">
        <v>0.24</v>
      </c>
      <c r="R45" t="s">
        <v>16</v>
      </c>
      <c r="S45" t="s">
        <v>20</v>
      </c>
      <c r="T45" t="s">
        <v>50</v>
      </c>
      <c r="U45" t="str">
        <f t="shared" si="7"/>
        <v>High-Cost</v>
      </c>
    </row>
    <row r="46" spans="1:21" x14ac:dyDescent="0.3">
      <c r="A46">
        <v>1004</v>
      </c>
      <c r="B46" s="1">
        <v>45063</v>
      </c>
      <c r="C46" s="2" t="s">
        <v>40</v>
      </c>
      <c r="D46" t="s">
        <v>13</v>
      </c>
      <c r="E46">
        <v>36</v>
      </c>
      <c r="F46" t="s">
        <v>24</v>
      </c>
      <c r="G46">
        <f>1</f>
        <v>1</v>
      </c>
      <c r="H46" s="3">
        <v>3981.2</v>
      </c>
      <c r="I46" s="3">
        <v>4432.3500000000004</v>
      </c>
      <c r="J46" s="3">
        <f t="shared" si="0"/>
        <v>3811.8210000000004</v>
      </c>
      <c r="K46" s="3">
        <f t="shared" si="4"/>
        <v>137225.55600000001</v>
      </c>
      <c r="L46" s="3">
        <f t="shared" si="5"/>
        <v>143323.19999999998</v>
      </c>
      <c r="M46" s="8">
        <f t="shared" si="6"/>
        <v>-6097.6439999999711</v>
      </c>
      <c r="N46" s="4">
        <f t="shared" si="1"/>
        <v>-4.4435192523468225E-2</v>
      </c>
      <c r="O46" s="4" t="str">
        <f t="shared" si="2"/>
        <v>Loss</v>
      </c>
      <c r="P46" t="s">
        <v>28</v>
      </c>
      <c r="Q46">
        <v>0.14000000000000001</v>
      </c>
      <c r="R46" t="s">
        <v>16</v>
      </c>
      <c r="S46" t="s">
        <v>17</v>
      </c>
      <c r="T46" t="s">
        <v>47</v>
      </c>
      <c r="U46" t="str">
        <f t="shared" si="7"/>
        <v>High-Cost</v>
      </c>
    </row>
    <row r="47" spans="1:21" x14ac:dyDescent="0.3">
      <c r="A47">
        <v>1004</v>
      </c>
      <c r="B47" s="1">
        <v>45248</v>
      </c>
      <c r="C47" s="2" t="s">
        <v>40</v>
      </c>
      <c r="D47" t="s">
        <v>32</v>
      </c>
      <c r="E47">
        <v>1</v>
      </c>
      <c r="F47" t="s">
        <v>24</v>
      </c>
      <c r="G47">
        <f>1</f>
        <v>1</v>
      </c>
      <c r="H47" s="3">
        <v>182.99</v>
      </c>
      <c r="I47" s="3">
        <v>211.18</v>
      </c>
      <c r="J47" s="3">
        <f t="shared" si="0"/>
        <v>154.16140000000001</v>
      </c>
      <c r="K47" s="3">
        <f t="shared" si="4"/>
        <v>154.16140000000001</v>
      </c>
      <c r="L47" s="3">
        <f t="shared" si="5"/>
        <v>182.99</v>
      </c>
      <c r="M47" s="8">
        <f t="shared" si="6"/>
        <v>-28.828599999999994</v>
      </c>
      <c r="N47" s="4">
        <f t="shared" si="1"/>
        <v>-0.18700271274132171</v>
      </c>
      <c r="O47" s="4" t="str">
        <f t="shared" si="2"/>
        <v>Loss</v>
      </c>
      <c r="P47" t="s">
        <v>15</v>
      </c>
      <c r="Q47">
        <v>0.27</v>
      </c>
      <c r="R47" t="s">
        <v>25</v>
      </c>
      <c r="S47" t="s">
        <v>20</v>
      </c>
      <c r="T47" t="s">
        <v>50</v>
      </c>
      <c r="U47" t="str">
        <f t="shared" si="7"/>
        <v>Low-Cost</v>
      </c>
    </row>
    <row r="48" spans="1:21" x14ac:dyDescent="0.3">
      <c r="A48">
        <v>1004</v>
      </c>
      <c r="B48" s="1">
        <v>45099</v>
      </c>
      <c r="C48" s="2" t="s">
        <v>36</v>
      </c>
      <c r="D48" t="s">
        <v>23</v>
      </c>
      <c r="E48">
        <v>39</v>
      </c>
      <c r="F48" t="s">
        <v>33</v>
      </c>
      <c r="G48">
        <f>1</f>
        <v>1</v>
      </c>
      <c r="H48" s="3">
        <v>2416.89</v>
      </c>
      <c r="I48" s="3">
        <v>2778.4</v>
      </c>
      <c r="J48" s="3">
        <f t="shared" si="0"/>
        <v>2639.48</v>
      </c>
      <c r="K48" s="3">
        <f t="shared" si="4"/>
        <v>102939.72</v>
      </c>
      <c r="L48" s="3">
        <f t="shared" si="5"/>
        <v>94258.709999999992</v>
      </c>
      <c r="M48" s="8">
        <f t="shared" si="6"/>
        <v>8681.0100000000093</v>
      </c>
      <c r="N48" s="4">
        <f t="shared" si="1"/>
        <v>8.4331004591813627E-2</v>
      </c>
      <c r="O48" s="4" t="str">
        <f t="shared" si="2"/>
        <v>Profit</v>
      </c>
      <c r="P48" t="s">
        <v>15</v>
      </c>
      <c r="Q48">
        <v>0.05</v>
      </c>
      <c r="R48" t="s">
        <v>16</v>
      </c>
      <c r="S48" t="s">
        <v>17</v>
      </c>
      <c r="T48" t="s">
        <v>37</v>
      </c>
      <c r="U48" t="str">
        <f t="shared" si="7"/>
        <v>Low-Cost</v>
      </c>
    </row>
    <row r="49" spans="1:21" x14ac:dyDescent="0.3">
      <c r="A49">
        <v>1004</v>
      </c>
      <c r="B49" s="1">
        <v>45282</v>
      </c>
      <c r="C49" s="2" t="s">
        <v>36</v>
      </c>
      <c r="D49" t="s">
        <v>13</v>
      </c>
      <c r="E49">
        <v>11</v>
      </c>
      <c r="F49" t="s">
        <v>27</v>
      </c>
      <c r="G49">
        <f>1</f>
        <v>1</v>
      </c>
      <c r="H49" s="3">
        <v>4840.33</v>
      </c>
      <c r="I49" s="3">
        <v>4884.29</v>
      </c>
      <c r="J49" s="3">
        <f t="shared" si="0"/>
        <v>4249.3323</v>
      </c>
      <c r="K49" s="3">
        <f t="shared" si="4"/>
        <v>46742.655299999999</v>
      </c>
      <c r="L49" s="3">
        <f t="shared" si="5"/>
        <v>53243.63</v>
      </c>
      <c r="M49" s="8">
        <f t="shared" si="6"/>
        <v>-6500.9746999999988</v>
      </c>
      <c r="N49" s="4">
        <f t="shared" si="1"/>
        <v>-0.13908013265990046</v>
      </c>
      <c r="O49" s="4" t="str">
        <f t="shared" si="2"/>
        <v>Loss</v>
      </c>
      <c r="P49" t="s">
        <v>28</v>
      </c>
      <c r="Q49">
        <v>0.13</v>
      </c>
      <c r="R49" t="s">
        <v>16</v>
      </c>
      <c r="S49" t="s">
        <v>17</v>
      </c>
      <c r="T49" t="s">
        <v>38</v>
      </c>
      <c r="U49" t="str">
        <f t="shared" si="7"/>
        <v>High-Cost</v>
      </c>
    </row>
    <row r="50" spans="1:21" x14ac:dyDescent="0.3">
      <c r="A50">
        <v>1004</v>
      </c>
      <c r="B50" s="1">
        <v>45104</v>
      </c>
      <c r="C50" s="2" t="s">
        <v>40</v>
      </c>
      <c r="D50" t="s">
        <v>19</v>
      </c>
      <c r="E50">
        <v>2</v>
      </c>
      <c r="F50" t="s">
        <v>33</v>
      </c>
      <c r="G50">
        <f>1</f>
        <v>1</v>
      </c>
      <c r="H50" s="3">
        <v>2953.23</v>
      </c>
      <c r="I50" s="3">
        <v>2977.52</v>
      </c>
      <c r="J50" s="3">
        <f t="shared" si="0"/>
        <v>2649.9928</v>
      </c>
      <c r="K50" s="3">
        <f t="shared" si="4"/>
        <v>5299.9856</v>
      </c>
      <c r="L50" s="3">
        <f t="shared" si="5"/>
        <v>5906.46</v>
      </c>
      <c r="M50" s="8">
        <f t="shared" si="6"/>
        <v>-606.47440000000006</v>
      </c>
      <c r="N50" s="4">
        <f t="shared" si="1"/>
        <v>-0.11442944297810924</v>
      </c>
      <c r="O50" s="4" t="str">
        <f t="shared" si="2"/>
        <v>Loss</v>
      </c>
      <c r="P50" t="s">
        <v>15</v>
      </c>
      <c r="Q50">
        <v>0.11</v>
      </c>
      <c r="R50" t="s">
        <v>29</v>
      </c>
      <c r="S50" t="s">
        <v>20</v>
      </c>
      <c r="T50" t="s">
        <v>49</v>
      </c>
      <c r="U50" t="str">
        <f t="shared" si="7"/>
        <v>High-Cost</v>
      </c>
    </row>
    <row r="51" spans="1:21" x14ac:dyDescent="0.3">
      <c r="A51">
        <v>1004</v>
      </c>
      <c r="B51" s="1">
        <v>45105</v>
      </c>
      <c r="C51" s="2" t="s">
        <v>12</v>
      </c>
      <c r="D51" t="s">
        <v>19</v>
      </c>
      <c r="E51">
        <v>38</v>
      </c>
      <c r="F51" t="s">
        <v>14</v>
      </c>
      <c r="G51">
        <f>1</f>
        <v>1</v>
      </c>
      <c r="H51" s="3">
        <v>4881.63</v>
      </c>
      <c r="I51" s="3">
        <v>5088.0600000000004</v>
      </c>
      <c r="J51" s="3">
        <f t="shared" si="0"/>
        <v>4273.9704000000002</v>
      </c>
      <c r="K51" s="3">
        <f t="shared" si="4"/>
        <v>162410.87520000001</v>
      </c>
      <c r="L51" s="3">
        <f t="shared" si="5"/>
        <v>185501.94</v>
      </c>
      <c r="M51" s="8">
        <f t="shared" si="6"/>
        <v>-23091.064799999993</v>
      </c>
      <c r="N51" s="4">
        <f t="shared" si="1"/>
        <v>-0.14217683866037065</v>
      </c>
      <c r="O51" s="4" t="str">
        <f t="shared" si="2"/>
        <v>Loss</v>
      </c>
      <c r="P51" t="s">
        <v>15</v>
      </c>
      <c r="Q51">
        <v>0.16</v>
      </c>
      <c r="R51" t="s">
        <v>29</v>
      </c>
      <c r="S51" t="s">
        <v>20</v>
      </c>
      <c r="T51" t="s">
        <v>21</v>
      </c>
      <c r="U51" t="str">
        <f t="shared" si="7"/>
        <v>High-Cost</v>
      </c>
    </row>
    <row r="52" spans="1:21" x14ac:dyDescent="0.3">
      <c r="A52">
        <v>1004</v>
      </c>
      <c r="B52" s="1">
        <v>45197</v>
      </c>
      <c r="C52" s="2" t="s">
        <v>36</v>
      </c>
      <c r="D52" t="s">
        <v>23</v>
      </c>
      <c r="E52">
        <v>27</v>
      </c>
      <c r="F52" t="s">
        <v>27</v>
      </c>
      <c r="G52">
        <f>1</f>
        <v>1</v>
      </c>
      <c r="H52" s="3">
        <v>4354.6000000000004</v>
      </c>
      <c r="I52" s="3">
        <v>4820.2</v>
      </c>
      <c r="J52" s="3">
        <f t="shared" si="0"/>
        <v>4145.3719999999994</v>
      </c>
      <c r="K52" s="3">
        <f t="shared" si="4"/>
        <v>111925.04399999999</v>
      </c>
      <c r="L52" s="3">
        <f t="shared" si="5"/>
        <v>117574.20000000001</v>
      </c>
      <c r="M52" s="8">
        <f t="shared" si="6"/>
        <v>-5649.1560000000172</v>
      </c>
      <c r="N52" s="4">
        <f t="shared" si="1"/>
        <v>-5.0472671692673332E-2</v>
      </c>
      <c r="O52" s="4" t="str">
        <f t="shared" si="2"/>
        <v>Loss</v>
      </c>
      <c r="P52" t="s">
        <v>28</v>
      </c>
      <c r="Q52">
        <v>0.14000000000000001</v>
      </c>
      <c r="R52" t="s">
        <v>29</v>
      </c>
      <c r="S52" t="s">
        <v>20</v>
      </c>
      <c r="T52" t="s">
        <v>37</v>
      </c>
      <c r="U52" t="str">
        <f t="shared" si="7"/>
        <v>High-Cost</v>
      </c>
    </row>
    <row r="53" spans="1:21" x14ac:dyDescent="0.3">
      <c r="A53">
        <v>1004</v>
      </c>
      <c r="B53" s="1">
        <v>45016</v>
      </c>
      <c r="C53" s="2" t="s">
        <v>31</v>
      </c>
      <c r="D53" t="s">
        <v>32</v>
      </c>
      <c r="E53">
        <v>12</v>
      </c>
      <c r="F53" t="s">
        <v>27</v>
      </c>
      <c r="G53">
        <f>1</f>
        <v>1</v>
      </c>
      <c r="H53" s="3">
        <v>4553.2299999999996</v>
      </c>
      <c r="I53" s="3">
        <v>5038.74</v>
      </c>
      <c r="J53" s="3">
        <f t="shared" si="0"/>
        <v>4585.2533999999996</v>
      </c>
      <c r="K53" s="3">
        <f t="shared" si="4"/>
        <v>55023.040800000002</v>
      </c>
      <c r="L53" s="3">
        <f t="shared" si="5"/>
        <v>54638.759999999995</v>
      </c>
      <c r="M53" s="8">
        <f t="shared" si="6"/>
        <v>384.28080000000773</v>
      </c>
      <c r="N53" s="4">
        <f t="shared" si="1"/>
        <v>6.9839978745778021E-3</v>
      </c>
      <c r="O53" s="4" t="str">
        <f t="shared" si="2"/>
        <v>Profit</v>
      </c>
      <c r="P53" t="s">
        <v>28</v>
      </c>
      <c r="Q53">
        <v>0.09</v>
      </c>
      <c r="R53" t="s">
        <v>29</v>
      </c>
      <c r="S53" t="s">
        <v>20</v>
      </c>
      <c r="T53" t="s">
        <v>34</v>
      </c>
      <c r="U53" t="str">
        <f t="shared" si="7"/>
        <v>High-Cost</v>
      </c>
    </row>
    <row r="54" spans="1:21" x14ac:dyDescent="0.3">
      <c r="A54">
        <v>1005</v>
      </c>
      <c r="B54" s="1">
        <v>45018</v>
      </c>
      <c r="C54" s="2" t="s">
        <v>22</v>
      </c>
      <c r="D54" t="s">
        <v>23</v>
      </c>
      <c r="E54">
        <v>46</v>
      </c>
      <c r="F54" t="s">
        <v>14</v>
      </c>
      <c r="G54">
        <f>1</f>
        <v>1</v>
      </c>
      <c r="H54" s="3">
        <v>4691.42</v>
      </c>
      <c r="I54" s="3">
        <v>5026.1899999999996</v>
      </c>
      <c r="J54" s="3">
        <f t="shared" si="0"/>
        <v>3920.4281999999998</v>
      </c>
      <c r="K54" s="3">
        <f t="shared" si="4"/>
        <v>180339.6972</v>
      </c>
      <c r="L54" s="3">
        <f t="shared" si="5"/>
        <v>215805.32</v>
      </c>
      <c r="M54" s="8">
        <f t="shared" si="6"/>
        <v>-35465.622800000012</v>
      </c>
      <c r="N54" s="4">
        <f t="shared" si="1"/>
        <v>-0.19666009952688338</v>
      </c>
      <c r="O54" s="4" t="str">
        <f t="shared" si="2"/>
        <v>Loss</v>
      </c>
      <c r="P54" t="s">
        <v>15</v>
      </c>
      <c r="Q54">
        <v>0.22</v>
      </c>
      <c r="R54" t="s">
        <v>25</v>
      </c>
      <c r="S54" t="s">
        <v>20</v>
      </c>
      <c r="T54" t="s">
        <v>26</v>
      </c>
      <c r="U54" t="str">
        <f t="shared" si="7"/>
        <v>High-Cost</v>
      </c>
    </row>
    <row r="55" spans="1:21" x14ac:dyDescent="0.3">
      <c r="A55">
        <v>1005</v>
      </c>
      <c r="B55" s="1">
        <v>44993</v>
      </c>
      <c r="C55" s="2" t="s">
        <v>40</v>
      </c>
      <c r="D55" t="s">
        <v>13</v>
      </c>
      <c r="E55">
        <v>12</v>
      </c>
      <c r="F55" t="s">
        <v>27</v>
      </c>
      <c r="G55">
        <f>1</f>
        <v>1</v>
      </c>
      <c r="H55" s="3">
        <v>253.29</v>
      </c>
      <c r="I55" s="3">
        <v>683.78</v>
      </c>
      <c r="J55" s="3">
        <f t="shared" si="0"/>
        <v>512.83500000000004</v>
      </c>
      <c r="K55" s="3">
        <f t="shared" si="4"/>
        <v>6154.02</v>
      </c>
      <c r="L55" s="3">
        <f t="shared" si="5"/>
        <v>3039.48</v>
      </c>
      <c r="M55" s="8">
        <f t="shared" si="6"/>
        <v>3114.5400000000004</v>
      </c>
      <c r="N55" s="4">
        <f t="shared" si="1"/>
        <v>0.50609845271871068</v>
      </c>
      <c r="O55" s="4" t="str">
        <f t="shared" si="2"/>
        <v>Profit</v>
      </c>
      <c r="P55" t="s">
        <v>28</v>
      </c>
      <c r="Q55">
        <v>0.25</v>
      </c>
      <c r="R55" t="s">
        <v>29</v>
      </c>
      <c r="S55" t="s">
        <v>17</v>
      </c>
      <c r="T55" t="s">
        <v>47</v>
      </c>
      <c r="U55" t="str">
        <f t="shared" si="7"/>
        <v>Low-Cost</v>
      </c>
    </row>
    <row r="56" spans="1:21" x14ac:dyDescent="0.3">
      <c r="A56">
        <v>1005</v>
      </c>
      <c r="B56" s="1">
        <v>45177</v>
      </c>
      <c r="C56" s="2" t="s">
        <v>36</v>
      </c>
      <c r="D56" t="s">
        <v>13</v>
      </c>
      <c r="E56">
        <v>9</v>
      </c>
      <c r="F56" t="s">
        <v>33</v>
      </c>
      <c r="G56">
        <f>1</f>
        <v>1</v>
      </c>
      <c r="H56" s="3">
        <v>4737.0600000000004</v>
      </c>
      <c r="I56" s="3">
        <v>4869.5</v>
      </c>
      <c r="J56" s="3">
        <f t="shared" si="0"/>
        <v>4528.6349999999993</v>
      </c>
      <c r="K56" s="3">
        <f t="shared" si="4"/>
        <v>40757.714999999997</v>
      </c>
      <c r="L56" s="3">
        <f t="shared" si="5"/>
        <v>42633.54</v>
      </c>
      <c r="M56" s="8">
        <f t="shared" si="6"/>
        <v>-1875.8250000000044</v>
      </c>
      <c r="N56" s="4">
        <f t="shared" si="1"/>
        <v>-4.6023801874074746E-2</v>
      </c>
      <c r="O56" s="4" t="str">
        <f t="shared" si="2"/>
        <v>Loss</v>
      </c>
      <c r="P56" t="s">
        <v>28</v>
      </c>
      <c r="Q56">
        <v>7.0000000000000007E-2</v>
      </c>
      <c r="R56" t="s">
        <v>16</v>
      </c>
      <c r="S56" t="s">
        <v>17</v>
      </c>
      <c r="T56" t="s">
        <v>38</v>
      </c>
      <c r="U56" t="str">
        <f t="shared" si="7"/>
        <v>High-Cost</v>
      </c>
    </row>
    <row r="57" spans="1:21" x14ac:dyDescent="0.3">
      <c r="A57">
        <v>1005</v>
      </c>
      <c r="B57" s="1">
        <v>45242</v>
      </c>
      <c r="C57" s="2" t="s">
        <v>36</v>
      </c>
      <c r="D57" t="s">
        <v>32</v>
      </c>
      <c r="E57">
        <v>28</v>
      </c>
      <c r="F57" t="s">
        <v>27</v>
      </c>
      <c r="G57">
        <f>1</f>
        <v>1</v>
      </c>
      <c r="H57" s="3">
        <v>3592.32</v>
      </c>
      <c r="I57" s="3">
        <v>3813.48</v>
      </c>
      <c r="J57" s="3">
        <f t="shared" si="0"/>
        <v>3546.5364</v>
      </c>
      <c r="K57" s="3">
        <f t="shared" si="4"/>
        <v>99303.019199999995</v>
      </c>
      <c r="L57" s="3">
        <f t="shared" si="5"/>
        <v>100584.96000000001</v>
      </c>
      <c r="M57" s="8">
        <f t="shared" si="6"/>
        <v>-1281.9408000000112</v>
      </c>
      <c r="N57" s="4">
        <f t="shared" si="1"/>
        <v>-1.2909383927372182E-2</v>
      </c>
      <c r="O57" s="4" t="str">
        <f t="shared" si="2"/>
        <v>Loss</v>
      </c>
      <c r="P57" t="s">
        <v>28</v>
      </c>
      <c r="Q57">
        <v>7.0000000000000007E-2</v>
      </c>
      <c r="R57" t="s">
        <v>29</v>
      </c>
      <c r="S57" t="s">
        <v>20</v>
      </c>
      <c r="T57" t="s">
        <v>46</v>
      </c>
      <c r="U57" t="str">
        <f t="shared" si="7"/>
        <v>High-Cost</v>
      </c>
    </row>
    <row r="58" spans="1:21" x14ac:dyDescent="0.3">
      <c r="A58">
        <v>1005</v>
      </c>
      <c r="B58" s="1">
        <v>45158</v>
      </c>
      <c r="C58" s="2" t="s">
        <v>12</v>
      </c>
      <c r="D58" t="s">
        <v>13</v>
      </c>
      <c r="E58">
        <v>21</v>
      </c>
      <c r="F58" t="s">
        <v>24</v>
      </c>
      <c r="G58">
        <f>1</f>
        <v>1</v>
      </c>
      <c r="H58" s="3">
        <v>4376.37</v>
      </c>
      <c r="I58" s="3">
        <v>4818.95</v>
      </c>
      <c r="J58" s="3">
        <f t="shared" si="0"/>
        <v>4818.95</v>
      </c>
      <c r="K58" s="3">
        <f t="shared" si="4"/>
        <v>101197.95</v>
      </c>
      <c r="L58" s="3">
        <f t="shared" si="5"/>
        <v>91903.77</v>
      </c>
      <c r="M58" s="8">
        <f t="shared" si="6"/>
        <v>9294.179999999993</v>
      </c>
      <c r="N58" s="4">
        <f t="shared" si="1"/>
        <v>9.1841583747496791E-2</v>
      </c>
      <c r="O58" s="4" t="str">
        <f t="shared" si="2"/>
        <v>Profit</v>
      </c>
      <c r="P58" t="s">
        <v>28</v>
      </c>
      <c r="Q58">
        <v>0</v>
      </c>
      <c r="R58" t="s">
        <v>29</v>
      </c>
      <c r="S58" t="s">
        <v>20</v>
      </c>
      <c r="T58" t="s">
        <v>18</v>
      </c>
      <c r="U58" t="str">
        <f t="shared" si="7"/>
        <v>High-Cost</v>
      </c>
    </row>
    <row r="59" spans="1:21" x14ac:dyDescent="0.3">
      <c r="A59">
        <v>1005</v>
      </c>
      <c r="B59" s="1">
        <v>45193</v>
      </c>
      <c r="C59" s="2" t="s">
        <v>36</v>
      </c>
      <c r="D59" t="s">
        <v>23</v>
      </c>
      <c r="E59">
        <v>6</v>
      </c>
      <c r="F59" t="s">
        <v>24</v>
      </c>
      <c r="G59">
        <f>1</f>
        <v>1</v>
      </c>
      <c r="H59" s="3">
        <v>122.5</v>
      </c>
      <c r="I59" s="3">
        <v>385.83</v>
      </c>
      <c r="J59" s="3">
        <f t="shared" si="0"/>
        <v>347.24700000000001</v>
      </c>
      <c r="K59" s="3">
        <f t="shared" si="4"/>
        <v>2083.482</v>
      </c>
      <c r="L59" s="3">
        <f t="shared" si="5"/>
        <v>735</v>
      </c>
      <c r="M59" s="8">
        <f t="shared" si="6"/>
        <v>1348.482</v>
      </c>
      <c r="N59" s="4">
        <f t="shared" si="1"/>
        <v>0.64722517401158253</v>
      </c>
      <c r="O59" s="4" t="str">
        <f t="shared" si="2"/>
        <v>Profit</v>
      </c>
      <c r="P59" t="s">
        <v>15</v>
      </c>
      <c r="Q59">
        <v>0.1</v>
      </c>
      <c r="R59" t="s">
        <v>16</v>
      </c>
      <c r="S59" t="s">
        <v>20</v>
      </c>
      <c r="T59" t="s">
        <v>37</v>
      </c>
      <c r="U59" t="str">
        <f t="shared" si="7"/>
        <v>Low-Cost</v>
      </c>
    </row>
    <row r="60" spans="1:21" x14ac:dyDescent="0.3">
      <c r="A60">
        <v>1005</v>
      </c>
      <c r="B60" s="1">
        <v>45010</v>
      </c>
      <c r="C60" s="2" t="s">
        <v>12</v>
      </c>
      <c r="D60" t="s">
        <v>19</v>
      </c>
      <c r="E60">
        <v>14</v>
      </c>
      <c r="F60" t="s">
        <v>27</v>
      </c>
      <c r="G60">
        <f>1</f>
        <v>1</v>
      </c>
      <c r="H60" s="3">
        <v>1861.2</v>
      </c>
      <c r="I60" s="3">
        <v>2075.35</v>
      </c>
      <c r="J60" s="3">
        <f t="shared" si="0"/>
        <v>1867.8150000000001</v>
      </c>
      <c r="K60" s="3">
        <f t="shared" si="4"/>
        <v>26149.41</v>
      </c>
      <c r="L60" s="3">
        <f t="shared" si="5"/>
        <v>26056.799999999999</v>
      </c>
      <c r="M60" s="8">
        <f t="shared" si="6"/>
        <v>92.610000000000582</v>
      </c>
      <c r="N60" s="4">
        <f t="shared" si="1"/>
        <v>3.5415713012263215E-3</v>
      </c>
      <c r="O60" s="4" t="str">
        <f t="shared" si="2"/>
        <v>Profit</v>
      </c>
      <c r="P60" t="s">
        <v>15</v>
      </c>
      <c r="Q60">
        <v>0.1</v>
      </c>
      <c r="R60" t="s">
        <v>29</v>
      </c>
      <c r="S60" t="s">
        <v>20</v>
      </c>
      <c r="T60" t="s">
        <v>21</v>
      </c>
      <c r="U60" t="str">
        <f t="shared" si="7"/>
        <v>Low-Cost</v>
      </c>
    </row>
    <row r="61" spans="1:21" x14ac:dyDescent="0.3">
      <c r="A61">
        <v>1005</v>
      </c>
      <c r="B61" s="1">
        <v>45071</v>
      </c>
      <c r="C61" s="2" t="s">
        <v>36</v>
      </c>
      <c r="D61" t="s">
        <v>13</v>
      </c>
      <c r="E61">
        <v>2</v>
      </c>
      <c r="F61" t="s">
        <v>27</v>
      </c>
      <c r="G61">
        <f>1</f>
        <v>1</v>
      </c>
      <c r="H61" s="3">
        <v>1392.15</v>
      </c>
      <c r="I61" s="3">
        <v>1448.54</v>
      </c>
      <c r="J61" s="3">
        <f t="shared" si="0"/>
        <v>1419.5691999999999</v>
      </c>
      <c r="K61" s="3">
        <f t="shared" si="4"/>
        <v>2839.1383999999998</v>
      </c>
      <c r="L61" s="3">
        <f t="shared" si="5"/>
        <v>2784.3</v>
      </c>
      <c r="M61" s="8">
        <f t="shared" si="6"/>
        <v>54.838399999999638</v>
      </c>
      <c r="N61" s="4">
        <f t="shared" si="1"/>
        <v>1.9315155611998217E-2</v>
      </c>
      <c r="O61" s="4" t="str">
        <f t="shared" si="2"/>
        <v>Profit</v>
      </c>
      <c r="P61" t="s">
        <v>15</v>
      </c>
      <c r="Q61">
        <v>0.02</v>
      </c>
      <c r="R61" t="s">
        <v>25</v>
      </c>
      <c r="S61" t="s">
        <v>20</v>
      </c>
      <c r="T61" t="s">
        <v>38</v>
      </c>
      <c r="U61" t="str">
        <f t="shared" si="7"/>
        <v>Low-Cost</v>
      </c>
    </row>
    <row r="62" spans="1:21" x14ac:dyDescent="0.3">
      <c r="A62">
        <v>1005</v>
      </c>
      <c r="B62" s="1">
        <v>45285</v>
      </c>
      <c r="C62" s="2" t="s">
        <v>40</v>
      </c>
      <c r="D62" t="s">
        <v>23</v>
      </c>
      <c r="E62">
        <v>28</v>
      </c>
      <c r="F62" t="s">
        <v>14</v>
      </c>
      <c r="G62">
        <f>1</f>
        <v>1</v>
      </c>
      <c r="H62" s="3">
        <v>2146.2399999999998</v>
      </c>
      <c r="I62" s="3">
        <v>2173.4699999999998</v>
      </c>
      <c r="J62" s="3">
        <f t="shared" si="0"/>
        <v>1956.1229999999998</v>
      </c>
      <c r="K62" s="3">
        <f t="shared" si="4"/>
        <v>54771.443999999996</v>
      </c>
      <c r="L62" s="3">
        <f t="shared" si="5"/>
        <v>60094.719999999994</v>
      </c>
      <c r="M62" s="8">
        <f t="shared" si="6"/>
        <v>-5323.275999999998</v>
      </c>
      <c r="N62" s="4">
        <f t="shared" si="1"/>
        <v>-9.7190718579557592E-2</v>
      </c>
      <c r="O62" s="4" t="str">
        <f t="shared" si="2"/>
        <v>Loss</v>
      </c>
      <c r="P62" t="s">
        <v>15</v>
      </c>
      <c r="Q62">
        <v>0.1</v>
      </c>
      <c r="R62" t="s">
        <v>16</v>
      </c>
      <c r="S62" t="s">
        <v>20</v>
      </c>
      <c r="T62" t="s">
        <v>41</v>
      </c>
      <c r="U62" t="str">
        <f t="shared" si="7"/>
        <v>Low-Cost</v>
      </c>
    </row>
    <row r="63" spans="1:21" x14ac:dyDescent="0.3">
      <c r="A63">
        <v>1005</v>
      </c>
      <c r="B63" s="1">
        <v>45258</v>
      </c>
      <c r="C63" s="2" t="s">
        <v>22</v>
      </c>
      <c r="D63" t="s">
        <v>19</v>
      </c>
      <c r="E63">
        <v>43</v>
      </c>
      <c r="F63" t="s">
        <v>14</v>
      </c>
      <c r="G63">
        <f>1</f>
        <v>1</v>
      </c>
      <c r="H63" s="3">
        <v>1200.4000000000001</v>
      </c>
      <c r="I63" s="3">
        <v>1430.45</v>
      </c>
      <c r="J63" s="3">
        <f t="shared" si="0"/>
        <v>1316.0140000000001</v>
      </c>
      <c r="K63" s="3">
        <f t="shared" si="4"/>
        <v>56588.601999999999</v>
      </c>
      <c r="L63" s="3">
        <f t="shared" si="5"/>
        <v>51617.200000000004</v>
      </c>
      <c r="M63" s="8">
        <f t="shared" si="6"/>
        <v>4971.4019999999946</v>
      </c>
      <c r="N63" s="4">
        <f t="shared" si="1"/>
        <v>8.7851648994615464E-2</v>
      </c>
      <c r="O63" s="4" t="str">
        <f t="shared" si="2"/>
        <v>Profit</v>
      </c>
      <c r="P63" t="s">
        <v>28</v>
      </c>
      <c r="Q63">
        <v>0.08</v>
      </c>
      <c r="R63" t="s">
        <v>25</v>
      </c>
      <c r="S63" t="s">
        <v>20</v>
      </c>
      <c r="T63" t="s">
        <v>45</v>
      </c>
      <c r="U63" t="str">
        <f t="shared" si="7"/>
        <v>Low-Cost</v>
      </c>
    </row>
    <row r="64" spans="1:21" x14ac:dyDescent="0.3">
      <c r="A64">
        <v>1005</v>
      </c>
      <c r="B64" s="1">
        <v>45015</v>
      </c>
      <c r="C64" s="2" t="s">
        <v>40</v>
      </c>
      <c r="D64" t="s">
        <v>32</v>
      </c>
      <c r="E64">
        <v>12</v>
      </c>
      <c r="F64" t="s">
        <v>33</v>
      </c>
      <c r="G64">
        <f>1</f>
        <v>1</v>
      </c>
      <c r="H64" s="3">
        <v>319.83</v>
      </c>
      <c r="I64" s="3">
        <v>802.43</v>
      </c>
      <c r="J64" s="3">
        <f t="shared" si="0"/>
        <v>770.33279999999991</v>
      </c>
      <c r="K64" s="3">
        <f t="shared" si="4"/>
        <v>9243.9935999999998</v>
      </c>
      <c r="L64" s="3">
        <f t="shared" si="5"/>
        <v>3837.96</v>
      </c>
      <c r="M64" s="8">
        <f t="shared" si="6"/>
        <v>5406.0335999999998</v>
      </c>
      <c r="N64" s="4">
        <f t="shared" si="1"/>
        <v>0.58481580947870837</v>
      </c>
      <c r="O64" s="4" t="str">
        <f t="shared" si="2"/>
        <v>Profit</v>
      </c>
      <c r="P64" t="s">
        <v>28</v>
      </c>
      <c r="Q64">
        <v>0.04</v>
      </c>
      <c r="R64" t="s">
        <v>29</v>
      </c>
      <c r="S64" t="s">
        <v>20</v>
      </c>
      <c r="T64" t="s">
        <v>50</v>
      </c>
      <c r="U64" t="str">
        <f t="shared" si="7"/>
        <v>Low-Cost</v>
      </c>
    </row>
    <row r="65" spans="1:21" x14ac:dyDescent="0.3">
      <c r="A65">
        <v>1006</v>
      </c>
      <c r="B65" s="1">
        <v>45083</v>
      </c>
      <c r="C65" s="2" t="s">
        <v>12</v>
      </c>
      <c r="D65" t="s">
        <v>32</v>
      </c>
      <c r="E65">
        <v>21</v>
      </c>
      <c r="F65" t="s">
        <v>33</v>
      </c>
      <c r="G65">
        <f>1</f>
        <v>1</v>
      </c>
      <c r="H65" s="3">
        <v>1701.62</v>
      </c>
      <c r="I65" s="3">
        <v>2193.2199999999998</v>
      </c>
      <c r="J65" s="3">
        <f t="shared" si="0"/>
        <v>1710.7115999999999</v>
      </c>
      <c r="K65" s="3">
        <f t="shared" si="4"/>
        <v>35924.943599999999</v>
      </c>
      <c r="L65" s="3">
        <f t="shared" si="5"/>
        <v>35734.019999999997</v>
      </c>
      <c r="M65" s="8">
        <f t="shared" si="6"/>
        <v>190.9236000000019</v>
      </c>
      <c r="N65" s="4">
        <f t="shared" si="1"/>
        <v>5.3145135626601761E-3</v>
      </c>
      <c r="O65" s="4" t="str">
        <f t="shared" si="2"/>
        <v>Profit</v>
      </c>
      <c r="P65" t="s">
        <v>28</v>
      </c>
      <c r="Q65">
        <v>0.22</v>
      </c>
      <c r="R65" t="s">
        <v>25</v>
      </c>
      <c r="S65" t="s">
        <v>20</v>
      </c>
      <c r="T65" t="s">
        <v>44</v>
      </c>
      <c r="U65" t="str">
        <f t="shared" si="7"/>
        <v>Low-Cost</v>
      </c>
    </row>
    <row r="66" spans="1:21" x14ac:dyDescent="0.3">
      <c r="A66">
        <v>1006</v>
      </c>
      <c r="B66" s="1">
        <v>45236</v>
      </c>
      <c r="C66" s="2" t="s">
        <v>12</v>
      </c>
      <c r="D66" t="s">
        <v>23</v>
      </c>
      <c r="E66">
        <v>22</v>
      </c>
      <c r="F66" t="s">
        <v>24</v>
      </c>
      <c r="G66">
        <f>1</f>
        <v>1</v>
      </c>
      <c r="H66" s="3">
        <v>834.32</v>
      </c>
      <c r="I66" s="3">
        <v>1098.97</v>
      </c>
      <c r="J66" s="3">
        <f t="shared" ref="J66:J129" si="8">I66*(1-Q66)</f>
        <v>912.14509999999996</v>
      </c>
      <c r="K66" s="3">
        <f t="shared" ref="K66:K129" si="9">E66*I66*(1-Q66)</f>
        <v>20067.192199999998</v>
      </c>
      <c r="L66" s="3">
        <f t="shared" si="5"/>
        <v>18355.04</v>
      </c>
      <c r="M66" s="8">
        <f t="shared" si="6"/>
        <v>1712.1521999999968</v>
      </c>
      <c r="N66" s="4">
        <f t="shared" ref="N66:N129" si="10">(M66/K66)</f>
        <v>8.5320964833336121E-2</v>
      </c>
      <c r="O66" s="4" t="str">
        <f t="shared" ref="O66:O129" si="11">IF(M66&lt;0,"Loss","Profit")</f>
        <v>Profit</v>
      </c>
      <c r="P66" t="s">
        <v>15</v>
      </c>
      <c r="Q66">
        <v>0.17</v>
      </c>
      <c r="R66" t="s">
        <v>16</v>
      </c>
      <c r="S66" t="s">
        <v>17</v>
      </c>
      <c r="T66" t="s">
        <v>30</v>
      </c>
      <c r="U66" t="str">
        <f t="shared" si="7"/>
        <v>Low-Cost</v>
      </c>
    </row>
    <row r="67" spans="1:21" x14ac:dyDescent="0.3">
      <c r="A67">
        <v>1006</v>
      </c>
      <c r="B67" s="1">
        <v>45185</v>
      </c>
      <c r="C67" s="2" t="s">
        <v>12</v>
      </c>
      <c r="D67" t="s">
        <v>13</v>
      </c>
      <c r="E67">
        <v>49</v>
      </c>
      <c r="F67" t="s">
        <v>24</v>
      </c>
      <c r="G67">
        <f>1</f>
        <v>1</v>
      </c>
      <c r="H67" s="3">
        <v>2843.76</v>
      </c>
      <c r="I67" s="3">
        <v>3146.6</v>
      </c>
      <c r="J67" s="3">
        <f t="shared" si="8"/>
        <v>2894.8719999999998</v>
      </c>
      <c r="K67" s="3">
        <f t="shared" si="9"/>
        <v>141848.728</v>
      </c>
      <c r="L67" s="3">
        <f t="shared" ref="L67:L130" si="12">H67*E67</f>
        <v>139344.24000000002</v>
      </c>
      <c r="M67" s="8">
        <f t="shared" ref="M67:M130" si="13">K67-L67</f>
        <v>2504.487999999983</v>
      </c>
      <c r="N67" s="4">
        <f t="shared" si="10"/>
        <v>1.7656048350324176E-2</v>
      </c>
      <c r="O67" s="4" t="str">
        <f t="shared" si="11"/>
        <v>Profit</v>
      </c>
      <c r="P67" t="s">
        <v>28</v>
      </c>
      <c r="Q67">
        <v>0.08</v>
      </c>
      <c r="R67" t="s">
        <v>16</v>
      </c>
      <c r="S67" t="s">
        <v>20</v>
      </c>
      <c r="T67" t="s">
        <v>18</v>
      </c>
      <c r="U67" t="str">
        <f t="shared" si="7"/>
        <v>High-Cost</v>
      </c>
    </row>
    <row r="68" spans="1:21" x14ac:dyDescent="0.3">
      <c r="A68">
        <v>1006</v>
      </c>
      <c r="B68" s="1">
        <v>45187</v>
      </c>
      <c r="C68" s="2" t="s">
        <v>22</v>
      </c>
      <c r="D68" t="s">
        <v>19</v>
      </c>
      <c r="E68">
        <v>45</v>
      </c>
      <c r="F68" t="s">
        <v>14</v>
      </c>
      <c r="G68">
        <f>1</f>
        <v>1</v>
      </c>
      <c r="H68" s="3">
        <v>1623.63</v>
      </c>
      <c r="I68" s="3">
        <v>1814.63</v>
      </c>
      <c r="J68" s="3">
        <f t="shared" si="8"/>
        <v>1288.3873000000001</v>
      </c>
      <c r="K68" s="3">
        <f t="shared" si="9"/>
        <v>57977.428500000002</v>
      </c>
      <c r="L68" s="3">
        <f t="shared" si="12"/>
        <v>73063.350000000006</v>
      </c>
      <c r="M68" s="8">
        <f t="shared" si="13"/>
        <v>-15085.921500000004</v>
      </c>
      <c r="N68" s="4">
        <f t="shared" si="10"/>
        <v>-0.26020335655280058</v>
      </c>
      <c r="O68" s="4" t="str">
        <f t="shared" si="11"/>
        <v>Loss</v>
      </c>
      <c r="P68" t="s">
        <v>28</v>
      </c>
      <c r="Q68">
        <v>0.28999999999999998</v>
      </c>
      <c r="R68" t="s">
        <v>25</v>
      </c>
      <c r="S68" t="s">
        <v>20</v>
      </c>
      <c r="T68" t="s">
        <v>45</v>
      </c>
      <c r="U68" t="str">
        <f t="shared" si="7"/>
        <v>Low-Cost</v>
      </c>
    </row>
    <row r="69" spans="1:21" x14ac:dyDescent="0.3">
      <c r="A69">
        <v>1006</v>
      </c>
      <c r="B69" s="1">
        <v>44948</v>
      </c>
      <c r="C69" s="2" t="s">
        <v>40</v>
      </c>
      <c r="D69" t="s">
        <v>23</v>
      </c>
      <c r="E69">
        <v>29</v>
      </c>
      <c r="F69" t="s">
        <v>33</v>
      </c>
      <c r="G69">
        <f>1</f>
        <v>1</v>
      </c>
      <c r="H69" s="3">
        <v>4353.29</v>
      </c>
      <c r="I69" s="3">
        <v>4405.8</v>
      </c>
      <c r="J69" s="3">
        <f t="shared" si="8"/>
        <v>4229.5680000000002</v>
      </c>
      <c r="K69" s="3">
        <f t="shared" si="9"/>
        <v>122657.47200000001</v>
      </c>
      <c r="L69" s="3">
        <f t="shared" si="12"/>
        <v>126245.41</v>
      </c>
      <c r="M69" s="8">
        <f t="shared" si="13"/>
        <v>-3587.9379999999946</v>
      </c>
      <c r="N69" s="4">
        <f t="shared" si="10"/>
        <v>-2.9251687169942607E-2</v>
      </c>
      <c r="O69" s="4" t="str">
        <f t="shared" si="11"/>
        <v>Loss</v>
      </c>
      <c r="P69" t="s">
        <v>28</v>
      </c>
      <c r="Q69">
        <v>0.04</v>
      </c>
      <c r="R69" t="s">
        <v>25</v>
      </c>
      <c r="S69" t="s">
        <v>17</v>
      </c>
      <c r="T69" t="s">
        <v>41</v>
      </c>
      <c r="U69" t="str">
        <f t="shared" si="7"/>
        <v>High-Cost</v>
      </c>
    </row>
    <row r="70" spans="1:21" x14ac:dyDescent="0.3">
      <c r="A70">
        <v>1006</v>
      </c>
      <c r="B70" s="1">
        <v>45195</v>
      </c>
      <c r="C70" s="2" t="s">
        <v>12</v>
      </c>
      <c r="D70" t="s">
        <v>32</v>
      </c>
      <c r="E70">
        <v>14</v>
      </c>
      <c r="F70" t="s">
        <v>24</v>
      </c>
      <c r="G70">
        <f>1</f>
        <v>1</v>
      </c>
      <c r="H70" s="3">
        <v>4503.7299999999996</v>
      </c>
      <c r="I70" s="3">
        <v>4879.88</v>
      </c>
      <c r="J70" s="3">
        <f t="shared" si="8"/>
        <v>3708.7088000000003</v>
      </c>
      <c r="K70" s="3">
        <f t="shared" si="9"/>
        <v>51921.923200000005</v>
      </c>
      <c r="L70" s="3">
        <f t="shared" si="12"/>
        <v>63052.219999999994</v>
      </c>
      <c r="M70" s="8">
        <f t="shared" si="13"/>
        <v>-11130.296799999989</v>
      </c>
      <c r="N70" s="4">
        <f t="shared" si="10"/>
        <v>-0.2143660348852407</v>
      </c>
      <c r="O70" s="4" t="str">
        <f t="shared" si="11"/>
        <v>Loss</v>
      </c>
      <c r="P70" t="s">
        <v>28</v>
      </c>
      <c r="Q70">
        <v>0.24</v>
      </c>
      <c r="R70" t="s">
        <v>25</v>
      </c>
      <c r="S70" t="s">
        <v>20</v>
      </c>
      <c r="T70" t="s">
        <v>44</v>
      </c>
      <c r="U70" t="str">
        <f t="shared" si="7"/>
        <v>High-Cost</v>
      </c>
    </row>
    <row r="71" spans="1:21" x14ac:dyDescent="0.3">
      <c r="A71">
        <v>1006</v>
      </c>
      <c r="B71" s="1">
        <v>45074</v>
      </c>
      <c r="C71" s="2" t="s">
        <v>12</v>
      </c>
      <c r="D71" t="s">
        <v>13</v>
      </c>
      <c r="E71">
        <v>11</v>
      </c>
      <c r="F71" t="s">
        <v>24</v>
      </c>
      <c r="G71">
        <f>1</f>
        <v>1</v>
      </c>
      <c r="H71" s="3">
        <v>4562.58</v>
      </c>
      <c r="I71" s="3">
        <v>4925.17</v>
      </c>
      <c r="J71" s="3">
        <f t="shared" si="8"/>
        <v>3792.3809000000001</v>
      </c>
      <c r="K71" s="3">
        <f t="shared" si="9"/>
        <v>41716.189900000005</v>
      </c>
      <c r="L71" s="3">
        <f t="shared" si="12"/>
        <v>50188.38</v>
      </c>
      <c r="M71" s="8">
        <f t="shared" si="13"/>
        <v>-8472.1900999999925</v>
      </c>
      <c r="N71" s="4">
        <f t="shared" si="10"/>
        <v>-0.20309117683827571</v>
      </c>
      <c r="O71" s="4" t="str">
        <f t="shared" si="11"/>
        <v>Loss</v>
      </c>
      <c r="P71" t="s">
        <v>28</v>
      </c>
      <c r="Q71">
        <v>0.23</v>
      </c>
      <c r="R71" t="s">
        <v>16</v>
      </c>
      <c r="S71" t="s">
        <v>20</v>
      </c>
      <c r="T71" t="s">
        <v>18</v>
      </c>
      <c r="U71" t="str">
        <f t="shared" si="7"/>
        <v>High-Cost</v>
      </c>
    </row>
    <row r="72" spans="1:21" x14ac:dyDescent="0.3">
      <c r="A72">
        <v>1006</v>
      </c>
      <c r="B72" s="1">
        <v>45046</v>
      </c>
      <c r="C72" s="2" t="s">
        <v>31</v>
      </c>
      <c r="D72" t="s">
        <v>13</v>
      </c>
      <c r="E72">
        <v>19</v>
      </c>
      <c r="F72" t="s">
        <v>27</v>
      </c>
      <c r="G72">
        <f>1</f>
        <v>1</v>
      </c>
      <c r="H72" s="3">
        <v>2962.41</v>
      </c>
      <c r="I72" s="3">
        <v>3218.9</v>
      </c>
      <c r="J72" s="3">
        <f t="shared" si="8"/>
        <v>2285.4189999999999</v>
      </c>
      <c r="K72" s="3">
        <f t="shared" si="9"/>
        <v>43422.960999999996</v>
      </c>
      <c r="L72" s="3">
        <f t="shared" si="12"/>
        <v>56285.789999999994</v>
      </c>
      <c r="M72" s="8">
        <f t="shared" si="13"/>
        <v>-12862.828999999998</v>
      </c>
      <c r="N72" s="4">
        <f t="shared" si="10"/>
        <v>-0.2962218306577481</v>
      </c>
      <c r="O72" s="4" t="str">
        <f t="shared" si="11"/>
        <v>Loss</v>
      </c>
      <c r="P72" t="s">
        <v>28</v>
      </c>
      <c r="Q72">
        <v>0.28999999999999998</v>
      </c>
      <c r="R72" t="s">
        <v>16</v>
      </c>
      <c r="S72" t="s">
        <v>20</v>
      </c>
      <c r="T72" t="s">
        <v>51</v>
      </c>
      <c r="U72" t="str">
        <f t="shared" ref="U72:U135" si="14">IF(I72 &gt;=2800, "High-Cost", "Low-Cost")</f>
        <v>High-Cost</v>
      </c>
    </row>
    <row r="73" spans="1:21" x14ac:dyDescent="0.3">
      <c r="A73">
        <v>1007</v>
      </c>
      <c r="B73" s="1">
        <v>44988</v>
      </c>
      <c r="C73" s="2" t="s">
        <v>36</v>
      </c>
      <c r="D73" t="s">
        <v>19</v>
      </c>
      <c r="E73">
        <v>1</v>
      </c>
      <c r="F73" t="s">
        <v>24</v>
      </c>
      <c r="G73">
        <f>1</f>
        <v>1</v>
      </c>
      <c r="H73" s="3">
        <v>2543.2600000000002</v>
      </c>
      <c r="I73" s="3">
        <v>2637.91</v>
      </c>
      <c r="J73" s="3">
        <f t="shared" si="8"/>
        <v>2110.328</v>
      </c>
      <c r="K73" s="3">
        <f t="shared" si="9"/>
        <v>2110.328</v>
      </c>
      <c r="L73" s="3">
        <f t="shared" si="12"/>
        <v>2543.2600000000002</v>
      </c>
      <c r="M73" s="8">
        <f t="shared" si="13"/>
        <v>-432.93200000000024</v>
      </c>
      <c r="N73" s="4">
        <f t="shared" si="10"/>
        <v>-0.20514915216971022</v>
      </c>
      <c r="O73" s="4" t="str">
        <f t="shared" si="11"/>
        <v>Loss</v>
      </c>
      <c r="P73" t="s">
        <v>15</v>
      </c>
      <c r="Q73">
        <v>0.2</v>
      </c>
      <c r="R73" t="s">
        <v>29</v>
      </c>
      <c r="S73" t="s">
        <v>17</v>
      </c>
      <c r="T73" t="s">
        <v>39</v>
      </c>
      <c r="U73" t="str">
        <f t="shared" si="14"/>
        <v>Low-Cost</v>
      </c>
    </row>
    <row r="74" spans="1:21" x14ac:dyDescent="0.3">
      <c r="A74">
        <v>1007</v>
      </c>
      <c r="B74" s="1">
        <v>45024</v>
      </c>
      <c r="C74" s="2" t="s">
        <v>31</v>
      </c>
      <c r="D74" t="s">
        <v>32</v>
      </c>
      <c r="E74">
        <v>13</v>
      </c>
      <c r="F74" t="s">
        <v>27</v>
      </c>
      <c r="G74">
        <f>1</f>
        <v>1</v>
      </c>
      <c r="H74" s="3">
        <v>3597.2</v>
      </c>
      <c r="I74" s="3">
        <v>4071.82</v>
      </c>
      <c r="J74" s="3">
        <f t="shared" si="8"/>
        <v>2890.9922000000001</v>
      </c>
      <c r="K74" s="3">
        <f t="shared" si="9"/>
        <v>37582.8986</v>
      </c>
      <c r="L74" s="3">
        <f t="shared" si="12"/>
        <v>46763.6</v>
      </c>
      <c r="M74" s="8">
        <f t="shared" si="13"/>
        <v>-9180.7013999999981</v>
      </c>
      <c r="N74" s="4">
        <f t="shared" si="10"/>
        <v>-0.24427869435275537</v>
      </c>
      <c r="O74" s="4" t="str">
        <f t="shared" si="11"/>
        <v>Loss</v>
      </c>
      <c r="P74" t="s">
        <v>15</v>
      </c>
      <c r="Q74">
        <v>0.28999999999999998</v>
      </c>
      <c r="R74" t="s">
        <v>25</v>
      </c>
      <c r="S74" t="s">
        <v>17</v>
      </c>
      <c r="T74" t="s">
        <v>34</v>
      </c>
      <c r="U74" t="str">
        <f t="shared" si="14"/>
        <v>High-Cost</v>
      </c>
    </row>
    <row r="75" spans="1:21" x14ac:dyDescent="0.3">
      <c r="A75">
        <v>1007</v>
      </c>
      <c r="B75" s="1">
        <v>45091</v>
      </c>
      <c r="C75" s="2" t="s">
        <v>40</v>
      </c>
      <c r="D75" t="s">
        <v>13</v>
      </c>
      <c r="E75">
        <v>9</v>
      </c>
      <c r="F75" t="s">
        <v>27</v>
      </c>
      <c r="G75">
        <f>1</f>
        <v>1</v>
      </c>
      <c r="H75" s="3">
        <v>1481.76</v>
      </c>
      <c r="I75" s="3">
        <v>1668.95</v>
      </c>
      <c r="J75" s="3">
        <f t="shared" si="8"/>
        <v>1468.6760000000002</v>
      </c>
      <c r="K75" s="3">
        <f t="shared" si="9"/>
        <v>13218.084000000001</v>
      </c>
      <c r="L75" s="3">
        <f t="shared" si="12"/>
        <v>13335.84</v>
      </c>
      <c r="M75" s="8">
        <f t="shared" si="13"/>
        <v>-117.7559999999994</v>
      </c>
      <c r="N75" s="4">
        <f t="shared" si="10"/>
        <v>-8.9087041662013495E-3</v>
      </c>
      <c r="O75" s="4" t="str">
        <f t="shared" si="11"/>
        <v>Loss</v>
      </c>
      <c r="P75" t="s">
        <v>15</v>
      </c>
      <c r="Q75">
        <v>0.12</v>
      </c>
      <c r="R75" t="s">
        <v>29</v>
      </c>
      <c r="S75" t="s">
        <v>20</v>
      </c>
      <c r="T75" t="s">
        <v>47</v>
      </c>
      <c r="U75" t="str">
        <f t="shared" si="14"/>
        <v>Low-Cost</v>
      </c>
    </row>
    <row r="76" spans="1:21" x14ac:dyDescent="0.3">
      <c r="A76">
        <v>1007</v>
      </c>
      <c r="B76" s="1">
        <v>45155</v>
      </c>
      <c r="C76" s="2" t="s">
        <v>36</v>
      </c>
      <c r="D76" t="s">
        <v>32</v>
      </c>
      <c r="E76">
        <v>16</v>
      </c>
      <c r="F76" t="s">
        <v>14</v>
      </c>
      <c r="G76">
        <f>1</f>
        <v>1</v>
      </c>
      <c r="H76" s="3">
        <v>4310.3100000000004</v>
      </c>
      <c r="I76" s="3">
        <v>4633.1000000000004</v>
      </c>
      <c r="J76" s="3">
        <f t="shared" si="8"/>
        <v>3335.8320000000003</v>
      </c>
      <c r="K76" s="3">
        <f t="shared" si="9"/>
        <v>53373.312000000005</v>
      </c>
      <c r="L76" s="3">
        <f t="shared" si="12"/>
        <v>68964.960000000006</v>
      </c>
      <c r="M76" s="8">
        <f t="shared" si="13"/>
        <v>-15591.648000000001</v>
      </c>
      <c r="N76" s="4">
        <f t="shared" si="10"/>
        <v>-0.29212442353212031</v>
      </c>
      <c r="O76" s="4" t="str">
        <f t="shared" si="11"/>
        <v>Loss</v>
      </c>
      <c r="P76" t="s">
        <v>28</v>
      </c>
      <c r="Q76">
        <v>0.28000000000000003</v>
      </c>
      <c r="R76" t="s">
        <v>29</v>
      </c>
      <c r="S76" t="s">
        <v>20</v>
      </c>
      <c r="T76" t="s">
        <v>46</v>
      </c>
      <c r="U76" t="str">
        <f t="shared" si="14"/>
        <v>High-Cost</v>
      </c>
    </row>
    <row r="77" spans="1:21" x14ac:dyDescent="0.3">
      <c r="A77">
        <v>1007</v>
      </c>
      <c r="B77" s="1">
        <v>44975</v>
      </c>
      <c r="C77" s="2" t="s">
        <v>40</v>
      </c>
      <c r="D77" t="s">
        <v>23</v>
      </c>
      <c r="E77">
        <v>34</v>
      </c>
      <c r="F77" t="s">
        <v>27</v>
      </c>
      <c r="G77">
        <f>1</f>
        <v>1</v>
      </c>
      <c r="H77" s="3">
        <v>1921.07</v>
      </c>
      <c r="I77" s="3">
        <v>2289.27</v>
      </c>
      <c r="J77" s="3">
        <f t="shared" si="8"/>
        <v>2129.0210999999999</v>
      </c>
      <c r="K77" s="3">
        <f t="shared" si="9"/>
        <v>72386.717399999994</v>
      </c>
      <c r="L77" s="3">
        <f t="shared" si="12"/>
        <v>65316.38</v>
      </c>
      <c r="M77" s="8">
        <f t="shared" si="13"/>
        <v>7070.3373999999967</v>
      </c>
      <c r="N77" s="4">
        <f t="shared" si="10"/>
        <v>9.7674513418396808E-2</v>
      </c>
      <c r="O77" s="4" t="str">
        <f t="shared" si="11"/>
        <v>Profit</v>
      </c>
      <c r="P77" t="s">
        <v>15</v>
      </c>
      <c r="Q77">
        <v>7.0000000000000007E-2</v>
      </c>
      <c r="R77" t="s">
        <v>25</v>
      </c>
      <c r="S77" t="s">
        <v>20</v>
      </c>
      <c r="T77" t="s">
        <v>41</v>
      </c>
      <c r="U77" t="str">
        <f t="shared" si="14"/>
        <v>Low-Cost</v>
      </c>
    </row>
    <row r="78" spans="1:21" x14ac:dyDescent="0.3">
      <c r="A78">
        <v>1007</v>
      </c>
      <c r="B78" s="1">
        <v>44985</v>
      </c>
      <c r="C78" s="2" t="s">
        <v>31</v>
      </c>
      <c r="D78" t="s">
        <v>32</v>
      </c>
      <c r="E78">
        <v>43</v>
      </c>
      <c r="F78" t="s">
        <v>14</v>
      </c>
      <c r="G78">
        <f>1</f>
        <v>1</v>
      </c>
      <c r="H78" s="3">
        <v>3967.25</v>
      </c>
      <c r="I78" s="3">
        <v>4272.92</v>
      </c>
      <c r="J78" s="3">
        <f t="shared" si="8"/>
        <v>3119.2316000000001</v>
      </c>
      <c r="K78" s="3">
        <f t="shared" si="9"/>
        <v>134126.95879999999</v>
      </c>
      <c r="L78" s="3">
        <f t="shared" si="12"/>
        <v>170591.75</v>
      </c>
      <c r="M78" s="8">
        <f t="shared" si="13"/>
        <v>-36464.791200000007</v>
      </c>
      <c r="N78" s="4">
        <f t="shared" si="10"/>
        <v>-0.27186772537185128</v>
      </c>
      <c r="O78" s="4" t="str">
        <f t="shared" si="11"/>
        <v>Loss</v>
      </c>
      <c r="P78" t="s">
        <v>28</v>
      </c>
      <c r="Q78">
        <v>0.27</v>
      </c>
      <c r="R78" t="s">
        <v>29</v>
      </c>
      <c r="S78" t="s">
        <v>17</v>
      </c>
      <c r="T78" t="s">
        <v>34</v>
      </c>
      <c r="U78" t="str">
        <f t="shared" si="14"/>
        <v>High-Cost</v>
      </c>
    </row>
    <row r="79" spans="1:21" x14ac:dyDescent="0.3">
      <c r="A79">
        <v>1007</v>
      </c>
      <c r="B79" s="1">
        <v>44955</v>
      </c>
      <c r="C79" s="2" t="s">
        <v>31</v>
      </c>
      <c r="D79" t="s">
        <v>19</v>
      </c>
      <c r="E79">
        <v>13</v>
      </c>
      <c r="F79" t="s">
        <v>14</v>
      </c>
      <c r="G79">
        <f>1</f>
        <v>1</v>
      </c>
      <c r="H79" s="3">
        <v>3765.46</v>
      </c>
      <c r="I79" s="3">
        <v>3860.56</v>
      </c>
      <c r="J79" s="3">
        <f t="shared" si="8"/>
        <v>3011.2368000000001</v>
      </c>
      <c r="K79" s="3">
        <f t="shared" si="9"/>
        <v>39146.078399999999</v>
      </c>
      <c r="L79" s="3">
        <f t="shared" si="12"/>
        <v>48950.98</v>
      </c>
      <c r="M79" s="8">
        <f t="shared" si="13"/>
        <v>-9804.9016000000047</v>
      </c>
      <c r="N79" s="4">
        <f t="shared" si="10"/>
        <v>-0.2504695744951046</v>
      </c>
      <c r="O79" s="4" t="str">
        <f t="shared" si="11"/>
        <v>Loss</v>
      </c>
      <c r="P79" t="s">
        <v>15</v>
      </c>
      <c r="Q79">
        <v>0.22</v>
      </c>
      <c r="R79" t="s">
        <v>16</v>
      </c>
      <c r="S79" t="s">
        <v>20</v>
      </c>
      <c r="T79" t="s">
        <v>35</v>
      </c>
      <c r="U79" t="str">
        <f t="shared" si="14"/>
        <v>High-Cost</v>
      </c>
    </row>
    <row r="80" spans="1:21" x14ac:dyDescent="0.3">
      <c r="A80">
        <v>1007</v>
      </c>
      <c r="B80" s="1">
        <v>45015</v>
      </c>
      <c r="C80" s="2" t="s">
        <v>22</v>
      </c>
      <c r="D80" t="s">
        <v>32</v>
      </c>
      <c r="E80">
        <v>14</v>
      </c>
      <c r="F80" t="s">
        <v>14</v>
      </c>
      <c r="G80">
        <f>1</f>
        <v>1</v>
      </c>
      <c r="H80" s="3">
        <v>1122.07</v>
      </c>
      <c r="I80" s="3">
        <v>1608.76</v>
      </c>
      <c r="J80" s="3">
        <f t="shared" si="8"/>
        <v>1254.8328000000001</v>
      </c>
      <c r="K80" s="3">
        <f t="shared" si="9"/>
        <v>17567.659200000002</v>
      </c>
      <c r="L80" s="3">
        <f t="shared" si="12"/>
        <v>15708.98</v>
      </c>
      <c r="M80" s="8">
        <f t="shared" si="13"/>
        <v>1858.6792000000023</v>
      </c>
      <c r="N80" s="4">
        <f t="shared" si="10"/>
        <v>0.10580118721793066</v>
      </c>
      <c r="O80" s="4" t="str">
        <f t="shared" si="11"/>
        <v>Profit</v>
      </c>
      <c r="P80" t="s">
        <v>28</v>
      </c>
      <c r="Q80">
        <v>0.22</v>
      </c>
      <c r="R80" t="s">
        <v>16</v>
      </c>
      <c r="S80" t="s">
        <v>20</v>
      </c>
      <c r="T80" t="s">
        <v>48</v>
      </c>
      <c r="U80" t="str">
        <f t="shared" si="14"/>
        <v>Low-Cost</v>
      </c>
    </row>
    <row r="81" spans="1:21" x14ac:dyDescent="0.3">
      <c r="A81">
        <v>1008</v>
      </c>
      <c r="B81" s="1">
        <v>44927</v>
      </c>
      <c r="C81" s="2" t="s">
        <v>36</v>
      </c>
      <c r="D81" t="s">
        <v>13</v>
      </c>
      <c r="E81">
        <v>38</v>
      </c>
      <c r="F81" t="s">
        <v>27</v>
      </c>
      <c r="G81">
        <f>1</f>
        <v>1</v>
      </c>
      <c r="H81" s="3">
        <v>4635.2299999999996</v>
      </c>
      <c r="I81" s="3">
        <v>5075.4399999999996</v>
      </c>
      <c r="J81" s="3">
        <f t="shared" si="8"/>
        <v>4821.6679999999997</v>
      </c>
      <c r="K81" s="3">
        <f t="shared" si="9"/>
        <v>183223.38399999996</v>
      </c>
      <c r="L81" s="3">
        <f t="shared" si="12"/>
        <v>176138.74</v>
      </c>
      <c r="M81" s="8">
        <f t="shared" si="13"/>
        <v>7084.6439999999711</v>
      </c>
      <c r="N81" s="4">
        <f t="shared" si="10"/>
        <v>3.8666702062439655E-2</v>
      </c>
      <c r="O81" s="4" t="str">
        <f t="shared" si="11"/>
        <v>Profit</v>
      </c>
      <c r="P81" t="s">
        <v>15</v>
      </c>
      <c r="Q81">
        <v>0.05</v>
      </c>
      <c r="R81" t="s">
        <v>16</v>
      </c>
      <c r="S81" t="s">
        <v>17</v>
      </c>
      <c r="T81" t="s">
        <v>38</v>
      </c>
      <c r="U81" t="str">
        <f t="shared" si="14"/>
        <v>High-Cost</v>
      </c>
    </row>
    <row r="82" spans="1:21" x14ac:dyDescent="0.3">
      <c r="A82">
        <v>1008</v>
      </c>
      <c r="B82" s="1">
        <v>45265</v>
      </c>
      <c r="C82" s="2" t="s">
        <v>31</v>
      </c>
      <c r="D82" t="s">
        <v>32</v>
      </c>
      <c r="E82">
        <v>27</v>
      </c>
      <c r="F82" t="s">
        <v>33</v>
      </c>
      <c r="G82">
        <f>1</f>
        <v>1</v>
      </c>
      <c r="H82" s="3">
        <v>68.989999999999995</v>
      </c>
      <c r="I82" s="3">
        <v>429.29</v>
      </c>
      <c r="J82" s="3">
        <f t="shared" si="8"/>
        <v>352.01780000000002</v>
      </c>
      <c r="K82" s="3">
        <f t="shared" si="9"/>
        <v>9504.4806000000008</v>
      </c>
      <c r="L82" s="3">
        <f t="shared" si="12"/>
        <v>1862.7299999999998</v>
      </c>
      <c r="M82" s="8">
        <f t="shared" si="13"/>
        <v>7641.7506000000012</v>
      </c>
      <c r="N82" s="4">
        <f t="shared" si="10"/>
        <v>0.80401559239333931</v>
      </c>
      <c r="O82" s="4" t="str">
        <f t="shared" si="11"/>
        <v>Profit</v>
      </c>
      <c r="P82" t="s">
        <v>15</v>
      </c>
      <c r="Q82">
        <v>0.18</v>
      </c>
      <c r="R82" t="s">
        <v>29</v>
      </c>
      <c r="S82" t="s">
        <v>20</v>
      </c>
      <c r="T82" t="s">
        <v>34</v>
      </c>
      <c r="U82" t="str">
        <f t="shared" si="14"/>
        <v>Low-Cost</v>
      </c>
    </row>
    <row r="83" spans="1:21" x14ac:dyDescent="0.3">
      <c r="A83">
        <v>1008</v>
      </c>
      <c r="B83" s="1">
        <v>45268</v>
      </c>
      <c r="C83" s="2" t="s">
        <v>40</v>
      </c>
      <c r="D83" t="s">
        <v>23</v>
      </c>
      <c r="E83">
        <v>49</v>
      </c>
      <c r="F83" t="s">
        <v>33</v>
      </c>
      <c r="G83">
        <f>1</f>
        <v>1</v>
      </c>
      <c r="H83" s="3">
        <v>2907.22</v>
      </c>
      <c r="I83" s="3">
        <v>3385.61</v>
      </c>
      <c r="J83" s="3">
        <f t="shared" si="8"/>
        <v>2945.4807000000001</v>
      </c>
      <c r="K83" s="3">
        <f t="shared" si="9"/>
        <v>144328.55430000002</v>
      </c>
      <c r="L83" s="3">
        <f t="shared" si="12"/>
        <v>142453.78</v>
      </c>
      <c r="M83" s="8">
        <f t="shared" si="13"/>
        <v>1874.7743000000191</v>
      </c>
      <c r="N83" s="4">
        <f t="shared" si="10"/>
        <v>1.298962848407066E-2</v>
      </c>
      <c r="O83" s="4" t="str">
        <f t="shared" si="11"/>
        <v>Profit</v>
      </c>
      <c r="P83" t="s">
        <v>28</v>
      </c>
      <c r="Q83">
        <v>0.13</v>
      </c>
      <c r="R83" t="s">
        <v>16</v>
      </c>
      <c r="S83" t="s">
        <v>17</v>
      </c>
      <c r="T83" t="s">
        <v>41</v>
      </c>
      <c r="U83" t="str">
        <f t="shared" si="14"/>
        <v>High-Cost</v>
      </c>
    </row>
    <row r="84" spans="1:21" x14ac:dyDescent="0.3">
      <c r="A84">
        <v>1008</v>
      </c>
      <c r="B84" s="1">
        <v>45089</v>
      </c>
      <c r="C84" s="2" t="s">
        <v>40</v>
      </c>
      <c r="D84" t="s">
        <v>32</v>
      </c>
      <c r="E84">
        <v>32</v>
      </c>
      <c r="F84" t="s">
        <v>24</v>
      </c>
      <c r="G84">
        <f>1</f>
        <v>1</v>
      </c>
      <c r="H84" s="3">
        <v>4298.12</v>
      </c>
      <c r="I84" s="3">
        <v>4446.8999999999996</v>
      </c>
      <c r="J84" s="3">
        <f t="shared" si="8"/>
        <v>4002.2099999999996</v>
      </c>
      <c r="K84" s="3">
        <f t="shared" si="9"/>
        <v>128070.71999999999</v>
      </c>
      <c r="L84" s="3">
        <f t="shared" si="12"/>
        <v>137539.84</v>
      </c>
      <c r="M84" s="8">
        <f t="shared" si="13"/>
        <v>-9469.1200000000099</v>
      </c>
      <c r="N84" s="4">
        <f t="shared" si="10"/>
        <v>-7.3936650000874599E-2</v>
      </c>
      <c r="O84" s="4" t="str">
        <f t="shared" si="11"/>
        <v>Loss</v>
      </c>
      <c r="P84" t="s">
        <v>28</v>
      </c>
      <c r="Q84">
        <v>0.1</v>
      </c>
      <c r="R84" t="s">
        <v>25</v>
      </c>
      <c r="S84" t="s">
        <v>17</v>
      </c>
      <c r="T84" t="s">
        <v>50</v>
      </c>
      <c r="U84" t="str">
        <f t="shared" si="14"/>
        <v>High-Cost</v>
      </c>
    </row>
    <row r="85" spans="1:21" x14ac:dyDescent="0.3">
      <c r="A85">
        <v>1008</v>
      </c>
      <c r="B85" s="1">
        <v>45029</v>
      </c>
      <c r="C85" s="2" t="s">
        <v>31</v>
      </c>
      <c r="D85" t="s">
        <v>23</v>
      </c>
      <c r="E85">
        <v>24</v>
      </c>
      <c r="F85" t="s">
        <v>14</v>
      </c>
      <c r="G85">
        <f>1</f>
        <v>1</v>
      </c>
      <c r="H85" s="3">
        <v>4739.13</v>
      </c>
      <c r="I85" s="3">
        <v>4868.95</v>
      </c>
      <c r="J85" s="3">
        <f t="shared" si="8"/>
        <v>4187.2969999999996</v>
      </c>
      <c r="K85" s="3">
        <f t="shared" si="9"/>
        <v>100495.12799999998</v>
      </c>
      <c r="L85" s="3">
        <f t="shared" si="12"/>
        <v>113739.12</v>
      </c>
      <c r="M85" s="8">
        <f t="shared" si="13"/>
        <v>-13243.992000000013</v>
      </c>
      <c r="N85" s="4">
        <f t="shared" si="10"/>
        <v>-0.13178740366398672</v>
      </c>
      <c r="O85" s="4" t="str">
        <f t="shared" si="11"/>
        <v>Loss</v>
      </c>
      <c r="P85" t="s">
        <v>28</v>
      </c>
      <c r="Q85">
        <v>0.14000000000000001</v>
      </c>
      <c r="R85" t="s">
        <v>29</v>
      </c>
      <c r="S85" t="s">
        <v>20</v>
      </c>
      <c r="T85" t="s">
        <v>42</v>
      </c>
      <c r="U85" t="str">
        <f t="shared" si="14"/>
        <v>High-Cost</v>
      </c>
    </row>
    <row r="86" spans="1:21" x14ac:dyDescent="0.3">
      <c r="A86">
        <v>1008</v>
      </c>
      <c r="B86" s="1">
        <v>45212</v>
      </c>
      <c r="C86" s="2" t="s">
        <v>36</v>
      </c>
      <c r="D86" t="s">
        <v>19</v>
      </c>
      <c r="E86">
        <v>24</v>
      </c>
      <c r="F86" t="s">
        <v>33</v>
      </c>
      <c r="G86">
        <f>1</f>
        <v>1</v>
      </c>
      <c r="H86" s="3">
        <v>1542.24</v>
      </c>
      <c r="I86" s="3">
        <v>1739.45</v>
      </c>
      <c r="J86" s="3">
        <f t="shared" si="8"/>
        <v>1374.1655000000001</v>
      </c>
      <c r="K86" s="3">
        <f t="shared" si="9"/>
        <v>32979.972000000002</v>
      </c>
      <c r="L86" s="3">
        <f t="shared" si="12"/>
        <v>37013.760000000002</v>
      </c>
      <c r="M86" s="8">
        <f t="shared" si="13"/>
        <v>-4033.7880000000005</v>
      </c>
      <c r="N86" s="4">
        <f t="shared" si="10"/>
        <v>-0.12231023119122116</v>
      </c>
      <c r="O86" s="4" t="str">
        <f t="shared" si="11"/>
        <v>Loss</v>
      </c>
      <c r="P86" t="s">
        <v>15</v>
      </c>
      <c r="Q86">
        <v>0.21</v>
      </c>
      <c r="R86" t="s">
        <v>25</v>
      </c>
      <c r="S86" t="s">
        <v>20</v>
      </c>
      <c r="T86" t="s">
        <v>39</v>
      </c>
      <c r="U86" t="str">
        <f t="shared" si="14"/>
        <v>Low-Cost</v>
      </c>
    </row>
    <row r="87" spans="1:21" x14ac:dyDescent="0.3">
      <c r="A87">
        <v>1008</v>
      </c>
      <c r="B87" s="1">
        <v>45091</v>
      </c>
      <c r="C87" s="2" t="s">
        <v>36</v>
      </c>
      <c r="D87" t="s">
        <v>13</v>
      </c>
      <c r="E87">
        <v>24</v>
      </c>
      <c r="F87" t="s">
        <v>27</v>
      </c>
      <c r="G87">
        <f>1</f>
        <v>1</v>
      </c>
      <c r="H87" s="3">
        <v>1394.17</v>
      </c>
      <c r="I87" s="3">
        <v>1891.02</v>
      </c>
      <c r="J87" s="3">
        <f t="shared" si="8"/>
        <v>1493.9058</v>
      </c>
      <c r="K87" s="3">
        <f t="shared" si="9"/>
        <v>35853.739199999996</v>
      </c>
      <c r="L87" s="3">
        <f t="shared" si="12"/>
        <v>33460.080000000002</v>
      </c>
      <c r="M87" s="8">
        <f t="shared" si="13"/>
        <v>2393.6591999999946</v>
      </c>
      <c r="N87" s="4">
        <f t="shared" si="10"/>
        <v>6.6761773064941438E-2</v>
      </c>
      <c r="O87" s="4" t="str">
        <f t="shared" si="11"/>
        <v>Profit</v>
      </c>
      <c r="P87" t="s">
        <v>28</v>
      </c>
      <c r="Q87">
        <v>0.21</v>
      </c>
      <c r="R87" t="s">
        <v>29</v>
      </c>
      <c r="S87" t="s">
        <v>17</v>
      </c>
      <c r="T87" t="s">
        <v>38</v>
      </c>
      <c r="U87" t="str">
        <f t="shared" si="14"/>
        <v>Low-Cost</v>
      </c>
    </row>
    <row r="88" spans="1:21" x14ac:dyDescent="0.3">
      <c r="A88">
        <v>1008</v>
      </c>
      <c r="B88" s="1">
        <v>45187</v>
      </c>
      <c r="C88" s="2" t="s">
        <v>31</v>
      </c>
      <c r="D88" t="s">
        <v>23</v>
      </c>
      <c r="E88">
        <v>32</v>
      </c>
      <c r="F88" t="s">
        <v>24</v>
      </c>
      <c r="G88">
        <f>1</f>
        <v>1</v>
      </c>
      <c r="H88" s="3">
        <v>921.32</v>
      </c>
      <c r="I88" s="3">
        <v>1236.0999999999999</v>
      </c>
      <c r="J88" s="3">
        <f t="shared" si="8"/>
        <v>1087.768</v>
      </c>
      <c r="K88" s="3">
        <f t="shared" si="9"/>
        <v>34808.576000000001</v>
      </c>
      <c r="L88" s="3">
        <f t="shared" si="12"/>
        <v>29482.240000000002</v>
      </c>
      <c r="M88" s="8">
        <f t="shared" si="13"/>
        <v>5326.3359999999993</v>
      </c>
      <c r="N88" s="4">
        <f t="shared" si="10"/>
        <v>0.1530179229394503</v>
      </c>
      <c r="O88" s="4" t="str">
        <f t="shared" si="11"/>
        <v>Profit</v>
      </c>
      <c r="P88" t="s">
        <v>28</v>
      </c>
      <c r="Q88">
        <v>0.12</v>
      </c>
      <c r="R88" t="s">
        <v>29</v>
      </c>
      <c r="S88" t="s">
        <v>17</v>
      </c>
      <c r="T88" t="s">
        <v>42</v>
      </c>
      <c r="U88" t="str">
        <f t="shared" si="14"/>
        <v>Low-Cost</v>
      </c>
    </row>
    <row r="89" spans="1:21" x14ac:dyDescent="0.3">
      <c r="A89">
        <v>1008</v>
      </c>
      <c r="B89" s="1">
        <v>45280</v>
      </c>
      <c r="C89" s="2" t="s">
        <v>31</v>
      </c>
      <c r="D89" t="s">
        <v>19</v>
      </c>
      <c r="E89">
        <v>23</v>
      </c>
      <c r="F89" t="s">
        <v>27</v>
      </c>
      <c r="G89">
        <f>1</f>
        <v>1</v>
      </c>
      <c r="H89" s="3">
        <v>2296.9299999999998</v>
      </c>
      <c r="I89" s="3">
        <v>2319.62</v>
      </c>
      <c r="J89" s="3">
        <f t="shared" si="8"/>
        <v>1786.1073999999999</v>
      </c>
      <c r="K89" s="3">
        <f t="shared" si="9"/>
        <v>41080.470199999996</v>
      </c>
      <c r="L89" s="3">
        <f t="shared" si="12"/>
        <v>52829.39</v>
      </c>
      <c r="M89" s="8">
        <f t="shared" si="13"/>
        <v>-11748.919800000003</v>
      </c>
      <c r="N89" s="4">
        <f t="shared" si="10"/>
        <v>-0.28599769532336083</v>
      </c>
      <c r="O89" s="4" t="str">
        <f t="shared" si="11"/>
        <v>Loss</v>
      </c>
      <c r="P89" t="s">
        <v>15</v>
      </c>
      <c r="Q89">
        <v>0.23</v>
      </c>
      <c r="R89" t="s">
        <v>25</v>
      </c>
      <c r="S89" t="s">
        <v>20</v>
      </c>
      <c r="T89" t="s">
        <v>35</v>
      </c>
      <c r="U89" t="str">
        <f t="shared" si="14"/>
        <v>Low-Cost</v>
      </c>
    </row>
    <row r="90" spans="1:21" x14ac:dyDescent="0.3">
      <c r="A90">
        <v>1008</v>
      </c>
      <c r="B90" s="1">
        <v>45067</v>
      </c>
      <c r="C90" s="2" t="s">
        <v>22</v>
      </c>
      <c r="D90" t="s">
        <v>32</v>
      </c>
      <c r="E90">
        <v>37</v>
      </c>
      <c r="F90" t="s">
        <v>14</v>
      </c>
      <c r="G90">
        <f>1</f>
        <v>1</v>
      </c>
      <c r="H90" s="3">
        <v>1712.43</v>
      </c>
      <c r="I90" s="3">
        <v>1980.06</v>
      </c>
      <c r="J90" s="3">
        <f t="shared" si="8"/>
        <v>1465.2444</v>
      </c>
      <c r="K90" s="3">
        <f t="shared" si="9"/>
        <v>54214.042800000003</v>
      </c>
      <c r="L90" s="3">
        <f t="shared" si="12"/>
        <v>63359.91</v>
      </c>
      <c r="M90" s="8">
        <f t="shared" si="13"/>
        <v>-9145.8672000000006</v>
      </c>
      <c r="N90" s="4">
        <f t="shared" si="10"/>
        <v>-0.16869922860650416</v>
      </c>
      <c r="O90" s="4" t="str">
        <f t="shared" si="11"/>
        <v>Loss</v>
      </c>
      <c r="P90" t="s">
        <v>28</v>
      </c>
      <c r="Q90">
        <v>0.26</v>
      </c>
      <c r="R90" t="s">
        <v>16</v>
      </c>
      <c r="S90" t="s">
        <v>17</v>
      </c>
      <c r="T90" t="s">
        <v>48</v>
      </c>
      <c r="U90" t="str">
        <f t="shared" si="14"/>
        <v>Low-Cost</v>
      </c>
    </row>
    <row r="91" spans="1:21" x14ac:dyDescent="0.3">
      <c r="A91">
        <v>1008</v>
      </c>
      <c r="B91" s="1">
        <v>45039</v>
      </c>
      <c r="C91" s="2" t="s">
        <v>36</v>
      </c>
      <c r="D91" t="s">
        <v>13</v>
      </c>
      <c r="E91">
        <v>35</v>
      </c>
      <c r="F91" t="s">
        <v>27</v>
      </c>
      <c r="G91">
        <f>1</f>
        <v>1</v>
      </c>
      <c r="H91" s="3">
        <v>600.20000000000005</v>
      </c>
      <c r="I91" s="3">
        <v>1059.82</v>
      </c>
      <c r="J91" s="3">
        <f t="shared" si="8"/>
        <v>752.47219999999993</v>
      </c>
      <c r="K91" s="3">
        <f t="shared" si="9"/>
        <v>26336.526999999998</v>
      </c>
      <c r="L91" s="3">
        <f t="shared" si="12"/>
        <v>21007</v>
      </c>
      <c r="M91" s="8">
        <f t="shared" si="13"/>
        <v>5329.5269999999982</v>
      </c>
      <c r="N91" s="4">
        <f t="shared" si="10"/>
        <v>0.20236255904204828</v>
      </c>
      <c r="O91" s="4" t="str">
        <f t="shared" si="11"/>
        <v>Profit</v>
      </c>
      <c r="P91" t="s">
        <v>15</v>
      </c>
      <c r="Q91">
        <v>0.28999999999999998</v>
      </c>
      <c r="R91" t="s">
        <v>25</v>
      </c>
      <c r="S91" t="s">
        <v>20</v>
      </c>
      <c r="T91" t="s">
        <v>38</v>
      </c>
      <c r="U91" t="str">
        <f t="shared" si="14"/>
        <v>Low-Cost</v>
      </c>
    </row>
    <row r="92" spans="1:21" x14ac:dyDescent="0.3">
      <c r="A92">
        <v>1008</v>
      </c>
      <c r="B92" s="1">
        <v>44981</v>
      </c>
      <c r="C92" s="2" t="s">
        <v>36</v>
      </c>
      <c r="D92" t="s">
        <v>19</v>
      </c>
      <c r="E92">
        <v>22</v>
      </c>
      <c r="F92" t="s">
        <v>33</v>
      </c>
      <c r="G92">
        <f>1</f>
        <v>1</v>
      </c>
      <c r="H92" s="3">
        <v>2269.3200000000002</v>
      </c>
      <c r="I92" s="3">
        <v>2365.35</v>
      </c>
      <c r="J92" s="3">
        <f t="shared" si="8"/>
        <v>2294.3894999999998</v>
      </c>
      <c r="K92" s="3">
        <f t="shared" si="9"/>
        <v>50476.568999999996</v>
      </c>
      <c r="L92" s="3">
        <f t="shared" si="12"/>
        <v>49925.04</v>
      </c>
      <c r="M92" s="8">
        <f t="shared" si="13"/>
        <v>551.52899999999499</v>
      </c>
      <c r="N92" s="4">
        <f t="shared" si="10"/>
        <v>1.0926435986566263E-2</v>
      </c>
      <c r="O92" s="4" t="str">
        <f t="shared" si="11"/>
        <v>Profit</v>
      </c>
      <c r="P92" t="s">
        <v>28</v>
      </c>
      <c r="Q92">
        <v>0.03</v>
      </c>
      <c r="R92" t="s">
        <v>16</v>
      </c>
      <c r="S92" t="s">
        <v>20</v>
      </c>
      <c r="T92" t="s">
        <v>39</v>
      </c>
      <c r="U92" t="str">
        <f t="shared" si="14"/>
        <v>Low-Cost</v>
      </c>
    </row>
    <row r="93" spans="1:21" x14ac:dyDescent="0.3">
      <c r="A93">
        <v>1008</v>
      </c>
      <c r="B93" s="1">
        <v>45165</v>
      </c>
      <c r="C93" s="2" t="s">
        <v>22</v>
      </c>
      <c r="D93" t="s">
        <v>23</v>
      </c>
      <c r="E93">
        <v>40</v>
      </c>
      <c r="F93" t="s">
        <v>27</v>
      </c>
      <c r="G93">
        <f>1</f>
        <v>1</v>
      </c>
      <c r="H93" s="3">
        <v>2687.49</v>
      </c>
      <c r="I93" s="3">
        <v>3001.56</v>
      </c>
      <c r="J93" s="3">
        <f t="shared" si="8"/>
        <v>2221.1543999999999</v>
      </c>
      <c r="K93" s="3">
        <f t="shared" si="9"/>
        <v>88846.175999999992</v>
      </c>
      <c r="L93" s="3">
        <f t="shared" si="12"/>
        <v>107499.59999999999</v>
      </c>
      <c r="M93" s="8">
        <f t="shared" si="13"/>
        <v>-18653.423999999999</v>
      </c>
      <c r="N93" s="4">
        <f t="shared" si="10"/>
        <v>-0.20995190608991435</v>
      </c>
      <c r="O93" s="4" t="str">
        <f t="shared" si="11"/>
        <v>Loss</v>
      </c>
      <c r="P93" t="s">
        <v>15</v>
      </c>
      <c r="Q93">
        <v>0.26</v>
      </c>
      <c r="R93" t="s">
        <v>25</v>
      </c>
      <c r="S93" t="s">
        <v>17</v>
      </c>
      <c r="T93" t="s">
        <v>26</v>
      </c>
      <c r="U93" t="str">
        <f t="shared" si="14"/>
        <v>High-Cost</v>
      </c>
    </row>
    <row r="94" spans="1:21" x14ac:dyDescent="0.3">
      <c r="A94">
        <v>1009</v>
      </c>
      <c r="B94" s="1">
        <v>45231</v>
      </c>
      <c r="C94" s="2" t="s">
        <v>12</v>
      </c>
      <c r="D94" t="s">
        <v>23</v>
      </c>
      <c r="E94">
        <v>14</v>
      </c>
      <c r="F94" t="s">
        <v>24</v>
      </c>
      <c r="G94">
        <f>1</f>
        <v>1</v>
      </c>
      <c r="H94" s="3">
        <v>547.79</v>
      </c>
      <c r="I94" s="3">
        <v>958.76</v>
      </c>
      <c r="J94" s="3">
        <f t="shared" si="8"/>
        <v>891.64679999999998</v>
      </c>
      <c r="K94" s="3">
        <f t="shared" si="9"/>
        <v>12483.055199999999</v>
      </c>
      <c r="L94" s="3">
        <f t="shared" si="12"/>
        <v>7669.0599999999995</v>
      </c>
      <c r="M94" s="8">
        <f t="shared" si="13"/>
        <v>4813.9951999999994</v>
      </c>
      <c r="N94" s="4">
        <f t="shared" si="10"/>
        <v>0.38564238664906325</v>
      </c>
      <c r="O94" s="4" t="str">
        <f t="shared" si="11"/>
        <v>Profit</v>
      </c>
      <c r="P94" t="s">
        <v>15</v>
      </c>
      <c r="Q94">
        <v>7.0000000000000007E-2</v>
      </c>
      <c r="R94" t="s">
        <v>29</v>
      </c>
      <c r="S94" t="s">
        <v>20</v>
      </c>
      <c r="T94" t="s">
        <v>30</v>
      </c>
      <c r="U94" t="str">
        <f t="shared" si="14"/>
        <v>Low-Cost</v>
      </c>
    </row>
    <row r="95" spans="1:21" x14ac:dyDescent="0.3">
      <c r="A95">
        <v>1009</v>
      </c>
      <c r="B95" s="1">
        <v>44989</v>
      </c>
      <c r="C95" s="2" t="s">
        <v>22</v>
      </c>
      <c r="D95" t="s">
        <v>32</v>
      </c>
      <c r="E95">
        <v>1</v>
      </c>
      <c r="F95" t="s">
        <v>27</v>
      </c>
      <c r="G95">
        <f>1</f>
        <v>1</v>
      </c>
      <c r="H95" s="3">
        <v>3223.07</v>
      </c>
      <c r="I95" s="3">
        <v>3590.83</v>
      </c>
      <c r="J95" s="3">
        <f t="shared" si="8"/>
        <v>2908.5723000000003</v>
      </c>
      <c r="K95" s="3">
        <f t="shared" si="9"/>
        <v>2908.5723000000003</v>
      </c>
      <c r="L95" s="3">
        <f t="shared" si="12"/>
        <v>3223.07</v>
      </c>
      <c r="M95" s="8">
        <f t="shared" si="13"/>
        <v>-314.4976999999999</v>
      </c>
      <c r="N95" s="4">
        <f t="shared" si="10"/>
        <v>-0.10812786053143664</v>
      </c>
      <c r="O95" s="4" t="str">
        <f t="shared" si="11"/>
        <v>Loss</v>
      </c>
      <c r="P95" t="s">
        <v>28</v>
      </c>
      <c r="Q95">
        <v>0.19</v>
      </c>
      <c r="R95" t="s">
        <v>25</v>
      </c>
      <c r="S95" t="s">
        <v>20</v>
      </c>
      <c r="T95" t="s">
        <v>48</v>
      </c>
      <c r="U95" t="str">
        <f t="shared" si="14"/>
        <v>High-Cost</v>
      </c>
    </row>
    <row r="96" spans="1:21" x14ac:dyDescent="0.3">
      <c r="A96">
        <v>1009</v>
      </c>
      <c r="B96" s="1">
        <v>45024</v>
      </c>
      <c r="C96" s="2" t="s">
        <v>31</v>
      </c>
      <c r="D96" t="s">
        <v>23</v>
      </c>
      <c r="E96">
        <v>32</v>
      </c>
      <c r="F96" t="s">
        <v>27</v>
      </c>
      <c r="G96">
        <f>1</f>
        <v>1</v>
      </c>
      <c r="H96" s="3">
        <v>3219.88</v>
      </c>
      <c r="I96" s="3">
        <v>3384.5</v>
      </c>
      <c r="J96" s="3">
        <f t="shared" si="8"/>
        <v>2910.67</v>
      </c>
      <c r="K96" s="3">
        <f t="shared" si="9"/>
        <v>93141.440000000002</v>
      </c>
      <c r="L96" s="3">
        <f t="shared" si="12"/>
        <v>103036.16</v>
      </c>
      <c r="M96" s="8">
        <f t="shared" si="13"/>
        <v>-9894.7200000000012</v>
      </c>
      <c r="N96" s="4">
        <f t="shared" si="10"/>
        <v>-0.10623327275163451</v>
      </c>
      <c r="O96" s="4" t="str">
        <f t="shared" si="11"/>
        <v>Loss</v>
      </c>
      <c r="P96" t="s">
        <v>15</v>
      </c>
      <c r="Q96">
        <v>0.14000000000000001</v>
      </c>
      <c r="R96" t="s">
        <v>16</v>
      </c>
      <c r="S96" t="s">
        <v>20</v>
      </c>
      <c r="T96" t="s">
        <v>42</v>
      </c>
      <c r="U96" t="str">
        <f t="shared" si="14"/>
        <v>High-Cost</v>
      </c>
    </row>
    <row r="97" spans="1:21" x14ac:dyDescent="0.3">
      <c r="A97">
        <v>1009</v>
      </c>
      <c r="B97" s="1">
        <v>45060</v>
      </c>
      <c r="C97" s="2" t="s">
        <v>22</v>
      </c>
      <c r="D97" t="s">
        <v>19</v>
      </c>
      <c r="E97">
        <v>40</v>
      </c>
      <c r="F97" t="s">
        <v>14</v>
      </c>
      <c r="G97">
        <f>1</f>
        <v>1</v>
      </c>
      <c r="H97" s="3">
        <v>2799.71</v>
      </c>
      <c r="I97" s="3">
        <v>3231.08</v>
      </c>
      <c r="J97" s="3">
        <f t="shared" si="8"/>
        <v>2294.0668000000001</v>
      </c>
      <c r="K97" s="3">
        <f t="shared" si="9"/>
        <v>91762.671999999991</v>
      </c>
      <c r="L97" s="3">
        <f t="shared" si="12"/>
        <v>111988.4</v>
      </c>
      <c r="M97" s="8">
        <f t="shared" si="13"/>
        <v>-20225.728000000003</v>
      </c>
      <c r="N97" s="4">
        <f t="shared" si="10"/>
        <v>-0.22041345962550005</v>
      </c>
      <c r="O97" s="4" t="str">
        <f t="shared" si="11"/>
        <v>Loss</v>
      </c>
      <c r="P97" t="s">
        <v>15</v>
      </c>
      <c r="Q97">
        <v>0.28999999999999998</v>
      </c>
      <c r="R97" t="s">
        <v>29</v>
      </c>
      <c r="S97" t="s">
        <v>20</v>
      </c>
      <c r="T97" t="s">
        <v>45</v>
      </c>
      <c r="U97" t="str">
        <f t="shared" si="14"/>
        <v>High-Cost</v>
      </c>
    </row>
    <row r="98" spans="1:21" x14ac:dyDescent="0.3">
      <c r="A98">
        <v>1009</v>
      </c>
      <c r="B98" s="1">
        <v>44943</v>
      </c>
      <c r="C98" s="2" t="s">
        <v>22</v>
      </c>
      <c r="D98" t="s">
        <v>19</v>
      </c>
      <c r="E98">
        <v>12</v>
      </c>
      <c r="F98" t="s">
        <v>14</v>
      </c>
      <c r="G98">
        <f>1</f>
        <v>1</v>
      </c>
      <c r="H98" s="3">
        <v>2278.67</v>
      </c>
      <c r="I98" s="3">
        <v>2476.8000000000002</v>
      </c>
      <c r="J98" s="3">
        <f t="shared" si="8"/>
        <v>2253.8880000000004</v>
      </c>
      <c r="K98" s="3">
        <f t="shared" si="9"/>
        <v>27046.656000000003</v>
      </c>
      <c r="L98" s="3">
        <f t="shared" si="12"/>
        <v>27344.04</v>
      </c>
      <c r="M98" s="8">
        <f t="shared" si="13"/>
        <v>-297.3839999999982</v>
      </c>
      <c r="N98" s="4">
        <f t="shared" si="10"/>
        <v>-1.099522247778055E-2</v>
      </c>
      <c r="O98" s="4" t="str">
        <f t="shared" si="11"/>
        <v>Loss</v>
      </c>
      <c r="P98" t="s">
        <v>28</v>
      </c>
      <c r="Q98">
        <v>0.09</v>
      </c>
      <c r="R98" t="s">
        <v>16</v>
      </c>
      <c r="S98" t="s">
        <v>20</v>
      </c>
      <c r="T98" t="s">
        <v>45</v>
      </c>
      <c r="U98" t="str">
        <f t="shared" si="14"/>
        <v>Low-Cost</v>
      </c>
    </row>
    <row r="99" spans="1:21" x14ac:dyDescent="0.3">
      <c r="A99">
        <v>1009</v>
      </c>
      <c r="B99" s="1">
        <v>45155</v>
      </c>
      <c r="C99" s="2" t="s">
        <v>12</v>
      </c>
      <c r="D99" t="s">
        <v>19</v>
      </c>
      <c r="E99">
        <v>33</v>
      </c>
      <c r="F99" t="s">
        <v>27</v>
      </c>
      <c r="G99">
        <f>1</f>
        <v>1</v>
      </c>
      <c r="H99" s="3">
        <v>450.72</v>
      </c>
      <c r="I99" s="3">
        <v>918.17</v>
      </c>
      <c r="J99" s="3">
        <f t="shared" si="8"/>
        <v>817.17129999999997</v>
      </c>
      <c r="K99" s="3">
        <f t="shared" si="9"/>
        <v>26966.652899999997</v>
      </c>
      <c r="L99" s="3">
        <f t="shared" si="12"/>
        <v>14873.76</v>
      </c>
      <c r="M99" s="8">
        <f t="shared" si="13"/>
        <v>12092.892899999997</v>
      </c>
      <c r="N99" s="4">
        <f t="shared" si="10"/>
        <v>0.44843877899285001</v>
      </c>
      <c r="O99" s="4" t="str">
        <f t="shared" si="11"/>
        <v>Profit</v>
      </c>
      <c r="P99" t="s">
        <v>15</v>
      </c>
      <c r="Q99">
        <v>0.11</v>
      </c>
      <c r="R99" t="s">
        <v>16</v>
      </c>
      <c r="S99" t="s">
        <v>17</v>
      </c>
      <c r="T99" t="s">
        <v>21</v>
      </c>
      <c r="U99" t="str">
        <f t="shared" si="14"/>
        <v>Low-Cost</v>
      </c>
    </row>
    <row r="100" spans="1:21" x14ac:dyDescent="0.3">
      <c r="A100">
        <v>1009</v>
      </c>
      <c r="B100" s="1">
        <v>45037</v>
      </c>
      <c r="C100" s="2" t="s">
        <v>36</v>
      </c>
      <c r="D100" t="s">
        <v>13</v>
      </c>
      <c r="E100">
        <v>47</v>
      </c>
      <c r="F100" t="s">
        <v>27</v>
      </c>
      <c r="G100">
        <f>1</f>
        <v>1</v>
      </c>
      <c r="H100" s="3">
        <v>359.41</v>
      </c>
      <c r="I100" s="3">
        <v>733</v>
      </c>
      <c r="J100" s="3">
        <f t="shared" si="8"/>
        <v>586.4</v>
      </c>
      <c r="K100" s="3">
        <f t="shared" si="9"/>
        <v>27560.800000000003</v>
      </c>
      <c r="L100" s="3">
        <f t="shared" si="12"/>
        <v>16892.27</v>
      </c>
      <c r="M100" s="8">
        <f t="shared" si="13"/>
        <v>10668.530000000002</v>
      </c>
      <c r="N100" s="4">
        <f t="shared" si="10"/>
        <v>0.38709072305593456</v>
      </c>
      <c r="O100" s="4" t="str">
        <f t="shared" si="11"/>
        <v>Profit</v>
      </c>
      <c r="P100" t="s">
        <v>15</v>
      </c>
      <c r="Q100">
        <v>0.2</v>
      </c>
      <c r="R100" t="s">
        <v>25</v>
      </c>
      <c r="S100" t="s">
        <v>20</v>
      </c>
      <c r="T100" t="s">
        <v>38</v>
      </c>
      <c r="U100" t="str">
        <f t="shared" si="14"/>
        <v>Low-Cost</v>
      </c>
    </row>
    <row r="101" spans="1:21" x14ac:dyDescent="0.3">
      <c r="A101">
        <v>1009</v>
      </c>
      <c r="B101" s="1">
        <v>45044</v>
      </c>
      <c r="C101" s="2" t="s">
        <v>40</v>
      </c>
      <c r="D101" t="s">
        <v>13</v>
      </c>
      <c r="E101">
        <v>33</v>
      </c>
      <c r="F101" t="s">
        <v>27</v>
      </c>
      <c r="G101">
        <f>1</f>
        <v>1</v>
      </c>
      <c r="H101" s="3">
        <v>2278.9</v>
      </c>
      <c r="I101" s="3">
        <v>2626.9</v>
      </c>
      <c r="J101" s="3">
        <f t="shared" si="8"/>
        <v>2495.5549999999998</v>
      </c>
      <c r="K101" s="3">
        <f t="shared" si="9"/>
        <v>82353.314999999988</v>
      </c>
      <c r="L101" s="3">
        <f t="shared" si="12"/>
        <v>75203.7</v>
      </c>
      <c r="M101" s="8">
        <f t="shared" si="13"/>
        <v>7149.6149999999907</v>
      </c>
      <c r="N101" s="4">
        <f t="shared" si="10"/>
        <v>8.6816359487168079E-2</v>
      </c>
      <c r="O101" s="4" t="str">
        <f t="shared" si="11"/>
        <v>Profit</v>
      </c>
      <c r="P101" t="s">
        <v>28</v>
      </c>
      <c r="Q101">
        <v>0.05</v>
      </c>
      <c r="R101" t="s">
        <v>29</v>
      </c>
      <c r="S101" t="s">
        <v>17</v>
      </c>
      <c r="T101" t="s">
        <v>47</v>
      </c>
      <c r="U101" t="str">
        <f t="shared" si="14"/>
        <v>Low-Cost</v>
      </c>
    </row>
    <row r="102" spans="1:21" x14ac:dyDescent="0.3">
      <c r="A102">
        <v>1009</v>
      </c>
      <c r="B102" s="1">
        <v>44955</v>
      </c>
      <c r="C102" s="2" t="s">
        <v>36</v>
      </c>
      <c r="D102" t="s">
        <v>19</v>
      </c>
      <c r="E102">
        <v>16</v>
      </c>
      <c r="F102" t="s">
        <v>27</v>
      </c>
      <c r="G102">
        <f>1</f>
        <v>1</v>
      </c>
      <c r="H102" s="3">
        <v>3745.69</v>
      </c>
      <c r="I102" s="3">
        <v>3883.77</v>
      </c>
      <c r="J102" s="3">
        <f t="shared" si="8"/>
        <v>3184.6914000000002</v>
      </c>
      <c r="K102" s="3">
        <f t="shared" si="9"/>
        <v>50955.062400000003</v>
      </c>
      <c r="L102" s="3">
        <f t="shared" si="12"/>
        <v>59931.040000000001</v>
      </c>
      <c r="M102" s="8">
        <f t="shared" si="13"/>
        <v>-8975.9775999999983</v>
      </c>
      <c r="N102" s="4">
        <f t="shared" si="10"/>
        <v>-0.17615477593841583</v>
      </c>
      <c r="O102" s="4" t="str">
        <f t="shared" si="11"/>
        <v>Loss</v>
      </c>
      <c r="P102" t="s">
        <v>15</v>
      </c>
      <c r="Q102">
        <v>0.18</v>
      </c>
      <c r="R102" t="s">
        <v>25</v>
      </c>
      <c r="S102" t="s">
        <v>20</v>
      </c>
      <c r="T102" t="s">
        <v>39</v>
      </c>
      <c r="U102" t="str">
        <f t="shared" si="14"/>
        <v>High-Cost</v>
      </c>
    </row>
    <row r="103" spans="1:21" x14ac:dyDescent="0.3">
      <c r="A103">
        <v>1009</v>
      </c>
      <c r="B103" s="1">
        <v>45015</v>
      </c>
      <c r="C103" s="2" t="s">
        <v>31</v>
      </c>
      <c r="D103" t="s">
        <v>23</v>
      </c>
      <c r="E103">
        <v>10</v>
      </c>
      <c r="F103" t="s">
        <v>27</v>
      </c>
      <c r="G103">
        <f>1</f>
        <v>1</v>
      </c>
      <c r="H103" s="3">
        <v>4364.3500000000004</v>
      </c>
      <c r="I103" s="3">
        <v>4710.1000000000004</v>
      </c>
      <c r="J103" s="3">
        <f t="shared" si="8"/>
        <v>4380.393</v>
      </c>
      <c r="K103" s="3">
        <f t="shared" si="9"/>
        <v>43803.93</v>
      </c>
      <c r="L103" s="3">
        <f t="shared" si="12"/>
        <v>43643.5</v>
      </c>
      <c r="M103" s="8">
        <f t="shared" si="13"/>
        <v>160.43000000000029</v>
      </c>
      <c r="N103" s="4">
        <f t="shared" si="10"/>
        <v>3.6624567704313356E-3</v>
      </c>
      <c r="O103" s="4" t="str">
        <f t="shared" si="11"/>
        <v>Profit</v>
      </c>
      <c r="P103" t="s">
        <v>28</v>
      </c>
      <c r="Q103">
        <v>7.0000000000000007E-2</v>
      </c>
      <c r="R103" t="s">
        <v>29</v>
      </c>
      <c r="S103" t="s">
        <v>17</v>
      </c>
      <c r="T103" t="s">
        <v>42</v>
      </c>
      <c r="U103" t="str">
        <f t="shared" si="14"/>
        <v>High-Cost</v>
      </c>
    </row>
    <row r="104" spans="1:21" x14ac:dyDescent="0.3">
      <c r="A104">
        <v>1010</v>
      </c>
      <c r="B104" s="1">
        <v>45211</v>
      </c>
      <c r="C104" s="2" t="s">
        <v>31</v>
      </c>
      <c r="D104" t="s">
        <v>13</v>
      </c>
      <c r="E104">
        <v>20</v>
      </c>
      <c r="F104" t="s">
        <v>14</v>
      </c>
      <c r="G104">
        <f>1</f>
        <v>1</v>
      </c>
      <c r="H104" s="3">
        <v>4298.74</v>
      </c>
      <c r="I104" s="3">
        <v>4475.1899999999996</v>
      </c>
      <c r="J104" s="3">
        <f t="shared" si="8"/>
        <v>3759.1595999999995</v>
      </c>
      <c r="K104" s="3">
        <f t="shared" si="9"/>
        <v>75183.191999999981</v>
      </c>
      <c r="L104" s="3">
        <f t="shared" si="12"/>
        <v>85974.799999999988</v>
      </c>
      <c r="M104" s="8">
        <f t="shared" si="13"/>
        <v>-10791.608000000007</v>
      </c>
      <c r="N104" s="4">
        <f t="shared" si="10"/>
        <v>-0.14353750769187892</v>
      </c>
      <c r="O104" s="4" t="str">
        <f t="shared" si="11"/>
        <v>Loss</v>
      </c>
      <c r="P104" t="s">
        <v>15</v>
      </c>
      <c r="Q104">
        <v>0.16</v>
      </c>
      <c r="R104" t="s">
        <v>16</v>
      </c>
      <c r="S104" t="s">
        <v>17</v>
      </c>
      <c r="T104" t="s">
        <v>51</v>
      </c>
      <c r="U104" t="str">
        <f t="shared" si="14"/>
        <v>High-Cost</v>
      </c>
    </row>
    <row r="105" spans="1:21" x14ac:dyDescent="0.3">
      <c r="A105">
        <v>1010</v>
      </c>
      <c r="B105" s="1">
        <v>45031</v>
      </c>
      <c r="C105" s="2" t="s">
        <v>31</v>
      </c>
      <c r="D105" t="s">
        <v>13</v>
      </c>
      <c r="E105">
        <v>4</v>
      </c>
      <c r="F105" t="s">
        <v>24</v>
      </c>
      <c r="G105">
        <f>1</f>
        <v>1</v>
      </c>
      <c r="H105" s="3">
        <v>4943.03</v>
      </c>
      <c r="I105" s="3">
        <v>5442.15</v>
      </c>
      <c r="J105" s="3">
        <f t="shared" si="8"/>
        <v>3863.9264999999996</v>
      </c>
      <c r="K105" s="3">
        <f t="shared" si="9"/>
        <v>15455.705999999998</v>
      </c>
      <c r="L105" s="3">
        <f t="shared" si="12"/>
        <v>19772.12</v>
      </c>
      <c r="M105" s="8">
        <f t="shared" si="13"/>
        <v>-4316.4140000000007</v>
      </c>
      <c r="N105" s="4">
        <f t="shared" si="10"/>
        <v>-0.27927640445541607</v>
      </c>
      <c r="O105" s="4" t="str">
        <f t="shared" si="11"/>
        <v>Loss</v>
      </c>
      <c r="P105" t="s">
        <v>15</v>
      </c>
      <c r="Q105">
        <v>0.28999999999999998</v>
      </c>
      <c r="R105" t="s">
        <v>16</v>
      </c>
      <c r="S105" t="s">
        <v>17</v>
      </c>
      <c r="T105" t="s">
        <v>51</v>
      </c>
      <c r="U105" t="str">
        <f t="shared" si="14"/>
        <v>High-Cost</v>
      </c>
    </row>
    <row r="106" spans="1:21" x14ac:dyDescent="0.3">
      <c r="A106">
        <v>1010</v>
      </c>
      <c r="B106" s="1">
        <v>44973</v>
      </c>
      <c r="C106" s="2" t="s">
        <v>22</v>
      </c>
      <c r="D106" t="s">
        <v>32</v>
      </c>
      <c r="E106">
        <v>47</v>
      </c>
      <c r="F106" t="s">
        <v>14</v>
      </c>
      <c r="G106">
        <f>1</f>
        <v>1</v>
      </c>
      <c r="H106" s="3">
        <v>2265.38</v>
      </c>
      <c r="I106" s="3">
        <v>2429.9299999999998</v>
      </c>
      <c r="J106" s="3">
        <f t="shared" si="8"/>
        <v>2284.1341999999995</v>
      </c>
      <c r="K106" s="3">
        <f t="shared" si="9"/>
        <v>107354.30739999999</v>
      </c>
      <c r="L106" s="3">
        <f t="shared" si="12"/>
        <v>106472.86</v>
      </c>
      <c r="M106" s="8">
        <f t="shared" si="13"/>
        <v>881.44739999999001</v>
      </c>
      <c r="N106" s="4">
        <f t="shared" si="10"/>
        <v>8.2106384117009365E-3</v>
      </c>
      <c r="O106" s="4" t="str">
        <f t="shared" si="11"/>
        <v>Profit</v>
      </c>
      <c r="P106" t="s">
        <v>15</v>
      </c>
      <c r="Q106">
        <v>0.06</v>
      </c>
      <c r="R106" t="s">
        <v>25</v>
      </c>
      <c r="S106" t="s">
        <v>17</v>
      </c>
      <c r="T106" t="s">
        <v>48</v>
      </c>
      <c r="U106" t="str">
        <f t="shared" si="14"/>
        <v>Low-Cost</v>
      </c>
    </row>
    <row r="107" spans="1:21" x14ac:dyDescent="0.3">
      <c r="A107">
        <v>1010</v>
      </c>
      <c r="B107" s="1">
        <v>45285</v>
      </c>
      <c r="C107" s="2" t="s">
        <v>22</v>
      </c>
      <c r="D107" t="s">
        <v>23</v>
      </c>
      <c r="E107">
        <v>30</v>
      </c>
      <c r="F107" t="s">
        <v>24</v>
      </c>
      <c r="G107">
        <f>1</f>
        <v>1</v>
      </c>
      <c r="H107" s="3">
        <v>3289.01</v>
      </c>
      <c r="I107" s="3">
        <v>3508.14</v>
      </c>
      <c r="J107" s="3">
        <f t="shared" si="8"/>
        <v>2911.7561999999998</v>
      </c>
      <c r="K107" s="3">
        <f t="shared" si="9"/>
        <v>87352.685999999987</v>
      </c>
      <c r="L107" s="3">
        <f t="shared" si="12"/>
        <v>98670.3</v>
      </c>
      <c r="M107" s="8">
        <f t="shared" si="13"/>
        <v>-11317.614000000016</v>
      </c>
      <c r="N107" s="4">
        <f t="shared" si="10"/>
        <v>-0.12956228959004212</v>
      </c>
      <c r="O107" s="4" t="str">
        <f t="shared" si="11"/>
        <v>Loss</v>
      </c>
      <c r="P107" t="s">
        <v>28</v>
      </c>
      <c r="Q107">
        <v>0.17</v>
      </c>
      <c r="R107" t="s">
        <v>25</v>
      </c>
      <c r="S107" t="s">
        <v>20</v>
      </c>
      <c r="T107" t="s">
        <v>26</v>
      </c>
      <c r="U107" t="str">
        <f t="shared" si="14"/>
        <v>High-Cost</v>
      </c>
    </row>
    <row r="108" spans="1:21" x14ac:dyDescent="0.3">
      <c r="A108">
        <v>1010</v>
      </c>
      <c r="B108" s="1">
        <v>45012</v>
      </c>
      <c r="C108" s="2" t="s">
        <v>36</v>
      </c>
      <c r="D108" t="s">
        <v>23</v>
      </c>
      <c r="E108">
        <v>37</v>
      </c>
      <c r="F108" t="s">
        <v>27</v>
      </c>
      <c r="G108">
        <f>1</f>
        <v>1</v>
      </c>
      <c r="H108" s="3">
        <v>4354.92</v>
      </c>
      <c r="I108" s="3">
        <v>4495.88</v>
      </c>
      <c r="J108" s="3">
        <f t="shared" si="8"/>
        <v>4450.9211999999998</v>
      </c>
      <c r="K108" s="3">
        <f t="shared" si="9"/>
        <v>164684.08439999999</v>
      </c>
      <c r="L108" s="3">
        <f t="shared" si="12"/>
        <v>161132.04</v>
      </c>
      <c r="M108" s="8">
        <f t="shared" si="13"/>
        <v>3552.0443999999843</v>
      </c>
      <c r="N108" s="4">
        <f t="shared" si="10"/>
        <v>2.1568838378895491E-2</v>
      </c>
      <c r="O108" s="4" t="str">
        <f t="shared" si="11"/>
        <v>Profit</v>
      </c>
      <c r="P108" t="s">
        <v>15</v>
      </c>
      <c r="Q108">
        <v>0.01</v>
      </c>
      <c r="R108" t="s">
        <v>25</v>
      </c>
      <c r="S108" t="s">
        <v>17</v>
      </c>
      <c r="T108" t="s">
        <v>37</v>
      </c>
      <c r="U108" t="str">
        <f t="shared" si="14"/>
        <v>High-Cost</v>
      </c>
    </row>
    <row r="109" spans="1:21" x14ac:dyDescent="0.3">
      <c r="A109">
        <v>1010</v>
      </c>
      <c r="B109" s="1">
        <v>45014</v>
      </c>
      <c r="C109" s="2" t="s">
        <v>40</v>
      </c>
      <c r="D109" t="s">
        <v>23</v>
      </c>
      <c r="E109">
        <v>49</v>
      </c>
      <c r="F109" t="s">
        <v>24</v>
      </c>
      <c r="G109">
        <f>1</f>
        <v>1</v>
      </c>
      <c r="H109" s="3">
        <v>1150.3</v>
      </c>
      <c r="I109" s="3">
        <v>1306.02</v>
      </c>
      <c r="J109" s="3">
        <f t="shared" si="8"/>
        <v>1227.6587999999999</v>
      </c>
      <c r="K109" s="3">
        <f t="shared" si="9"/>
        <v>60155.28119999999</v>
      </c>
      <c r="L109" s="3">
        <f t="shared" si="12"/>
        <v>56364.7</v>
      </c>
      <c r="M109" s="8">
        <f t="shared" si="13"/>
        <v>3790.5811999999933</v>
      </c>
      <c r="N109" s="4">
        <f t="shared" si="10"/>
        <v>6.3013273720678636E-2</v>
      </c>
      <c r="O109" s="4" t="str">
        <f t="shared" si="11"/>
        <v>Profit</v>
      </c>
      <c r="P109" t="s">
        <v>28</v>
      </c>
      <c r="Q109">
        <v>0.06</v>
      </c>
      <c r="R109" t="s">
        <v>29</v>
      </c>
      <c r="S109" t="s">
        <v>20</v>
      </c>
      <c r="T109" t="s">
        <v>41</v>
      </c>
      <c r="U109" t="str">
        <f t="shared" si="14"/>
        <v>Low-Cost</v>
      </c>
    </row>
    <row r="110" spans="1:21" x14ac:dyDescent="0.3">
      <c r="A110">
        <v>1011</v>
      </c>
      <c r="B110" s="1">
        <v>45263</v>
      </c>
      <c r="C110" s="2" t="s">
        <v>12</v>
      </c>
      <c r="D110" t="s">
        <v>32</v>
      </c>
      <c r="E110">
        <v>13</v>
      </c>
      <c r="F110" t="s">
        <v>33</v>
      </c>
      <c r="G110">
        <f>1</f>
        <v>1</v>
      </c>
      <c r="H110" s="3">
        <v>1442.69</v>
      </c>
      <c r="I110" s="3">
        <v>1882.57</v>
      </c>
      <c r="J110" s="3">
        <f t="shared" si="8"/>
        <v>1355.4503999999999</v>
      </c>
      <c r="K110" s="3">
        <f t="shared" si="9"/>
        <v>17620.855199999998</v>
      </c>
      <c r="L110" s="3">
        <f t="shared" si="12"/>
        <v>18754.97</v>
      </c>
      <c r="M110" s="8">
        <f t="shared" si="13"/>
        <v>-1134.114800000003</v>
      </c>
      <c r="N110" s="4">
        <f t="shared" si="10"/>
        <v>-6.4362074776030342E-2</v>
      </c>
      <c r="O110" s="4" t="str">
        <f t="shared" si="11"/>
        <v>Loss</v>
      </c>
      <c r="P110" t="s">
        <v>15</v>
      </c>
      <c r="Q110">
        <v>0.28000000000000003</v>
      </c>
      <c r="R110" t="s">
        <v>16</v>
      </c>
      <c r="S110" t="s">
        <v>17</v>
      </c>
      <c r="T110" t="s">
        <v>44</v>
      </c>
      <c r="U110" t="str">
        <f t="shared" si="14"/>
        <v>Low-Cost</v>
      </c>
    </row>
    <row r="111" spans="1:21" x14ac:dyDescent="0.3">
      <c r="A111">
        <v>1011</v>
      </c>
      <c r="B111" s="1">
        <v>45091</v>
      </c>
      <c r="C111" s="2" t="s">
        <v>40</v>
      </c>
      <c r="D111" t="s">
        <v>23</v>
      </c>
      <c r="E111">
        <v>38</v>
      </c>
      <c r="F111" t="s">
        <v>14</v>
      </c>
      <c r="G111">
        <f>1</f>
        <v>1</v>
      </c>
      <c r="H111" s="3">
        <v>4456.67</v>
      </c>
      <c r="I111" s="3">
        <v>4642.46</v>
      </c>
      <c r="J111" s="3">
        <f t="shared" si="8"/>
        <v>4363.9124000000002</v>
      </c>
      <c r="K111" s="3">
        <f t="shared" si="9"/>
        <v>165828.67120000001</v>
      </c>
      <c r="L111" s="3">
        <f t="shared" si="12"/>
        <v>169353.46</v>
      </c>
      <c r="M111" s="8">
        <f t="shared" si="13"/>
        <v>-3524.7887999999803</v>
      </c>
      <c r="N111" s="4">
        <f t="shared" si="10"/>
        <v>-2.1255605405827917E-2</v>
      </c>
      <c r="O111" s="4" t="str">
        <f t="shared" si="11"/>
        <v>Loss</v>
      </c>
      <c r="P111" t="s">
        <v>28</v>
      </c>
      <c r="Q111">
        <v>0.06</v>
      </c>
      <c r="R111" t="s">
        <v>25</v>
      </c>
      <c r="S111" t="s">
        <v>17</v>
      </c>
      <c r="T111" t="s">
        <v>41</v>
      </c>
      <c r="U111" t="str">
        <f t="shared" si="14"/>
        <v>High-Cost</v>
      </c>
    </row>
    <row r="112" spans="1:21" x14ac:dyDescent="0.3">
      <c r="A112">
        <v>1011</v>
      </c>
      <c r="B112" s="1">
        <v>45005</v>
      </c>
      <c r="C112" s="2" t="s">
        <v>12</v>
      </c>
      <c r="D112" t="s">
        <v>32</v>
      </c>
      <c r="E112">
        <v>2</v>
      </c>
      <c r="F112" t="s">
        <v>14</v>
      </c>
      <c r="G112">
        <f>1</f>
        <v>1</v>
      </c>
      <c r="H112" s="3">
        <v>4906.17</v>
      </c>
      <c r="I112" s="3">
        <v>5107.43</v>
      </c>
      <c r="J112" s="3">
        <f t="shared" si="8"/>
        <v>4596.6870000000008</v>
      </c>
      <c r="K112" s="3">
        <f t="shared" si="9"/>
        <v>9193.3740000000016</v>
      </c>
      <c r="L112" s="3">
        <f t="shared" si="12"/>
        <v>9812.34</v>
      </c>
      <c r="M112" s="8">
        <f t="shared" si="13"/>
        <v>-618.96599999999853</v>
      </c>
      <c r="N112" s="4">
        <f t="shared" si="10"/>
        <v>-6.7327403410325573E-2</v>
      </c>
      <c r="O112" s="4" t="str">
        <f t="shared" si="11"/>
        <v>Loss</v>
      </c>
      <c r="P112" t="s">
        <v>15</v>
      </c>
      <c r="Q112">
        <v>0.1</v>
      </c>
      <c r="R112" t="s">
        <v>16</v>
      </c>
      <c r="S112" t="s">
        <v>17</v>
      </c>
      <c r="T112" t="s">
        <v>44</v>
      </c>
      <c r="U112" t="str">
        <f t="shared" si="14"/>
        <v>High-Cost</v>
      </c>
    </row>
    <row r="113" spans="1:21" x14ac:dyDescent="0.3">
      <c r="A113">
        <v>1011</v>
      </c>
      <c r="B113" s="1">
        <v>44951</v>
      </c>
      <c r="C113" s="2" t="s">
        <v>36</v>
      </c>
      <c r="D113" t="s">
        <v>13</v>
      </c>
      <c r="E113">
        <v>22</v>
      </c>
      <c r="F113" t="s">
        <v>33</v>
      </c>
      <c r="G113">
        <f>1</f>
        <v>1</v>
      </c>
      <c r="H113" s="3">
        <v>1324.52</v>
      </c>
      <c r="I113" s="3">
        <v>1510.3</v>
      </c>
      <c r="J113" s="3">
        <f t="shared" si="8"/>
        <v>1283.7549999999999</v>
      </c>
      <c r="K113" s="3">
        <f t="shared" si="9"/>
        <v>28242.609999999997</v>
      </c>
      <c r="L113" s="3">
        <f t="shared" si="12"/>
        <v>29139.439999999999</v>
      </c>
      <c r="M113" s="8">
        <f t="shared" si="13"/>
        <v>-896.83000000000175</v>
      </c>
      <c r="N113" s="4">
        <f t="shared" si="10"/>
        <v>-3.1754501443032421E-2</v>
      </c>
      <c r="O113" s="4" t="str">
        <f t="shared" si="11"/>
        <v>Loss</v>
      </c>
      <c r="P113" t="s">
        <v>15</v>
      </c>
      <c r="Q113">
        <v>0.15</v>
      </c>
      <c r="R113" t="s">
        <v>16</v>
      </c>
      <c r="S113" t="s">
        <v>20</v>
      </c>
      <c r="T113" t="s">
        <v>38</v>
      </c>
      <c r="U113" t="str">
        <f t="shared" si="14"/>
        <v>Low-Cost</v>
      </c>
    </row>
    <row r="114" spans="1:21" x14ac:dyDescent="0.3">
      <c r="A114">
        <v>1012</v>
      </c>
      <c r="B114" s="1">
        <v>45085</v>
      </c>
      <c r="C114" s="2" t="s">
        <v>12</v>
      </c>
      <c r="D114" t="s">
        <v>32</v>
      </c>
      <c r="E114">
        <v>19</v>
      </c>
      <c r="F114" t="s">
        <v>14</v>
      </c>
      <c r="G114">
        <f>1</f>
        <v>1</v>
      </c>
      <c r="H114" s="3">
        <v>3457.28</v>
      </c>
      <c r="I114" s="3">
        <v>3598.72</v>
      </c>
      <c r="J114" s="3">
        <f t="shared" si="8"/>
        <v>2627.0655999999999</v>
      </c>
      <c r="K114" s="3">
        <f t="shared" si="9"/>
        <v>49914.246399999996</v>
      </c>
      <c r="L114" s="3">
        <f t="shared" si="12"/>
        <v>65688.320000000007</v>
      </c>
      <c r="M114" s="8">
        <f t="shared" si="13"/>
        <v>-15774.073600000011</v>
      </c>
      <c r="N114" s="4">
        <f t="shared" si="10"/>
        <v>-0.31602347501333833</v>
      </c>
      <c r="O114" s="4" t="str">
        <f t="shared" si="11"/>
        <v>Loss</v>
      </c>
      <c r="P114" t="s">
        <v>28</v>
      </c>
      <c r="Q114">
        <v>0.27</v>
      </c>
      <c r="R114" t="s">
        <v>25</v>
      </c>
      <c r="S114" t="s">
        <v>17</v>
      </c>
      <c r="T114" t="s">
        <v>44</v>
      </c>
      <c r="U114" t="str">
        <f t="shared" si="14"/>
        <v>High-Cost</v>
      </c>
    </row>
    <row r="115" spans="1:21" x14ac:dyDescent="0.3">
      <c r="A115">
        <v>1012</v>
      </c>
      <c r="B115" s="1">
        <v>45055</v>
      </c>
      <c r="C115" s="2" t="s">
        <v>22</v>
      </c>
      <c r="D115" t="s">
        <v>19</v>
      </c>
      <c r="E115">
        <v>13</v>
      </c>
      <c r="F115" t="s">
        <v>24</v>
      </c>
      <c r="G115">
        <f>1</f>
        <v>1</v>
      </c>
      <c r="H115" s="3">
        <v>1311.01</v>
      </c>
      <c r="I115" s="3">
        <v>1538.79</v>
      </c>
      <c r="J115" s="3">
        <f t="shared" si="8"/>
        <v>1400.2989</v>
      </c>
      <c r="K115" s="3">
        <f t="shared" si="9"/>
        <v>18203.885700000003</v>
      </c>
      <c r="L115" s="3">
        <f t="shared" si="12"/>
        <v>17043.13</v>
      </c>
      <c r="M115" s="8">
        <f t="shared" si="13"/>
        <v>1160.7557000000015</v>
      </c>
      <c r="N115" s="4">
        <f t="shared" si="10"/>
        <v>6.3764172063550215E-2</v>
      </c>
      <c r="O115" s="4" t="str">
        <f t="shared" si="11"/>
        <v>Profit</v>
      </c>
      <c r="P115" t="s">
        <v>15</v>
      </c>
      <c r="Q115">
        <v>0.09</v>
      </c>
      <c r="R115" t="s">
        <v>25</v>
      </c>
      <c r="S115" t="s">
        <v>20</v>
      </c>
      <c r="T115" t="s">
        <v>45</v>
      </c>
      <c r="U115" t="str">
        <f t="shared" si="14"/>
        <v>Low-Cost</v>
      </c>
    </row>
    <row r="116" spans="1:21" x14ac:dyDescent="0.3">
      <c r="A116">
        <v>1012</v>
      </c>
      <c r="B116" s="1">
        <v>44939</v>
      </c>
      <c r="C116" s="2" t="s">
        <v>40</v>
      </c>
      <c r="D116" t="s">
        <v>32</v>
      </c>
      <c r="E116">
        <v>39</v>
      </c>
      <c r="F116" t="s">
        <v>14</v>
      </c>
      <c r="G116">
        <f>1</f>
        <v>1</v>
      </c>
      <c r="H116" s="3">
        <v>3126.52</v>
      </c>
      <c r="I116" s="3">
        <v>3465.79</v>
      </c>
      <c r="J116" s="3">
        <f t="shared" si="8"/>
        <v>3188.5268000000001</v>
      </c>
      <c r="K116" s="3">
        <f t="shared" si="9"/>
        <v>124352.54520000001</v>
      </c>
      <c r="L116" s="3">
        <f t="shared" si="12"/>
        <v>121934.28</v>
      </c>
      <c r="M116" s="8">
        <f t="shared" si="13"/>
        <v>2418.2652000000089</v>
      </c>
      <c r="N116" s="4">
        <f t="shared" si="10"/>
        <v>1.9446849247119462E-2</v>
      </c>
      <c r="O116" s="4" t="str">
        <f t="shared" si="11"/>
        <v>Profit</v>
      </c>
      <c r="P116" t="s">
        <v>28</v>
      </c>
      <c r="Q116">
        <v>0.08</v>
      </c>
      <c r="R116" t="s">
        <v>16</v>
      </c>
      <c r="S116" t="s">
        <v>17</v>
      </c>
      <c r="T116" t="s">
        <v>50</v>
      </c>
      <c r="U116" t="str">
        <f t="shared" si="14"/>
        <v>High-Cost</v>
      </c>
    </row>
    <row r="117" spans="1:21" x14ac:dyDescent="0.3">
      <c r="A117">
        <v>1012</v>
      </c>
      <c r="B117" s="1">
        <v>45244</v>
      </c>
      <c r="C117" s="2" t="s">
        <v>36</v>
      </c>
      <c r="D117" t="s">
        <v>13</v>
      </c>
      <c r="E117">
        <v>6</v>
      </c>
      <c r="F117" t="s">
        <v>27</v>
      </c>
      <c r="G117">
        <f>1</f>
        <v>1</v>
      </c>
      <c r="H117" s="3">
        <v>3609.42</v>
      </c>
      <c r="I117" s="3">
        <v>4082.62</v>
      </c>
      <c r="J117" s="3">
        <f t="shared" si="8"/>
        <v>2857.8339999999998</v>
      </c>
      <c r="K117" s="3">
        <f t="shared" si="9"/>
        <v>17147.004000000001</v>
      </c>
      <c r="L117" s="3">
        <f t="shared" si="12"/>
        <v>21656.52</v>
      </c>
      <c r="M117" s="8">
        <f t="shared" si="13"/>
        <v>-4509.5159999999996</v>
      </c>
      <c r="N117" s="4">
        <f t="shared" si="10"/>
        <v>-0.26299148236041697</v>
      </c>
      <c r="O117" s="4" t="str">
        <f t="shared" si="11"/>
        <v>Loss</v>
      </c>
      <c r="P117" t="s">
        <v>15</v>
      </c>
      <c r="Q117">
        <v>0.3</v>
      </c>
      <c r="R117" t="s">
        <v>25</v>
      </c>
      <c r="S117" t="s">
        <v>20</v>
      </c>
      <c r="T117" t="s">
        <v>38</v>
      </c>
      <c r="U117" t="str">
        <f t="shared" si="14"/>
        <v>High-Cost</v>
      </c>
    </row>
    <row r="118" spans="1:21" x14ac:dyDescent="0.3">
      <c r="A118">
        <v>1012</v>
      </c>
      <c r="B118" s="1">
        <v>45244</v>
      </c>
      <c r="C118" s="2" t="s">
        <v>22</v>
      </c>
      <c r="D118" t="s">
        <v>13</v>
      </c>
      <c r="E118">
        <v>14</v>
      </c>
      <c r="F118" t="s">
        <v>33</v>
      </c>
      <c r="G118">
        <f>1</f>
        <v>1</v>
      </c>
      <c r="H118" s="3">
        <v>1185.5</v>
      </c>
      <c r="I118" s="3">
        <v>1271.45</v>
      </c>
      <c r="J118" s="3">
        <f t="shared" si="8"/>
        <v>1233.3064999999999</v>
      </c>
      <c r="K118" s="3">
        <f t="shared" si="9"/>
        <v>17266.290999999997</v>
      </c>
      <c r="L118" s="3">
        <f t="shared" si="12"/>
        <v>16597</v>
      </c>
      <c r="M118" s="8">
        <f t="shared" si="13"/>
        <v>669.29099999999744</v>
      </c>
      <c r="N118" s="4">
        <f t="shared" si="10"/>
        <v>3.8762870381368969E-2</v>
      </c>
      <c r="O118" s="4" t="str">
        <f t="shared" si="11"/>
        <v>Profit</v>
      </c>
      <c r="P118" t="s">
        <v>15</v>
      </c>
      <c r="Q118">
        <v>0.03</v>
      </c>
      <c r="R118" t="s">
        <v>25</v>
      </c>
      <c r="S118" t="s">
        <v>20</v>
      </c>
      <c r="T118" t="s">
        <v>43</v>
      </c>
      <c r="U118" t="str">
        <f t="shared" si="14"/>
        <v>Low-Cost</v>
      </c>
    </row>
    <row r="119" spans="1:21" x14ac:dyDescent="0.3">
      <c r="A119">
        <v>1012</v>
      </c>
      <c r="B119" s="1">
        <v>45275</v>
      </c>
      <c r="C119" s="2" t="s">
        <v>12</v>
      </c>
      <c r="D119" t="s">
        <v>19</v>
      </c>
      <c r="E119">
        <v>13</v>
      </c>
      <c r="F119" t="s">
        <v>33</v>
      </c>
      <c r="G119">
        <f>1</f>
        <v>1</v>
      </c>
      <c r="H119" s="3">
        <v>2231.66</v>
      </c>
      <c r="I119" s="3">
        <v>2596.61</v>
      </c>
      <c r="J119" s="3">
        <f t="shared" si="8"/>
        <v>2362.9151000000002</v>
      </c>
      <c r="K119" s="3">
        <f t="shared" si="9"/>
        <v>30717.8963</v>
      </c>
      <c r="L119" s="3">
        <f t="shared" si="12"/>
        <v>29011.579999999998</v>
      </c>
      <c r="M119" s="8">
        <f t="shared" si="13"/>
        <v>1706.3163000000022</v>
      </c>
      <c r="N119" s="4">
        <f t="shared" si="10"/>
        <v>5.5547954304409911E-2</v>
      </c>
      <c r="O119" s="4" t="str">
        <f t="shared" si="11"/>
        <v>Profit</v>
      </c>
      <c r="P119" t="s">
        <v>15</v>
      </c>
      <c r="Q119">
        <v>0.09</v>
      </c>
      <c r="R119" t="s">
        <v>25</v>
      </c>
      <c r="S119" t="s">
        <v>20</v>
      </c>
      <c r="T119" t="s">
        <v>21</v>
      </c>
      <c r="U119" t="str">
        <f t="shared" si="14"/>
        <v>Low-Cost</v>
      </c>
    </row>
    <row r="120" spans="1:21" x14ac:dyDescent="0.3">
      <c r="A120">
        <v>1012</v>
      </c>
      <c r="B120" s="1">
        <v>45185</v>
      </c>
      <c r="C120" s="2" t="s">
        <v>22</v>
      </c>
      <c r="D120" t="s">
        <v>23</v>
      </c>
      <c r="E120">
        <v>19</v>
      </c>
      <c r="F120" t="s">
        <v>33</v>
      </c>
      <c r="G120">
        <f>1</f>
        <v>1</v>
      </c>
      <c r="H120" s="3">
        <v>1427.42</v>
      </c>
      <c r="I120" s="3">
        <v>1763.69</v>
      </c>
      <c r="J120" s="3">
        <f t="shared" si="8"/>
        <v>1710.7792999999999</v>
      </c>
      <c r="K120" s="3">
        <f t="shared" si="9"/>
        <v>32504.806700000001</v>
      </c>
      <c r="L120" s="3">
        <f t="shared" si="12"/>
        <v>27120.980000000003</v>
      </c>
      <c r="M120" s="8">
        <f t="shared" si="13"/>
        <v>5383.8266999999978</v>
      </c>
      <c r="N120" s="4">
        <f t="shared" si="10"/>
        <v>0.16563170947883218</v>
      </c>
      <c r="O120" s="4" t="str">
        <f t="shared" si="11"/>
        <v>Profit</v>
      </c>
      <c r="P120" t="s">
        <v>28</v>
      </c>
      <c r="Q120">
        <v>0.03</v>
      </c>
      <c r="R120" t="s">
        <v>16</v>
      </c>
      <c r="S120" t="s">
        <v>20</v>
      </c>
      <c r="T120" t="s">
        <v>26</v>
      </c>
      <c r="U120" t="str">
        <f t="shared" si="14"/>
        <v>Low-Cost</v>
      </c>
    </row>
    <row r="121" spans="1:21" x14ac:dyDescent="0.3">
      <c r="A121">
        <v>1012</v>
      </c>
      <c r="B121" s="1">
        <v>45034</v>
      </c>
      <c r="C121" s="2" t="s">
        <v>40</v>
      </c>
      <c r="D121" t="s">
        <v>23</v>
      </c>
      <c r="E121">
        <v>9</v>
      </c>
      <c r="F121" t="s">
        <v>33</v>
      </c>
      <c r="G121">
        <f>1</f>
        <v>1</v>
      </c>
      <c r="H121" s="3">
        <v>709.97</v>
      </c>
      <c r="I121" s="3">
        <v>1029.71</v>
      </c>
      <c r="J121" s="3">
        <f t="shared" si="8"/>
        <v>895.84770000000003</v>
      </c>
      <c r="K121" s="3">
        <f t="shared" si="9"/>
        <v>8062.6292999999996</v>
      </c>
      <c r="L121" s="3">
        <f t="shared" si="12"/>
        <v>6389.7300000000005</v>
      </c>
      <c r="M121" s="8">
        <f t="shared" si="13"/>
        <v>1672.8992999999991</v>
      </c>
      <c r="N121" s="4">
        <f t="shared" si="10"/>
        <v>0.20748805851708935</v>
      </c>
      <c r="O121" s="4" t="str">
        <f t="shared" si="11"/>
        <v>Profit</v>
      </c>
      <c r="P121" t="s">
        <v>15</v>
      </c>
      <c r="Q121">
        <v>0.13</v>
      </c>
      <c r="R121" t="s">
        <v>25</v>
      </c>
      <c r="S121" t="s">
        <v>20</v>
      </c>
      <c r="T121" t="s">
        <v>41</v>
      </c>
      <c r="U121" t="str">
        <f t="shared" si="14"/>
        <v>Low-Cost</v>
      </c>
    </row>
    <row r="122" spans="1:21" x14ac:dyDescent="0.3">
      <c r="A122">
        <v>1012</v>
      </c>
      <c r="B122" s="1">
        <v>45066</v>
      </c>
      <c r="C122" s="2" t="s">
        <v>12</v>
      </c>
      <c r="D122" t="s">
        <v>13</v>
      </c>
      <c r="E122">
        <v>16</v>
      </c>
      <c r="F122" t="s">
        <v>24</v>
      </c>
      <c r="G122">
        <f>1</f>
        <v>1</v>
      </c>
      <c r="H122" s="3">
        <v>3466.11</v>
      </c>
      <c r="I122" s="3">
        <v>3799.67</v>
      </c>
      <c r="J122" s="3">
        <f t="shared" si="8"/>
        <v>3761.6732999999999</v>
      </c>
      <c r="K122" s="3">
        <f t="shared" si="9"/>
        <v>60186.772799999999</v>
      </c>
      <c r="L122" s="3">
        <f t="shared" si="12"/>
        <v>55457.760000000002</v>
      </c>
      <c r="M122" s="8">
        <f t="shared" si="13"/>
        <v>4729.0127999999968</v>
      </c>
      <c r="N122" s="4">
        <f t="shared" si="10"/>
        <v>7.8572293877833516E-2</v>
      </c>
      <c r="O122" s="4" t="str">
        <f t="shared" si="11"/>
        <v>Profit</v>
      </c>
      <c r="P122" t="s">
        <v>15</v>
      </c>
      <c r="Q122">
        <v>0.01</v>
      </c>
      <c r="R122" t="s">
        <v>16</v>
      </c>
      <c r="S122" t="s">
        <v>20</v>
      </c>
      <c r="T122" t="s">
        <v>18</v>
      </c>
      <c r="U122" t="str">
        <f t="shared" si="14"/>
        <v>High-Cost</v>
      </c>
    </row>
    <row r="123" spans="1:21" x14ac:dyDescent="0.3">
      <c r="A123">
        <v>1012</v>
      </c>
      <c r="B123" s="1">
        <v>45097</v>
      </c>
      <c r="C123" s="2" t="s">
        <v>40</v>
      </c>
      <c r="D123" t="s">
        <v>23</v>
      </c>
      <c r="E123">
        <v>47</v>
      </c>
      <c r="F123" t="s">
        <v>27</v>
      </c>
      <c r="G123">
        <f>1</f>
        <v>1</v>
      </c>
      <c r="H123" s="3">
        <v>325.75</v>
      </c>
      <c r="I123" s="3">
        <v>803.71</v>
      </c>
      <c r="J123" s="3">
        <f t="shared" si="8"/>
        <v>707.26480000000004</v>
      </c>
      <c r="K123" s="3">
        <f t="shared" si="9"/>
        <v>33241.445599999999</v>
      </c>
      <c r="L123" s="3">
        <f t="shared" si="12"/>
        <v>15310.25</v>
      </c>
      <c r="M123" s="8">
        <f t="shared" si="13"/>
        <v>17931.195599999999</v>
      </c>
      <c r="N123" s="4">
        <f t="shared" si="10"/>
        <v>0.53942285831275638</v>
      </c>
      <c r="O123" s="4" t="str">
        <f t="shared" si="11"/>
        <v>Profit</v>
      </c>
      <c r="P123" t="s">
        <v>28</v>
      </c>
      <c r="Q123">
        <v>0.12</v>
      </c>
      <c r="R123" t="s">
        <v>25</v>
      </c>
      <c r="S123" t="s">
        <v>20</v>
      </c>
      <c r="T123" t="s">
        <v>41</v>
      </c>
      <c r="U123" t="str">
        <f t="shared" si="14"/>
        <v>Low-Cost</v>
      </c>
    </row>
    <row r="124" spans="1:21" x14ac:dyDescent="0.3">
      <c r="A124">
        <v>1012</v>
      </c>
      <c r="B124" s="1">
        <v>45250</v>
      </c>
      <c r="C124" s="2" t="s">
        <v>12</v>
      </c>
      <c r="D124" t="s">
        <v>13</v>
      </c>
      <c r="E124">
        <v>1</v>
      </c>
      <c r="F124" t="s">
        <v>24</v>
      </c>
      <c r="G124">
        <f>1</f>
        <v>1</v>
      </c>
      <c r="H124" s="3">
        <v>4190.83</v>
      </c>
      <c r="I124" s="3">
        <v>4528.7700000000004</v>
      </c>
      <c r="J124" s="3">
        <f t="shared" si="8"/>
        <v>3532.4406000000004</v>
      </c>
      <c r="K124" s="3">
        <f t="shared" si="9"/>
        <v>3532.4406000000004</v>
      </c>
      <c r="L124" s="3">
        <f t="shared" si="12"/>
        <v>4190.83</v>
      </c>
      <c r="M124" s="8">
        <f t="shared" si="13"/>
        <v>-658.38939999999957</v>
      </c>
      <c r="N124" s="4">
        <f t="shared" si="10"/>
        <v>-0.18638371442112842</v>
      </c>
      <c r="O124" s="4" t="str">
        <f t="shared" si="11"/>
        <v>Loss</v>
      </c>
      <c r="P124" t="s">
        <v>15</v>
      </c>
      <c r="Q124">
        <v>0.22</v>
      </c>
      <c r="R124" t="s">
        <v>25</v>
      </c>
      <c r="S124" t="s">
        <v>17</v>
      </c>
      <c r="T124" t="s">
        <v>18</v>
      </c>
      <c r="U124" t="str">
        <f t="shared" si="14"/>
        <v>High-Cost</v>
      </c>
    </row>
    <row r="125" spans="1:21" x14ac:dyDescent="0.3">
      <c r="A125">
        <v>1012</v>
      </c>
      <c r="B125" s="1">
        <v>45221</v>
      </c>
      <c r="C125" s="2" t="s">
        <v>22</v>
      </c>
      <c r="D125" t="s">
        <v>13</v>
      </c>
      <c r="E125">
        <v>34</v>
      </c>
      <c r="F125" t="s">
        <v>14</v>
      </c>
      <c r="G125">
        <f>1</f>
        <v>1</v>
      </c>
      <c r="H125" s="3">
        <v>2462.5500000000002</v>
      </c>
      <c r="I125" s="3">
        <v>2521.77</v>
      </c>
      <c r="J125" s="3">
        <f t="shared" si="8"/>
        <v>1992.1983</v>
      </c>
      <c r="K125" s="3">
        <f t="shared" si="9"/>
        <v>67734.742199999993</v>
      </c>
      <c r="L125" s="3">
        <f t="shared" si="12"/>
        <v>83726.700000000012</v>
      </c>
      <c r="M125" s="8">
        <f t="shared" si="13"/>
        <v>-15991.957800000018</v>
      </c>
      <c r="N125" s="4">
        <f t="shared" si="10"/>
        <v>-0.23609682831272399</v>
      </c>
      <c r="O125" s="4" t="str">
        <f t="shared" si="11"/>
        <v>Loss</v>
      </c>
      <c r="P125" t="s">
        <v>28</v>
      </c>
      <c r="Q125">
        <v>0.21</v>
      </c>
      <c r="R125" t="s">
        <v>25</v>
      </c>
      <c r="S125" t="s">
        <v>20</v>
      </c>
      <c r="T125" t="s">
        <v>43</v>
      </c>
      <c r="U125" t="str">
        <f t="shared" si="14"/>
        <v>Low-Cost</v>
      </c>
    </row>
    <row r="126" spans="1:21" x14ac:dyDescent="0.3">
      <c r="A126">
        <v>1012</v>
      </c>
      <c r="B126" s="1">
        <v>44985</v>
      </c>
      <c r="C126" s="2" t="s">
        <v>22</v>
      </c>
      <c r="D126" t="s">
        <v>32</v>
      </c>
      <c r="E126">
        <v>33</v>
      </c>
      <c r="F126" t="s">
        <v>24</v>
      </c>
      <c r="G126">
        <f>1</f>
        <v>1</v>
      </c>
      <c r="H126" s="3">
        <v>3831.09</v>
      </c>
      <c r="I126" s="3">
        <v>3908.37</v>
      </c>
      <c r="J126" s="3">
        <f t="shared" si="8"/>
        <v>2774.9426999999996</v>
      </c>
      <c r="K126" s="3">
        <f t="shared" si="9"/>
        <v>91573.109099999987</v>
      </c>
      <c r="L126" s="3">
        <f t="shared" si="12"/>
        <v>126425.97</v>
      </c>
      <c r="M126" s="8">
        <f t="shared" si="13"/>
        <v>-34852.860900000014</v>
      </c>
      <c r="N126" s="4">
        <f t="shared" si="10"/>
        <v>-0.38060148052786841</v>
      </c>
      <c r="O126" s="4" t="str">
        <f t="shared" si="11"/>
        <v>Loss</v>
      </c>
      <c r="P126" t="s">
        <v>28</v>
      </c>
      <c r="Q126">
        <v>0.28999999999999998</v>
      </c>
      <c r="R126" t="s">
        <v>16</v>
      </c>
      <c r="S126" t="s">
        <v>20</v>
      </c>
      <c r="T126" t="s">
        <v>48</v>
      </c>
      <c r="U126" t="str">
        <f t="shared" si="14"/>
        <v>High-Cost</v>
      </c>
    </row>
    <row r="127" spans="1:21" x14ac:dyDescent="0.3">
      <c r="A127">
        <v>1013</v>
      </c>
      <c r="B127" s="1">
        <v>45078</v>
      </c>
      <c r="C127" s="2" t="s">
        <v>31</v>
      </c>
      <c r="D127" t="s">
        <v>32</v>
      </c>
      <c r="E127">
        <v>16</v>
      </c>
      <c r="F127" t="s">
        <v>14</v>
      </c>
      <c r="G127">
        <f>1</f>
        <v>1</v>
      </c>
      <c r="H127" s="3">
        <v>1222.1500000000001</v>
      </c>
      <c r="I127" s="3">
        <v>1284.3599999999999</v>
      </c>
      <c r="J127" s="3">
        <f t="shared" si="8"/>
        <v>1245.8291999999999</v>
      </c>
      <c r="K127" s="3">
        <f t="shared" si="9"/>
        <v>19933.267199999998</v>
      </c>
      <c r="L127" s="3">
        <f t="shared" si="12"/>
        <v>19554.400000000001</v>
      </c>
      <c r="M127" s="8">
        <f t="shared" si="13"/>
        <v>378.86719999999696</v>
      </c>
      <c r="N127" s="4">
        <f t="shared" si="10"/>
        <v>1.9006778778342819E-2</v>
      </c>
      <c r="O127" s="4" t="str">
        <f t="shared" si="11"/>
        <v>Profit</v>
      </c>
      <c r="P127" t="s">
        <v>15</v>
      </c>
      <c r="Q127">
        <v>0.03</v>
      </c>
      <c r="R127" t="s">
        <v>29</v>
      </c>
      <c r="S127" t="s">
        <v>20</v>
      </c>
      <c r="T127" t="s">
        <v>34</v>
      </c>
      <c r="U127" t="str">
        <f t="shared" si="14"/>
        <v>Low-Cost</v>
      </c>
    </row>
    <row r="128" spans="1:21" x14ac:dyDescent="0.3">
      <c r="A128">
        <v>1013</v>
      </c>
      <c r="B128" s="1">
        <v>44960</v>
      </c>
      <c r="C128" s="2" t="s">
        <v>12</v>
      </c>
      <c r="D128" t="s">
        <v>13</v>
      </c>
      <c r="E128">
        <v>42</v>
      </c>
      <c r="F128" t="s">
        <v>27</v>
      </c>
      <c r="G128">
        <f>1</f>
        <v>1</v>
      </c>
      <c r="H128" s="3">
        <v>4625.33</v>
      </c>
      <c r="I128" s="3">
        <v>4642.83</v>
      </c>
      <c r="J128" s="3">
        <f t="shared" si="8"/>
        <v>3760.6923000000002</v>
      </c>
      <c r="K128" s="3">
        <f t="shared" si="9"/>
        <v>157949.0766</v>
      </c>
      <c r="L128" s="3">
        <f t="shared" si="12"/>
        <v>194263.86</v>
      </c>
      <c r="M128" s="8">
        <f t="shared" si="13"/>
        <v>-36314.783399999986</v>
      </c>
      <c r="N128" s="4">
        <f t="shared" si="10"/>
        <v>-0.22991450271004615</v>
      </c>
      <c r="O128" s="4" t="str">
        <f t="shared" si="11"/>
        <v>Loss</v>
      </c>
      <c r="P128" t="s">
        <v>28</v>
      </c>
      <c r="Q128">
        <v>0.19</v>
      </c>
      <c r="R128" t="s">
        <v>29</v>
      </c>
      <c r="S128" t="s">
        <v>17</v>
      </c>
      <c r="T128" t="s">
        <v>18</v>
      </c>
      <c r="U128" t="str">
        <f t="shared" si="14"/>
        <v>High-Cost</v>
      </c>
    </row>
    <row r="129" spans="1:21" x14ac:dyDescent="0.3">
      <c r="A129">
        <v>1013</v>
      </c>
      <c r="B129" s="1">
        <v>45176</v>
      </c>
      <c r="C129" s="2" t="s">
        <v>40</v>
      </c>
      <c r="D129" t="s">
        <v>19</v>
      </c>
      <c r="E129">
        <v>16</v>
      </c>
      <c r="F129" t="s">
        <v>14</v>
      </c>
      <c r="G129">
        <f>1</f>
        <v>1</v>
      </c>
      <c r="H129" s="3">
        <v>919.58</v>
      </c>
      <c r="I129" s="3">
        <v>1258.3</v>
      </c>
      <c r="J129" s="3">
        <f t="shared" si="8"/>
        <v>1082.1379999999999</v>
      </c>
      <c r="K129" s="3">
        <f t="shared" si="9"/>
        <v>17314.207999999999</v>
      </c>
      <c r="L129" s="3">
        <f t="shared" si="12"/>
        <v>14713.28</v>
      </c>
      <c r="M129" s="8">
        <f t="shared" si="13"/>
        <v>2600.9279999999981</v>
      </c>
      <c r="N129" s="4">
        <f t="shared" si="10"/>
        <v>0.15021928811297625</v>
      </c>
      <c r="O129" s="4" t="str">
        <f t="shared" si="11"/>
        <v>Profit</v>
      </c>
      <c r="P129" t="s">
        <v>15</v>
      </c>
      <c r="Q129">
        <v>0.14000000000000001</v>
      </c>
      <c r="R129" t="s">
        <v>25</v>
      </c>
      <c r="S129" t="s">
        <v>17</v>
      </c>
      <c r="T129" t="s">
        <v>49</v>
      </c>
      <c r="U129" t="str">
        <f t="shared" si="14"/>
        <v>Low-Cost</v>
      </c>
    </row>
    <row r="130" spans="1:21" x14ac:dyDescent="0.3">
      <c r="A130">
        <v>1013</v>
      </c>
      <c r="B130" s="1">
        <v>44938</v>
      </c>
      <c r="C130" s="2" t="s">
        <v>40</v>
      </c>
      <c r="D130" t="s">
        <v>19</v>
      </c>
      <c r="E130">
        <v>35</v>
      </c>
      <c r="F130" t="s">
        <v>33</v>
      </c>
      <c r="G130">
        <f>1</f>
        <v>1</v>
      </c>
      <c r="H130" s="3">
        <v>1312.71</v>
      </c>
      <c r="I130" s="3">
        <v>1352.11</v>
      </c>
      <c r="J130" s="3">
        <f t="shared" ref="J130:J193" si="15">I130*(1-Q130)</f>
        <v>1054.6458</v>
      </c>
      <c r="K130" s="3">
        <f t="shared" ref="K130:K193" si="16">E130*I130*(1-Q130)</f>
        <v>36912.603000000003</v>
      </c>
      <c r="L130" s="3">
        <f t="shared" si="12"/>
        <v>45944.85</v>
      </c>
      <c r="M130" s="8">
        <f t="shared" si="13"/>
        <v>-9032.2469999999958</v>
      </c>
      <c r="N130" s="4">
        <f t="shared" ref="N130:N193" si="17">(M130/K130)</f>
        <v>-0.2446927679416159</v>
      </c>
      <c r="O130" s="4" t="str">
        <f t="shared" ref="O130:O193" si="18">IF(M130&lt;0,"Loss","Profit")</f>
        <v>Loss</v>
      </c>
      <c r="P130" t="s">
        <v>15</v>
      </c>
      <c r="Q130">
        <v>0.22</v>
      </c>
      <c r="R130" t="s">
        <v>25</v>
      </c>
      <c r="S130" t="s">
        <v>20</v>
      </c>
      <c r="T130" t="s">
        <v>49</v>
      </c>
      <c r="U130" t="str">
        <f t="shared" si="14"/>
        <v>Low-Cost</v>
      </c>
    </row>
    <row r="131" spans="1:21" x14ac:dyDescent="0.3">
      <c r="A131">
        <v>1013</v>
      </c>
      <c r="B131" s="1">
        <v>45152</v>
      </c>
      <c r="C131" s="2" t="s">
        <v>40</v>
      </c>
      <c r="D131" t="s">
        <v>32</v>
      </c>
      <c r="E131">
        <v>26</v>
      </c>
      <c r="F131" t="s">
        <v>27</v>
      </c>
      <c r="G131">
        <f>1</f>
        <v>1</v>
      </c>
      <c r="H131" s="3">
        <v>3749.12</v>
      </c>
      <c r="I131" s="3">
        <v>4138.83</v>
      </c>
      <c r="J131" s="3">
        <f t="shared" si="15"/>
        <v>3600.7820999999999</v>
      </c>
      <c r="K131" s="3">
        <f t="shared" si="16"/>
        <v>93620.334600000002</v>
      </c>
      <c r="L131" s="3">
        <f t="shared" ref="L131:L194" si="19">H131*E131</f>
        <v>97477.119999999995</v>
      </c>
      <c r="M131" s="8">
        <f t="shared" ref="M131:M194" si="20">K131-L131</f>
        <v>-3856.7853999999934</v>
      </c>
      <c r="N131" s="4">
        <f t="shared" si="17"/>
        <v>-4.1196022386358715E-2</v>
      </c>
      <c r="O131" s="4" t="str">
        <f t="shared" si="18"/>
        <v>Loss</v>
      </c>
      <c r="P131" t="s">
        <v>28</v>
      </c>
      <c r="Q131">
        <v>0.13</v>
      </c>
      <c r="R131" t="s">
        <v>29</v>
      </c>
      <c r="S131" t="s">
        <v>17</v>
      </c>
      <c r="T131" t="s">
        <v>50</v>
      </c>
      <c r="U131" t="str">
        <f t="shared" si="14"/>
        <v>High-Cost</v>
      </c>
    </row>
    <row r="132" spans="1:21" x14ac:dyDescent="0.3">
      <c r="A132">
        <v>1013</v>
      </c>
      <c r="B132" s="1">
        <v>45031</v>
      </c>
      <c r="C132" s="2" t="s">
        <v>36</v>
      </c>
      <c r="D132" t="s">
        <v>13</v>
      </c>
      <c r="E132">
        <v>42</v>
      </c>
      <c r="F132" t="s">
        <v>14</v>
      </c>
      <c r="G132">
        <f>1</f>
        <v>1</v>
      </c>
      <c r="H132" s="3">
        <v>1375.57</v>
      </c>
      <c r="I132" s="3">
        <v>1729.71</v>
      </c>
      <c r="J132" s="3">
        <f t="shared" si="15"/>
        <v>1660.5216</v>
      </c>
      <c r="K132" s="3">
        <f t="shared" si="16"/>
        <v>69741.907200000001</v>
      </c>
      <c r="L132" s="3">
        <f t="shared" si="19"/>
        <v>57773.939999999995</v>
      </c>
      <c r="M132" s="8">
        <f t="shared" si="20"/>
        <v>11967.967200000006</v>
      </c>
      <c r="N132" s="4">
        <f t="shared" si="17"/>
        <v>0.17160366959393972</v>
      </c>
      <c r="O132" s="4" t="str">
        <f t="shared" si="18"/>
        <v>Profit</v>
      </c>
      <c r="P132" t="s">
        <v>28</v>
      </c>
      <c r="Q132">
        <v>0.04</v>
      </c>
      <c r="R132" t="s">
        <v>16</v>
      </c>
      <c r="S132" t="s">
        <v>17</v>
      </c>
      <c r="T132" t="s">
        <v>38</v>
      </c>
      <c r="U132" t="str">
        <f t="shared" si="14"/>
        <v>Low-Cost</v>
      </c>
    </row>
    <row r="133" spans="1:21" x14ac:dyDescent="0.3">
      <c r="A133">
        <v>1013</v>
      </c>
      <c r="B133" s="1">
        <v>44942</v>
      </c>
      <c r="C133" s="2" t="s">
        <v>36</v>
      </c>
      <c r="D133" t="s">
        <v>32</v>
      </c>
      <c r="E133">
        <v>20</v>
      </c>
      <c r="F133" t="s">
        <v>27</v>
      </c>
      <c r="G133">
        <f>1</f>
        <v>1</v>
      </c>
      <c r="H133" s="3">
        <v>3356.62</v>
      </c>
      <c r="I133" s="3">
        <v>3759.01</v>
      </c>
      <c r="J133" s="3">
        <f t="shared" si="15"/>
        <v>3571.0594999999998</v>
      </c>
      <c r="K133" s="3">
        <f t="shared" si="16"/>
        <v>71421.19</v>
      </c>
      <c r="L133" s="3">
        <f t="shared" si="19"/>
        <v>67132.399999999994</v>
      </c>
      <c r="M133" s="8">
        <f t="shared" si="20"/>
        <v>4288.7900000000081</v>
      </c>
      <c r="N133" s="4">
        <f t="shared" si="17"/>
        <v>6.004926549109596E-2</v>
      </c>
      <c r="O133" s="4" t="str">
        <f t="shared" si="18"/>
        <v>Profit</v>
      </c>
      <c r="P133" t="s">
        <v>15</v>
      </c>
      <c r="Q133">
        <v>0.05</v>
      </c>
      <c r="R133" t="s">
        <v>29</v>
      </c>
      <c r="S133" t="s">
        <v>20</v>
      </c>
      <c r="T133" t="s">
        <v>46</v>
      </c>
      <c r="U133" t="str">
        <f t="shared" si="14"/>
        <v>High-Cost</v>
      </c>
    </row>
    <row r="134" spans="1:21" x14ac:dyDescent="0.3">
      <c r="A134">
        <v>1013</v>
      </c>
      <c r="B134" s="1">
        <v>45219</v>
      </c>
      <c r="C134" s="2" t="s">
        <v>22</v>
      </c>
      <c r="D134" t="s">
        <v>32</v>
      </c>
      <c r="E134">
        <v>46</v>
      </c>
      <c r="F134" t="s">
        <v>33</v>
      </c>
      <c r="G134">
        <f>1</f>
        <v>1</v>
      </c>
      <c r="H134" s="3">
        <v>1648.8</v>
      </c>
      <c r="I134" s="3">
        <v>1670.36</v>
      </c>
      <c r="J134" s="3">
        <f t="shared" si="15"/>
        <v>1520.0275999999999</v>
      </c>
      <c r="K134" s="3">
        <f t="shared" si="16"/>
        <v>69921.2696</v>
      </c>
      <c r="L134" s="3">
        <f t="shared" si="19"/>
        <v>75844.800000000003</v>
      </c>
      <c r="M134" s="8">
        <f t="shared" si="20"/>
        <v>-5923.5304000000033</v>
      </c>
      <c r="N134" s="4">
        <f t="shared" si="17"/>
        <v>-8.4717145925508247E-2</v>
      </c>
      <c r="O134" s="4" t="str">
        <f t="shared" si="18"/>
        <v>Loss</v>
      </c>
      <c r="P134" t="s">
        <v>15</v>
      </c>
      <c r="Q134">
        <v>0.09</v>
      </c>
      <c r="R134" t="s">
        <v>29</v>
      </c>
      <c r="S134" t="s">
        <v>20</v>
      </c>
      <c r="T134" t="s">
        <v>48</v>
      </c>
      <c r="U134" t="str">
        <f t="shared" si="14"/>
        <v>Low-Cost</v>
      </c>
    </row>
    <row r="135" spans="1:21" x14ac:dyDescent="0.3">
      <c r="A135">
        <v>1013</v>
      </c>
      <c r="B135" s="1">
        <v>45220</v>
      </c>
      <c r="C135" s="2" t="s">
        <v>22</v>
      </c>
      <c r="D135" t="s">
        <v>32</v>
      </c>
      <c r="E135">
        <v>20</v>
      </c>
      <c r="F135" t="s">
        <v>33</v>
      </c>
      <c r="G135">
        <f>1</f>
        <v>1</v>
      </c>
      <c r="H135" s="3">
        <v>1533.36</v>
      </c>
      <c r="I135" s="3">
        <v>1649.74</v>
      </c>
      <c r="J135" s="3">
        <f t="shared" si="15"/>
        <v>1484.7660000000001</v>
      </c>
      <c r="K135" s="3">
        <f t="shared" si="16"/>
        <v>29695.320000000003</v>
      </c>
      <c r="L135" s="3">
        <f t="shared" si="19"/>
        <v>30667.199999999997</v>
      </c>
      <c r="M135" s="8">
        <f t="shared" si="20"/>
        <v>-971.87999999999374</v>
      </c>
      <c r="N135" s="4">
        <f t="shared" si="17"/>
        <v>-3.2728389524005586E-2</v>
      </c>
      <c r="O135" s="4" t="str">
        <f t="shared" si="18"/>
        <v>Loss</v>
      </c>
      <c r="P135" t="s">
        <v>15</v>
      </c>
      <c r="Q135">
        <v>0.1</v>
      </c>
      <c r="R135" t="s">
        <v>25</v>
      </c>
      <c r="S135" t="s">
        <v>17</v>
      </c>
      <c r="T135" t="s">
        <v>48</v>
      </c>
      <c r="U135" t="str">
        <f t="shared" si="14"/>
        <v>Low-Cost</v>
      </c>
    </row>
    <row r="136" spans="1:21" x14ac:dyDescent="0.3">
      <c r="A136">
        <v>1013</v>
      </c>
      <c r="B136" s="1">
        <v>44982</v>
      </c>
      <c r="C136" s="2" t="s">
        <v>36</v>
      </c>
      <c r="D136" t="s">
        <v>32</v>
      </c>
      <c r="E136">
        <v>31</v>
      </c>
      <c r="F136" t="s">
        <v>24</v>
      </c>
      <c r="G136">
        <f>1</f>
        <v>1</v>
      </c>
      <c r="H136" s="3">
        <v>2757.06</v>
      </c>
      <c r="I136" s="3">
        <v>3023.97</v>
      </c>
      <c r="J136" s="3">
        <f t="shared" si="15"/>
        <v>2388.9362999999998</v>
      </c>
      <c r="K136" s="3">
        <f t="shared" si="16"/>
        <v>74057.025299999994</v>
      </c>
      <c r="L136" s="3">
        <f t="shared" si="19"/>
        <v>85468.86</v>
      </c>
      <c r="M136" s="8">
        <f t="shared" si="20"/>
        <v>-11411.834700000007</v>
      </c>
      <c r="N136" s="4">
        <f t="shared" si="17"/>
        <v>-0.15409523477038725</v>
      </c>
      <c r="O136" s="4" t="str">
        <f t="shared" si="18"/>
        <v>Loss</v>
      </c>
      <c r="P136" t="s">
        <v>15</v>
      </c>
      <c r="Q136">
        <v>0.21</v>
      </c>
      <c r="R136" t="s">
        <v>16</v>
      </c>
      <c r="S136" t="s">
        <v>17</v>
      </c>
      <c r="T136" t="s">
        <v>46</v>
      </c>
      <c r="U136" t="str">
        <f t="shared" ref="U136:U199" si="21">IF(I136 &gt;=2800, "High-Cost", "Low-Cost")</f>
        <v>High-Cost</v>
      </c>
    </row>
    <row r="137" spans="1:21" x14ac:dyDescent="0.3">
      <c r="A137">
        <v>1014</v>
      </c>
      <c r="B137" s="1">
        <v>45109</v>
      </c>
      <c r="C137" s="2" t="s">
        <v>22</v>
      </c>
      <c r="D137" t="s">
        <v>32</v>
      </c>
      <c r="E137">
        <v>7</v>
      </c>
      <c r="F137" t="s">
        <v>27</v>
      </c>
      <c r="G137">
        <f>1</f>
        <v>1</v>
      </c>
      <c r="H137" s="3">
        <v>4705.46</v>
      </c>
      <c r="I137" s="3">
        <v>4747.07</v>
      </c>
      <c r="J137" s="3">
        <f t="shared" si="15"/>
        <v>3465.3610999999996</v>
      </c>
      <c r="K137" s="3">
        <f t="shared" si="16"/>
        <v>24257.527699999999</v>
      </c>
      <c r="L137" s="3">
        <f t="shared" si="19"/>
        <v>32938.22</v>
      </c>
      <c r="M137" s="8">
        <f t="shared" si="20"/>
        <v>-8680.6923000000024</v>
      </c>
      <c r="N137" s="4">
        <f t="shared" si="17"/>
        <v>-0.35785560702461872</v>
      </c>
      <c r="O137" s="4" t="str">
        <f t="shared" si="18"/>
        <v>Loss</v>
      </c>
      <c r="P137" t="s">
        <v>28</v>
      </c>
      <c r="Q137">
        <v>0.27</v>
      </c>
      <c r="R137" t="s">
        <v>25</v>
      </c>
      <c r="S137" t="s">
        <v>20</v>
      </c>
      <c r="T137" t="s">
        <v>48</v>
      </c>
      <c r="U137" t="str">
        <f t="shared" si="21"/>
        <v>High-Cost</v>
      </c>
    </row>
    <row r="138" spans="1:21" x14ac:dyDescent="0.3">
      <c r="A138">
        <v>1014</v>
      </c>
      <c r="B138" s="1">
        <v>45264</v>
      </c>
      <c r="C138" s="2" t="s">
        <v>12</v>
      </c>
      <c r="D138" t="s">
        <v>19</v>
      </c>
      <c r="E138">
        <v>49</v>
      </c>
      <c r="F138" t="s">
        <v>14</v>
      </c>
      <c r="G138">
        <f>1</f>
        <v>1</v>
      </c>
      <c r="H138" s="3">
        <v>493.35</v>
      </c>
      <c r="I138" s="3">
        <v>799.27</v>
      </c>
      <c r="J138" s="3">
        <f t="shared" si="15"/>
        <v>719.34299999999996</v>
      </c>
      <c r="K138" s="3">
        <f t="shared" si="16"/>
        <v>35247.807000000001</v>
      </c>
      <c r="L138" s="3">
        <f t="shared" si="19"/>
        <v>24174.15</v>
      </c>
      <c r="M138" s="8">
        <f t="shared" si="20"/>
        <v>11073.656999999999</v>
      </c>
      <c r="N138" s="4">
        <f t="shared" si="17"/>
        <v>0.31416584299840267</v>
      </c>
      <c r="O138" s="4" t="str">
        <f t="shared" si="18"/>
        <v>Profit</v>
      </c>
      <c r="P138" t="s">
        <v>28</v>
      </c>
      <c r="Q138">
        <v>0.1</v>
      </c>
      <c r="R138" t="s">
        <v>25</v>
      </c>
      <c r="S138" t="s">
        <v>17</v>
      </c>
      <c r="T138" t="s">
        <v>21</v>
      </c>
      <c r="U138" t="str">
        <f t="shared" si="21"/>
        <v>Low-Cost</v>
      </c>
    </row>
    <row r="139" spans="1:21" x14ac:dyDescent="0.3">
      <c r="A139">
        <v>1014</v>
      </c>
      <c r="B139" s="1">
        <v>45084</v>
      </c>
      <c r="C139" s="2" t="s">
        <v>40</v>
      </c>
      <c r="D139" t="s">
        <v>13</v>
      </c>
      <c r="E139">
        <v>3</v>
      </c>
      <c r="F139" t="s">
        <v>33</v>
      </c>
      <c r="G139">
        <f>1</f>
        <v>1</v>
      </c>
      <c r="H139" s="3">
        <v>2468.29</v>
      </c>
      <c r="I139" s="3">
        <v>2723.13</v>
      </c>
      <c r="J139" s="3">
        <f t="shared" si="15"/>
        <v>2505.2796000000003</v>
      </c>
      <c r="K139" s="3">
        <f t="shared" si="16"/>
        <v>7515.8388000000004</v>
      </c>
      <c r="L139" s="3">
        <f t="shared" si="19"/>
        <v>7404.87</v>
      </c>
      <c r="M139" s="8">
        <f t="shared" si="20"/>
        <v>110.96880000000056</v>
      </c>
      <c r="N139" s="4">
        <f t="shared" si="17"/>
        <v>1.4764659401689209E-2</v>
      </c>
      <c r="O139" s="4" t="str">
        <f t="shared" si="18"/>
        <v>Profit</v>
      </c>
      <c r="P139" t="s">
        <v>15</v>
      </c>
      <c r="Q139">
        <v>0.08</v>
      </c>
      <c r="R139" t="s">
        <v>16</v>
      </c>
      <c r="S139" t="s">
        <v>20</v>
      </c>
      <c r="T139" t="s">
        <v>47</v>
      </c>
      <c r="U139" t="str">
        <f t="shared" si="21"/>
        <v>Low-Cost</v>
      </c>
    </row>
    <row r="140" spans="1:21" x14ac:dyDescent="0.3">
      <c r="A140">
        <v>1014</v>
      </c>
      <c r="B140" s="1">
        <v>45239</v>
      </c>
      <c r="C140" s="2" t="s">
        <v>22</v>
      </c>
      <c r="D140" t="s">
        <v>13</v>
      </c>
      <c r="E140">
        <v>9</v>
      </c>
      <c r="F140" t="s">
        <v>33</v>
      </c>
      <c r="G140">
        <f>1</f>
        <v>1</v>
      </c>
      <c r="H140" s="3">
        <v>132.47</v>
      </c>
      <c r="I140" s="3">
        <v>316.39</v>
      </c>
      <c r="J140" s="3">
        <f t="shared" si="15"/>
        <v>272.09539999999998</v>
      </c>
      <c r="K140" s="3">
        <f t="shared" si="16"/>
        <v>2448.8585999999996</v>
      </c>
      <c r="L140" s="3">
        <f t="shared" si="19"/>
        <v>1192.23</v>
      </c>
      <c r="M140" s="8">
        <f t="shared" si="20"/>
        <v>1256.6285999999996</v>
      </c>
      <c r="N140" s="4">
        <f t="shared" si="17"/>
        <v>0.51314869711138067</v>
      </c>
      <c r="O140" s="4" t="str">
        <f t="shared" si="18"/>
        <v>Profit</v>
      </c>
      <c r="P140" t="s">
        <v>28</v>
      </c>
      <c r="Q140">
        <v>0.14000000000000001</v>
      </c>
      <c r="R140" t="s">
        <v>29</v>
      </c>
      <c r="S140" t="s">
        <v>17</v>
      </c>
      <c r="T140" t="s">
        <v>43</v>
      </c>
      <c r="U140" t="str">
        <f t="shared" si="21"/>
        <v>Low-Cost</v>
      </c>
    </row>
    <row r="141" spans="1:21" x14ac:dyDescent="0.3">
      <c r="A141">
        <v>1014</v>
      </c>
      <c r="B141" s="1">
        <v>44968</v>
      </c>
      <c r="C141" s="2" t="s">
        <v>22</v>
      </c>
      <c r="D141" t="s">
        <v>19</v>
      </c>
      <c r="E141">
        <v>44</v>
      </c>
      <c r="F141" t="s">
        <v>24</v>
      </c>
      <c r="G141">
        <f>1</f>
        <v>1</v>
      </c>
      <c r="H141" s="3">
        <v>2257.48</v>
      </c>
      <c r="I141" s="3">
        <v>2747.81</v>
      </c>
      <c r="J141" s="3">
        <f t="shared" si="15"/>
        <v>2005.9013</v>
      </c>
      <c r="K141" s="3">
        <f t="shared" si="16"/>
        <v>88259.657200000001</v>
      </c>
      <c r="L141" s="3">
        <f t="shared" si="19"/>
        <v>99329.12</v>
      </c>
      <c r="M141" s="8">
        <f t="shared" si="20"/>
        <v>-11069.462799999994</v>
      </c>
      <c r="N141" s="4">
        <f t="shared" si="17"/>
        <v>-0.12541928159675647</v>
      </c>
      <c r="O141" s="4" t="str">
        <f t="shared" si="18"/>
        <v>Loss</v>
      </c>
      <c r="P141" t="s">
        <v>15</v>
      </c>
      <c r="Q141">
        <v>0.27</v>
      </c>
      <c r="R141" t="s">
        <v>16</v>
      </c>
      <c r="S141" t="s">
        <v>17</v>
      </c>
      <c r="T141" t="s">
        <v>45</v>
      </c>
      <c r="U141" t="str">
        <f t="shared" si="21"/>
        <v>Low-Cost</v>
      </c>
    </row>
    <row r="142" spans="1:21" x14ac:dyDescent="0.3">
      <c r="A142">
        <v>1014</v>
      </c>
      <c r="B142" s="1">
        <v>45027</v>
      </c>
      <c r="C142" s="2" t="s">
        <v>40</v>
      </c>
      <c r="D142" t="s">
        <v>23</v>
      </c>
      <c r="E142">
        <v>38</v>
      </c>
      <c r="F142" t="s">
        <v>24</v>
      </c>
      <c r="G142">
        <f>1</f>
        <v>1</v>
      </c>
      <c r="H142" s="3">
        <v>2091.21</v>
      </c>
      <c r="I142" s="3">
        <v>2527</v>
      </c>
      <c r="J142" s="3">
        <f t="shared" si="15"/>
        <v>2501.73</v>
      </c>
      <c r="K142" s="3">
        <f t="shared" si="16"/>
        <v>95065.74</v>
      </c>
      <c r="L142" s="3">
        <f t="shared" si="19"/>
        <v>79465.98</v>
      </c>
      <c r="M142" s="8">
        <f t="shared" si="20"/>
        <v>15599.760000000009</v>
      </c>
      <c r="N142" s="4">
        <f t="shared" si="17"/>
        <v>0.16409444664292319</v>
      </c>
      <c r="O142" s="4" t="str">
        <f t="shared" si="18"/>
        <v>Profit</v>
      </c>
      <c r="P142" t="s">
        <v>15</v>
      </c>
      <c r="Q142">
        <v>0.01</v>
      </c>
      <c r="R142" t="s">
        <v>29</v>
      </c>
      <c r="S142" t="s">
        <v>17</v>
      </c>
      <c r="T142" t="s">
        <v>41</v>
      </c>
      <c r="U142" t="str">
        <f t="shared" si="21"/>
        <v>Low-Cost</v>
      </c>
    </row>
    <row r="143" spans="1:21" x14ac:dyDescent="0.3">
      <c r="A143">
        <v>1014</v>
      </c>
      <c r="B143" s="1">
        <v>45181</v>
      </c>
      <c r="C143" s="2" t="s">
        <v>31</v>
      </c>
      <c r="D143" t="s">
        <v>32</v>
      </c>
      <c r="E143">
        <v>48</v>
      </c>
      <c r="F143" t="s">
        <v>14</v>
      </c>
      <c r="G143">
        <f>1</f>
        <v>1</v>
      </c>
      <c r="H143" s="3">
        <v>556.72</v>
      </c>
      <c r="I143" s="3">
        <v>665.07</v>
      </c>
      <c r="J143" s="3">
        <f t="shared" si="15"/>
        <v>658.41930000000002</v>
      </c>
      <c r="K143" s="3">
        <f t="shared" si="16"/>
        <v>31604.126400000001</v>
      </c>
      <c r="L143" s="3">
        <f t="shared" si="19"/>
        <v>26722.560000000001</v>
      </c>
      <c r="M143" s="8">
        <f t="shared" si="20"/>
        <v>4881.5663999999997</v>
      </c>
      <c r="N143" s="4">
        <f t="shared" si="17"/>
        <v>0.15445977965712729</v>
      </c>
      <c r="O143" s="4" t="str">
        <f t="shared" si="18"/>
        <v>Profit</v>
      </c>
      <c r="P143" t="s">
        <v>15</v>
      </c>
      <c r="Q143">
        <v>0.01</v>
      </c>
      <c r="R143" t="s">
        <v>25</v>
      </c>
      <c r="S143" t="s">
        <v>20</v>
      </c>
      <c r="T143" t="s">
        <v>34</v>
      </c>
      <c r="U143" t="str">
        <f t="shared" si="21"/>
        <v>Low-Cost</v>
      </c>
    </row>
    <row r="144" spans="1:21" x14ac:dyDescent="0.3">
      <c r="A144">
        <v>1014</v>
      </c>
      <c r="B144" s="1">
        <v>45154</v>
      </c>
      <c r="C144" s="2" t="s">
        <v>22</v>
      </c>
      <c r="D144" t="s">
        <v>23</v>
      </c>
      <c r="E144">
        <v>26</v>
      </c>
      <c r="F144" t="s">
        <v>14</v>
      </c>
      <c r="G144">
        <f>1</f>
        <v>1</v>
      </c>
      <c r="H144" s="3">
        <v>433.19</v>
      </c>
      <c r="I144" s="3">
        <v>800.6</v>
      </c>
      <c r="J144" s="3">
        <f t="shared" si="15"/>
        <v>640.48</v>
      </c>
      <c r="K144" s="3">
        <f t="shared" si="16"/>
        <v>16652.480000000003</v>
      </c>
      <c r="L144" s="3">
        <f t="shared" si="19"/>
        <v>11262.94</v>
      </c>
      <c r="M144" s="8">
        <f t="shared" si="20"/>
        <v>5389.5400000000027</v>
      </c>
      <c r="N144" s="4">
        <f t="shared" si="17"/>
        <v>0.3236478890831877</v>
      </c>
      <c r="O144" s="4" t="str">
        <f t="shared" si="18"/>
        <v>Profit</v>
      </c>
      <c r="P144" t="s">
        <v>15</v>
      </c>
      <c r="Q144">
        <v>0.2</v>
      </c>
      <c r="R144" t="s">
        <v>16</v>
      </c>
      <c r="S144" t="s">
        <v>17</v>
      </c>
      <c r="T144" t="s">
        <v>26</v>
      </c>
      <c r="U144" t="str">
        <f t="shared" si="21"/>
        <v>Low-Cost</v>
      </c>
    </row>
    <row r="145" spans="1:21" x14ac:dyDescent="0.3">
      <c r="A145">
        <v>1014</v>
      </c>
      <c r="B145" s="1">
        <v>45278</v>
      </c>
      <c r="C145" s="2" t="s">
        <v>22</v>
      </c>
      <c r="D145" t="s">
        <v>32</v>
      </c>
      <c r="E145">
        <v>4</v>
      </c>
      <c r="F145" t="s">
        <v>14</v>
      </c>
      <c r="G145">
        <f>1</f>
        <v>1</v>
      </c>
      <c r="H145" s="3">
        <v>854.68</v>
      </c>
      <c r="I145" s="3">
        <v>1115.24</v>
      </c>
      <c r="J145" s="3">
        <f t="shared" si="15"/>
        <v>847.58240000000001</v>
      </c>
      <c r="K145" s="3">
        <f t="shared" si="16"/>
        <v>3390.3296</v>
      </c>
      <c r="L145" s="3">
        <f t="shared" si="19"/>
        <v>3418.72</v>
      </c>
      <c r="M145" s="8">
        <f t="shared" si="20"/>
        <v>-28.390399999999772</v>
      </c>
      <c r="N145" s="4">
        <f t="shared" si="17"/>
        <v>-8.3739350887889405E-3</v>
      </c>
      <c r="O145" s="4" t="str">
        <f t="shared" si="18"/>
        <v>Loss</v>
      </c>
      <c r="P145" t="s">
        <v>28</v>
      </c>
      <c r="Q145">
        <v>0.24</v>
      </c>
      <c r="R145" t="s">
        <v>29</v>
      </c>
      <c r="S145" t="s">
        <v>20</v>
      </c>
      <c r="T145" t="s">
        <v>48</v>
      </c>
      <c r="U145" t="str">
        <f t="shared" si="21"/>
        <v>Low-Cost</v>
      </c>
    </row>
    <row r="146" spans="1:21" x14ac:dyDescent="0.3">
      <c r="A146">
        <v>1014</v>
      </c>
      <c r="B146" s="1">
        <v>45252</v>
      </c>
      <c r="C146" s="2" t="s">
        <v>22</v>
      </c>
      <c r="D146" t="s">
        <v>19</v>
      </c>
      <c r="E146">
        <v>17</v>
      </c>
      <c r="F146" t="s">
        <v>24</v>
      </c>
      <c r="G146">
        <f>1</f>
        <v>1</v>
      </c>
      <c r="H146" s="3">
        <v>3184.65</v>
      </c>
      <c r="I146" s="3">
        <v>3204.01</v>
      </c>
      <c r="J146" s="3">
        <f t="shared" si="15"/>
        <v>2563.2080000000005</v>
      </c>
      <c r="K146" s="3">
        <f t="shared" si="16"/>
        <v>43574.536000000007</v>
      </c>
      <c r="L146" s="3">
        <f t="shared" si="19"/>
        <v>54139.05</v>
      </c>
      <c r="M146" s="8">
        <f t="shared" si="20"/>
        <v>-10564.513999999996</v>
      </c>
      <c r="N146" s="4">
        <f t="shared" si="17"/>
        <v>-0.24244696489711318</v>
      </c>
      <c r="O146" s="4" t="str">
        <f t="shared" si="18"/>
        <v>Loss</v>
      </c>
      <c r="P146" t="s">
        <v>28</v>
      </c>
      <c r="Q146">
        <v>0.2</v>
      </c>
      <c r="R146" t="s">
        <v>25</v>
      </c>
      <c r="S146" t="s">
        <v>17</v>
      </c>
      <c r="T146" t="s">
        <v>45</v>
      </c>
      <c r="U146" t="str">
        <f t="shared" si="21"/>
        <v>High-Cost</v>
      </c>
    </row>
    <row r="147" spans="1:21" x14ac:dyDescent="0.3">
      <c r="A147">
        <v>1015</v>
      </c>
      <c r="B147" s="1">
        <v>45049</v>
      </c>
      <c r="C147" s="2" t="s">
        <v>22</v>
      </c>
      <c r="D147" t="s">
        <v>23</v>
      </c>
      <c r="E147">
        <v>30</v>
      </c>
      <c r="F147" t="s">
        <v>24</v>
      </c>
      <c r="G147">
        <f>1</f>
        <v>1</v>
      </c>
      <c r="H147" s="3">
        <v>2680.22</v>
      </c>
      <c r="I147" s="3">
        <v>3027.92</v>
      </c>
      <c r="J147" s="3">
        <f t="shared" si="15"/>
        <v>2270.94</v>
      </c>
      <c r="K147" s="3">
        <f t="shared" si="16"/>
        <v>68128.200000000012</v>
      </c>
      <c r="L147" s="3">
        <f t="shared" si="19"/>
        <v>80406.599999999991</v>
      </c>
      <c r="M147" s="8">
        <f t="shared" si="20"/>
        <v>-12278.39999999998</v>
      </c>
      <c r="N147" s="4">
        <f t="shared" si="17"/>
        <v>-0.1802249288840741</v>
      </c>
      <c r="O147" s="4" t="str">
        <f t="shared" si="18"/>
        <v>Loss</v>
      </c>
      <c r="P147" t="s">
        <v>15</v>
      </c>
      <c r="Q147">
        <v>0.25</v>
      </c>
      <c r="R147" t="s">
        <v>25</v>
      </c>
      <c r="S147" t="s">
        <v>17</v>
      </c>
      <c r="T147" t="s">
        <v>26</v>
      </c>
      <c r="U147" t="str">
        <f t="shared" si="21"/>
        <v>High-Cost</v>
      </c>
    </row>
    <row r="148" spans="1:21" x14ac:dyDescent="0.3">
      <c r="A148">
        <v>1015</v>
      </c>
      <c r="B148" s="1">
        <v>45145</v>
      </c>
      <c r="C148" s="2" t="s">
        <v>40</v>
      </c>
      <c r="D148" t="s">
        <v>32</v>
      </c>
      <c r="E148">
        <v>19</v>
      </c>
      <c r="F148" t="s">
        <v>27</v>
      </c>
      <c r="G148">
        <f>1</f>
        <v>1</v>
      </c>
      <c r="H148" s="3">
        <v>433.54</v>
      </c>
      <c r="I148" s="3">
        <v>445.48</v>
      </c>
      <c r="J148" s="3">
        <f t="shared" si="15"/>
        <v>316.29079999999999</v>
      </c>
      <c r="K148" s="3">
        <f t="shared" si="16"/>
        <v>6009.5252</v>
      </c>
      <c r="L148" s="3">
        <f t="shared" si="19"/>
        <v>8237.26</v>
      </c>
      <c r="M148" s="8">
        <f t="shared" si="20"/>
        <v>-2227.7348000000002</v>
      </c>
      <c r="N148" s="4">
        <f t="shared" si="17"/>
        <v>-0.37070063372061407</v>
      </c>
      <c r="O148" s="4" t="str">
        <f t="shared" si="18"/>
        <v>Loss</v>
      </c>
      <c r="P148" t="s">
        <v>28</v>
      </c>
      <c r="Q148">
        <v>0.28999999999999998</v>
      </c>
      <c r="R148" t="s">
        <v>25</v>
      </c>
      <c r="S148" t="s">
        <v>20</v>
      </c>
      <c r="T148" t="s">
        <v>50</v>
      </c>
      <c r="U148" t="str">
        <f t="shared" si="21"/>
        <v>Low-Cost</v>
      </c>
    </row>
    <row r="149" spans="1:21" x14ac:dyDescent="0.3">
      <c r="A149">
        <v>1015</v>
      </c>
      <c r="B149" s="1">
        <v>44965</v>
      </c>
      <c r="C149" s="2" t="s">
        <v>31</v>
      </c>
      <c r="D149" t="s">
        <v>32</v>
      </c>
      <c r="E149">
        <v>23</v>
      </c>
      <c r="F149" t="s">
        <v>33</v>
      </c>
      <c r="G149">
        <f>1</f>
        <v>1</v>
      </c>
      <c r="H149" s="3">
        <v>2644.77</v>
      </c>
      <c r="I149" s="3">
        <v>2684.83</v>
      </c>
      <c r="J149" s="3">
        <f t="shared" si="15"/>
        <v>2040.4708000000001</v>
      </c>
      <c r="K149" s="3">
        <f t="shared" si="16"/>
        <v>46930.828399999999</v>
      </c>
      <c r="L149" s="3">
        <f t="shared" si="19"/>
        <v>60829.71</v>
      </c>
      <c r="M149" s="8">
        <f t="shared" si="20"/>
        <v>-13898.881600000001</v>
      </c>
      <c r="N149" s="4">
        <f t="shared" si="17"/>
        <v>-0.29615674970697942</v>
      </c>
      <c r="O149" s="4" t="str">
        <f t="shared" si="18"/>
        <v>Loss</v>
      </c>
      <c r="P149" t="s">
        <v>28</v>
      </c>
      <c r="Q149">
        <v>0.24</v>
      </c>
      <c r="R149" t="s">
        <v>16</v>
      </c>
      <c r="S149" t="s">
        <v>17</v>
      </c>
      <c r="T149" t="s">
        <v>34</v>
      </c>
      <c r="U149" t="str">
        <f t="shared" si="21"/>
        <v>Low-Cost</v>
      </c>
    </row>
    <row r="150" spans="1:21" x14ac:dyDescent="0.3">
      <c r="A150">
        <v>1015</v>
      </c>
      <c r="B150" s="1">
        <v>45149</v>
      </c>
      <c r="C150" s="2" t="s">
        <v>36</v>
      </c>
      <c r="D150" t="s">
        <v>32</v>
      </c>
      <c r="E150">
        <v>32</v>
      </c>
      <c r="F150" t="s">
        <v>14</v>
      </c>
      <c r="G150">
        <f>1</f>
        <v>1</v>
      </c>
      <c r="H150" s="3">
        <v>970.51</v>
      </c>
      <c r="I150" s="3">
        <v>1330.84</v>
      </c>
      <c r="J150" s="3">
        <f t="shared" si="15"/>
        <v>1250.9895999999999</v>
      </c>
      <c r="K150" s="3">
        <f t="shared" si="16"/>
        <v>40031.667199999996</v>
      </c>
      <c r="L150" s="3">
        <f t="shared" si="19"/>
        <v>31056.32</v>
      </c>
      <c r="M150" s="8">
        <f t="shared" si="20"/>
        <v>8975.3471999999965</v>
      </c>
      <c r="N150" s="4">
        <f t="shared" si="17"/>
        <v>0.22420618045106044</v>
      </c>
      <c r="O150" s="4" t="str">
        <f t="shared" si="18"/>
        <v>Profit</v>
      </c>
      <c r="P150" t="s">
        <v>15</v>
      </c>
      <c r="Q150">
        <v>0.06</v>
      </c>
      <c r="R150" t="s">
        <v>16</v>
      </c>
      <c r="S150" t="s">
        <v>20</v>
      </c>
      <c r="T150" t="s">
        <v>46</v>
      </c>
      <c r="U150" t="str">
        <f t="shared" si="21"/>
        <v>Low-Cost</v>
      </c>
    </row>
    <row r="151" spans="1:21" x14ac:dyDescent="0.3">
      <c r="A151">
        <v>1015</v>
      </c>
      <c r="B151" s="1">
        <v>45215</v>
      </c>
      <c r="C151" s="2" t="s">
        <v>31</v>
      </c>
      <c r="D151" t="s">
        <v>13</v>
      </c>
      <c r="E151">
        <v>23</v>
      </c>
      <c r="F151" t="s">
        <v>24</v>
      </c>
      <c r="G151">
        <f>1</f>
        <v>1</v>
      </c>
      <c r="H151" s="3">
        <v>2937.94</v>
      </c>
      <c r="I151" s="3">
        <v>3007.53</v>
      </c>
      <c r="J151" s="3">
        <f t="shared" si="15"/>
        <v>2917.3041000000003</v>
      </c>
      <c r="K151" s="3">
        <f t="shared" si="16"/>
        <v>67097.994300000006</v>
      </c>
      <c r="L151" s="3">
        <f t="shared" si="19"/>
        <v>67572.62</v>
      </c>
      <c r="M151" s="8">
        <f t="shared" si="20"/>
        <v>-474.62569999998959</v>
      </c>
      <c r="N151" s="4">
        <f t="shared" si="17"/>
        <v>-7.0736197847867648E-3</v>
      </c>
      <c r="O151" s="4" t="str">
        <f t="shared" si="18"/>
        <v>Loss</v>
      </c>
      <c r="P151" t="s">
        <v>15</v>
      </c>
      <c r="Q151">
        <v>0.03</v>
      </c>
      <c r="R151" t="s">
        <v>16</v>
      </c>
      <c r="S151" t="s">
        <v>20</v>
      </c>
      <c r="T151" t="s">
        <v>51</v>
      </c>
      <c r="U151" t="str">
        <f t="shared" si="21"/>
        <v>High-Cost</v>
      </c>
    </row>
    <row r="152" spans="1:21" x14ac:dyDescent="0.3">
      <c r="A152">
        <v>1015</v>
      </c>
      <c r="B152" s="1">
        <v>45246</v>
      </c>
      <c r="C152" s="2" t="s">
        <v>36</v>
      </c>
      <c r="D152" t="s">
        <v>32</v>
      </c>
      <c r="E152">
        <v>1</v>
      </c>
      <c r="F152" t="s">
        <v>14</v>
      </c>
      <c r="G152">
        <f>1</f>
        <v>1</v>
      </c>
      <c r="H152" s="3">
        <v>2928.74</v>
      </c>
      <c r="I152" s="3">
        <v>3027.74</v>
      </c>
      <c r="J152" s="3">
        <f t="shared" si="15"/>
        <v>2573.5789999999997</v>
      </c>
      <c r="K152" s="3">
        <f t="shared" si="16"/>
        <v>2573.5789999999997</v>
      </c>
      <c r="L152" s="3">
        <f t="shared" si="19"/>
        <v>2928.74</v>
      </c>
      <c r="M152" s="8">
        <f t="shared" si="20"/>
        <v>-355.16100000000006</v>
      </c>
      <c r="N152" s="4">
        <f t="shared" si="17"/>
        <v>-0.1380027580268568</v>
      </c>
      <c r="O152" s="4" t="str">
        <f t="shared" si="18"/>
        <v>Loss</v>
      </c>
      <c r="P152" t="s">
        <v>28</v>
      </c>
      <c r="Q152">
        <v>0.15</v>
      </c>
      <c r="R152" t="s">
        <v>25</v>
      </c>
      <c r="S152" t="s">
        <v>20</v>
      </c>
      <c r="T152" t="s">
        <v>46</v>
      </c>
      <c r="U152" t="str">
        <f t="shared" si="21"/>
        <v>High-Cost</v>
      </c>
    </row>
    <row r="153" spans="1:21" x14ac:dyDescent="0.3">
      <c r="A153">
        <v>1015</v>
      </c>
      <c r="B153" s="1">
        <v>45190</v>
      </c>
      <c r="C153" s="2" t="s">
        <v>22</v>
      </c>
      <c r="D153" t="s">
        <v>23</v>
      </c>
      <c r="E153">
        <v>30</v>
      </c>
      <c r="F153" t="s">
        <v>24</v>
      </c>
      <c r="G153">
        <f>1</f>
        <v>1</v>
      </c>
      <c r="H153" s="3">
        <v>261.56</v>
      </c>
      <c r="I153" s="3">
        <v>371.4</v>
      </c>
      <c r="J153" s="3">
        <f t="shared" si="15"/>
        <v>297.12</v>
      </c>
      <c r="K153" s="3">
        <f t="shared" si="16"/>
        <v>8913.6</v>
      </c>
      <c r="L153" s="3">
        <f t="shared" si="19"/>
        <v>7846.8</v>
      </c>
      <c r="M153" s="8">
        <f t="shared" si="20"/>
        <v>1066.8000000000002</v>
      </c>
      <c r="N153" s="4">
        <f t="shared" si="17"/>
        <v>0.11968228325255791</v>
      </c>
      <c r="O153" s="4" t="str">
        <f t="shared" si="18"/>
        <v>Profit</v>
      </c>
      <c r="P153" t="s">
        <v>15</v>
      </c>
      <c r="Q153">
        <v>0.2</v>
      </c>
      <c r="R153" t="s">
        <v>25</v>
      </c>
      <c r="S153" t="s">
        <v>20</v>
      </c>
      <c r="T153" t="s">
        <v>26</v>
      </c>
      <c r="U153" t="str">
        <f t="shared" si="21"/>
        <v>Low-Cost</v>
      </c>
    </row>
    <row r="154" spans="1:21" x14ac:dyDescent="0.3">
      <c r="A154">
        <v>1015</v>
      </c>
      <c r="B154" s="1">
        <v>45191</v>
      </c>
      <c r="C154" s="2" t="s">
        <v>22</v>
      </c>
      <c r="D154" t="s">
        <v>23</v>
      </c>
      <c r="E154">
        <v>22</v>
      </c>
      <c r="F154" t="s">
        <v>33</v>
      </c>
      <c r="G154">
        <f>1</f>
        <v>1</v>
      </c>
      <c r="H154" s="3">
        <v>4275.59</v>
      </c>
      <c r="I154" s="3">
        <v>4576.72</v>
      </c>
      <c r="J154" s="3">
        <f t="shared" si="15"/>
        <v>4485.1855999999998</v>
      </c>
      <c r="K154" s="3">
        <f t="shared" si="16"/>
        <v>98674.083200000008</v>
      </c>
      <c r="L154" s="3">
        <f t="shared" si="19"/>
        <v>94062.98000000001</v>
      </c>
      <c r="M154" s="8">
        <f t="shared" si="20"/>
        <v>4611.1031999999977</v>
      </c>
      <c r="N154" s="4">
        <f t="shared" si="17"/>
        <v>4.6730641425407206E-2</v>
      </c>
      <c r="O154" s="4" t="str">
        <f t="shared" si="18"/>
        <v>Profit</v>
      </c>
      <c r="P154" t="s">
        <v>15</v>
      </c>
      <c r="Q154">
        <v>0.02</v>
      </c>
      <c r="R154" t="s">
        <v>16</v>
      </c>
      <c r="S154" t="s">
        <v>20</v>
      </c>
      <c r="T154" t="s">
        <v>26</v>
      </c>
      <c r="U154" t="str">
        <f t="shared" si="21"/>
        <v>High-Cost</v>
      </c>
    </row>
    <row r="155" spans="1:21" x14ac:dyDescent="0.3">
      <c r="A155">
        <v>1015</v>
      </c>
      <c r="B155" s="1">
        <v>45193</v>
      </c>
      <c r="C155" s="2" t="s">
        <v>12</v>
      </c>
      <c r="D155" t="s">
        <v>32</v>
      </c>
      <c r="E155">
        <v>35</v>
      </c>
      <c r="F155" t="s">
        <v>27</v>
      </c>
      <c r="G155">
        <f>1</f>
        <v>1</v>
      </c>
      <c r="H155" s="3">
        <v>3461.15</v>
      </c>
      <c r="I155" s="3">
        <v>3631.75</v>
      </c>
      <c r="J155" s="3">
        <f t="shared" si="15"/>
        <v>2651.1774999999998</v>
      </c>
      <c r="K155" s="3">
        <f t="shared" si="16"/>
        <v>92791.212499999994</v>
      </c>
      <c r="L155" s="3">
        <f t="shared" si="19"/>
        <v>121140.25</v>
      </c>
      <c r="M155" s="8">
        <f t="shared" si="20"/>
        <v>-28349.037500000006</v>
      </c>
      <c r="N155" s="4">
        <f t="shared" si="17"/>
        <v>-0.30551424791437021</v>
      </c>
      <c r="O155" s="4" t="str">
        <f t="shared" si="18"/>
        <v>Loss</v>
      </c>
      <c r="P155" t="s">
        <v>15</v>
      </c>
      <c r="Q155">
        <v>0.27</v>
      </c>
      <c r="R155" t="s">
        <v>29</v>
      </c>
      <c r="S155" t="s">
        <v>17</v>
      </c>
      <c r="T155" t="s">
        <v>44</v>
      </c>
      <c r="U155" t="str">
        <f t="shared" si="21"/>
        <v>High-Cost</v>
      </c>
    </row>
    <row r="156" spans="1:21" x14ac:dyDescent="0.3">
      <c r="A156">
        <v>1015</v>
      </c>
      <c r="B156" s="1">
        <v>45133</v>
      </c>
      <c r="C156" s="2" t="s">
        <v>22</v>
      </c>
      <c r="D156" t="s">
        <v>13</v>
      </c>
      <c r="E156">
        <v>9</v>
      </c>
      <c r="F156" t="s">
        <v>33</v>
      </c>
      <c r="G156">
        <f>1</f>
        <v>1</v>
      </c>
      <c r="H156" s="3">
        <v>4680.3500000000004</v>
      </c>
      <c r="I156" s="3">
        <v>4758.1099999999997</v>
      </c>
      <c r="J156" s="3">
        <f t="shared" si="15"/>
        <v>4520.2044999999998</v>
      </c>
      <c r="K156" s="3">
        <f t="shared" si="16"/>
        <v>40681.840499999998</v>
      </c>
      <c r="L156" s="3">
        <f t="shared" si="19"/>
        <v>42123.15</v>
      </c>
      <c r="M156" s="8">
        <f t="shared" si="20"/>
        <v>-1441.309500000003</v>
      </c>
      <c r="N156" s="4">
        <f t="shared" si="17"/>
        <v>-3.5428817435140453E-2</v>
      </c>
      <c r="O156" s="4" t="str">
        <f t="shared" si="18"/>
        <v>Loss</v>
      </c>
      <c r="P156" t="s">
        <v>15</v>
      </c>
      <c r="Q156">
        <v>0.05</v>
      </c>
      <c r="R156" t="s">
        <v>25</v>
      </c>
      <c r="S156" t="s">
        <v>17</v>
      </c>
      <c r="T156" t="s">
        <v>43</v>
      </c>
      <c r="U156" t="str">
        <f t="shared" si="21"/>
        <v>High-Cost</v>
      </c>
    </row>
    <row r="157" spans="1:21" x14ac:dyDescent="0.3">
      <c r="A157">
        <v>1016</v>
      </c>
      <c r="B157" s="1">
        <v>45080</v>
      </c>
      <c r="C157" s="2" t="s">
        <v>22</v>
      </c>
      <c r="D157" t="s">
        <v>19</v>
      </c>
      <c r="E157">
        <v>46</v>
      </c>
      <c r="F157" t="s">
        <v>27</v>
      </c>
      <c r="G157">
        <f>1</f>
        <v>1</v>
      </c>
      <c r="H157" s="3">
        <v>1023.5</v>
      </c>
      <c r="I157" s="3">
        <v>1164.4100000000001</v>
      </c>
      <c r="J157" s="3">
        <f t="shared" si="15"/>
        <v>838.37520000000006</v>
      </c>
      <c r="K157" s="3">
        <f t="shared" si="16"/>
        <v>38565.2592</v>
      </c>
      <c r="L157" s="3">
        <f t="shared" si="19"/>
        <v>47081</v>
      </c>
      <c r="M157" s="8">
        <f t="shared" si="20"/>
        <v>-8515.7407999999996</v>
      </c>
      <c r="N157" s="4">
        <f t="shared" si="17"/>
        <v>-0.22081378361382825</v>
      </c>
      <c r="O157" s="4" t="str">
        <f t="shared" si="18"/>
        <v>Loss</v>
      </c>
      <c r="P157" t="s">
        <v>15</v>
      </c>
      <c r="Q157">
        <v>0.28000000000000003</v>
      </c>
      <c r="R157" t="s">
        <v>29</v>
      </c>
      <c r="S157" t="s">
        <v>20</v>
      </c>
      <c r="T157" t="s">
        <v>45</v>
      </c>
      <c r="U157" t="str">
        <f t="shared" si="21"/>
        <v>Low-Cost</v>
      </c>
    </row>
    <row r="158" spans="1:21" x14ac:dyDescent="0.3">
      <c r="A158">
        <v>1016</v>
      </c>
      <c r="B158" s="1">
        <v>45141</v>
      </c>
      <c r="C158" s="2" t="s">
        <v>40</v>
      </c>
      <c r="D158" t="s">
        <v>19</v>
      </c>
      <c r="E158">
        <v>16</v>
      </c>
      <c r="F158" t="s">
        <v>14</v>
      </c>
      <c r="G158">
        <f>1</f>
        <v>1</v>
      </c>
      <c r="H158" s="3">
        <v>4457.68</v>
      </c>
      <c r="I158" s="3">
        <v>4743.03</v>
      </c>
      <c r="J158" s="3">
        <f t="shared" si="15"/>
        <v>3841.8543</v>
      </c>
      <c r="K158" s="3">
        <f t="shared" si="16"/>
        <v>61469.668799999999</v>
      </c>
      <c r="L158" s="3">
        <f t="shared" si="19"/>
        <v>71322.880000000005</v>
      </c>
      <c r="M158" s="8">
        <f t="shared" si="20"/>
        <v>-9853.2112000000052</v>
      </c>
      <c r="N158" s="4">
        <f t="shared" si="17"/>
        <v>-0.16029387163380984</v>
      </c>
      <c r="O158" s="4" t="str">
        <f t="shared" si="18"/>
        <v>Loss</v>
      </c>
      <c r="P158" t="s">
        <v>15</v>
      </c>
      <c r="Q158">
        <v>0.19</v>
      </c>
      <c r="R158" t="s">
        <v>16</v>
      </c>
      <c r="S158" t="s">
        <v>17</v>
      </c>
      <c r="T158" t="s">
        <v>49</v>
      </c>
      <c r="U158" t="str">
        <f t="shared" si="21"/>
        <v>High-Cost</v>
      </c>
    </row>
    <row r="159" spans="1:21" x14ac:dyDescent="0.3">
      <c r="A159">
        <v>1016</v>
      </c>
      <c r="B159" s="1">
        <v>45239</v>
      </c>
      <c r="C159" s="2" t="s">
        <v>31</v>
      </c>
      <c r="D159" t="s">
        <v>23</v>
      </c>
      <c r="E159">
        <v>24</v>
      </c>
      <c r="F159" t="s">
        <v>14</v>
      </c>
      <c r="G159">
        <f>1</f>
        <v>1</v>
      </c>
      <c r="H159" s="3">
        <v>88.44</v>
      </c>
      <c r="I159" s="3">
        <v>338.94</v>
      </c>
      <c r="J159" s="3">
        <f t="shared" si="15"/>
        <v>240.64739999999998</v>
      </c>
      <c r="K159" s="3">
        <f t="shared" si="16"/>
        <v>5775.5375999999997</v>
      </c>
      <c r="L159" s="3">
        <f t="shared" si="19"/>
        <v>2122.56</v>
      </c>
      <c r="M159" s="8">
        <f t="shared" si="20"/>
        <v>3652.9775999999997</v>
      </c>
      <c r="N159" s="4">
        <f t="shared" si="17"/>
        <v>0.63249135457104455</v>
      </c>
      <c r="O159" s="4" t="str">
        <f t="shared" si="18"/>
        <v>Profit</v>
      </c>
      <c r="P159" t="s">
        <v>28</v>
      </c>
      <c r="Q159">
        <v>0.28999999999999998</v>
      </c>
      <c r="R159" t="s">
        <v>16</v>
      </c>
      <c r="S159" t="s">
        <v>17</v>
      </c>
      <c r="T159" t="s">
        <v>42</v>
      </c>
      <c r="U159" t="str">
        <f t="shared" si="21"/>
        <v>Low-Cost</v>
      </c>
    </row>
    <row r="160" spans="1:21" x14ac:dyDescent="0.3">
      <c r="A160">
        <v>1016</v>
      </c>
      <c r="B160" s="1">
        <v>45215</v>
      </c>
      <c r="C160" s="2" t="s">
        <v>36</v>
      </c>
      <c r="D160" t="s">
        <v>19</v>
      </c>
      <c r="E160">
        <v>11</v>
      </c>
      <c r="F160" t="s">
        <v>33</v>
      </c>
      <c r="G160">
        <f>1</f>
        <v>1</v>
      </c>
      <c r="H160" s="3">
        <v>3094.57</v>
      </c>
      <c r="I160" s="3">
        <v>3565.6</v>
      </c>
      <c r="J160" s="3">
        <f t="shared" si="15"/>
        <v>3209.04</v>
      </c>
      <c r="K160" s="3">
        <f t="shared" si="16"/>
        <v>35299.440000000002</v>
      </c>
      <c r="L160" s="3">
        <f t="shared" si="19"/>
        <v>34040.270000000004</v>
      </c>
      <c r="M160" s="8">
        <f t="shared" si="20"/>
        <v>1259.1699999999983</v>
      </c>
      <c r="N160" s="4">
        <f t="shared" si="17"/>
        <v>3.5671104130830356E-2</v>
      </c>
      <c r="O160" s="4" t="str">
        <f t="shared" si="18"/>
        <v>Profit</v>
      </c>
      <c r="P160" t="s">
        <v>15</v>
      </c>
      <c r="Q160">
        <v>0.1</v>
      </c>
      <c r="R160" t="s">
        <v>29</v>
      </c>
      <c r="S160" t="s">
        <v>20</v>
      </c>
      <c r="T160" t="s">
        <v>39</v>
      </c>
      <c r="U160" t="str">
        <f t="shared" si="21"/>
        <v>High-Cost</v>
      </c>
    </row>
    <row r="161" spans="1:21" x14ac:dyDescent="0.3">
      <c r="A161">
        <v>1016</v>
      </c>
      <c r="B161" s="1">
        <v>44943</v>
      </c>
      <c r="C161" s="2" t="s">
        <v>36</v>
      </c>
      <c r="D161" t="s">
        <v>19</v>
      </c>
      <c r="E161">
        <v>21</v>
      </c>
      <c r="F161" t="s">
        <v>33</v>
      </c>
      <c r="G161">
        <f>1</f>
        <v>1</v>
      </c>
      <c r="H161" s="3">
        <v>2863.74</v>
      </c>
      <c r="I161" s="3">
        <v>2953.91</v>
      </c>
      <c r="J161" s="3">
        <f t="shared" si="15"/>
        <v>2658.5189999999998</v>
      </c>
      <c r="K161" s="3">
        <f t="shared" si="16"/>
        <v>55828.899000000005</v>
      </c>
      <c r="L161" s="3">
        <f t="shared" si="19"/>
        <v>60138.539999999994</v>
      </c>
      <c r="M161" s="8">
        <f t="shared" si="20"/>
        <v>-4309.6409999999887</v>
      </c>
      <c r="N161" s="4">
        <f t="shared" si="17"/>
        <v>-7.719373079522826E-2</v>
      </c>
      <c r="O161" s="4" t="str">
        <f t="shared" si="18"/>
        <v>Loss</v>
      </c>
      <c r="P161" t="s">
        <v>28</v>
      </c>
      <c r="Q161">
        <v>0.1</v>
      </c>
      <c r="R161" t="s">
        <v>25</v>
      </c>
      <c r="S161" t="s">
        <v>20</v>
      </c>
      <c r="T161" t="s">
        <v>39</v>
      </c>
      <c r="U161" t="str">
        <f t="shared" si="21"/>
        <v>High-Cost</v>
      </c>
    </row>
    <row r="162" spans="1:21" x14ac:dyDescent="0.3">
      <c r="A162">
        <v>1016</v>
      </c>
      <c r="B162" s="1">
        <v>45155</v>
      </c>
      <c r="C162" s="2" t="s">
        <v>36</v>
      </c>
      <c r="D162" t="s">
        <v>19</v>
      </c>
      <c r="E162">
        <v>7</v>
      </c>
      <c r="F162" t="s">
        <v>24</v>
      </c>
      <c r="G162">
        <f>1</f>
        <v>1</v>
      </c>
      <c r="H162" s="3">
        <v>282.94</v>
      </c>
      <c r="I162" s="3">
        <v>779.33</v>
      </c>
      <c r="J162" s="3">
        <f t="shared" si="15"/>
        <v>561.11760000000004</v>
      </c>
      <c r="K162" s="3">
        <f t="shared" si="16"/>
        <v>3927.8232000000003</v>
      </c>
      <c r="L162" s="3">
        <f t="shared" si="19"/>
        <v>1980.58</v>
      </c>
      <c r="M162" s="8">
        <f t="shared" si="20"/>
        <v>1947.2432000000003</v>
      </c>
      <c r="N162" s="4">
        <f t="shared" si="17"/>
        <v>0.49575632630307803</v>
      </c>
      <c r="O162" s="4" t="str">
        <f t="shared" si="18"/>
        <v>Profit</v>
      </c>
      <c r="P162" t="s">
        <v>15</v>
      </c>
      <c r="Q162">
        <v>0.28000000000000003</v>
      </c>
      <c r="R162" t="s">
        <v>29</v>
      </c>
      <c r="S162" t="s">
        <v>17</v>
      </c>
      <c r="T162" t="s">
        <v>39</v>
      </c>
      <c r="U162" t="str">
        <f t="shared" si="21"/>
        <v>Low-Cost</v>
      </c>
    </row>
    <row r="163" spans="1:21" x14ac:dyDescent="0.3">
      <c r="A163">
        <v>1016</v>
      </c>
      <c r="B163" s="1">
        <v>45003</v>
      </c>
      <c r="C163" s="2" t="s">
        <v>22</v>
      </c>
      <c r="D163" t="s">
        <v>23</v>
      </c>
      <c r="E163">
        <v>4</v>
      </c>
      <c r="F163" t="s">
        <v>24</v>
      </c>
      <c r="G163">
        <f>1</f>
        <v>1</v>
      </c>
      <c r="H163" s="3">
        <v>688.98</v>
      </c>
      <c r="I163" s="3">
        <v>863.81</v>
      </c>
      <c r="J163" s="3">
        <f t="shared" si="15"/>
        <v>630.58129999999994</v>
      </c>
      <c r="K163" s="3">
        <f t="shared" si="16"/>
        <v>2522.3251999999998</v>
      </c>
      <c r="L163" s="3">
        <f t="shared" si="19"/>
        <v>2755.92</v>
      </c>
      <c r="M163" s="8">
        <f t="shared" si="20"/>
        <v>-233.5948000000003</v>
      </c>
      <c r="N163" s="4">
        <f t="shared" si="17"/>
        <v>-9.2610897278431956E-2</v>
      </c>
      <c r="O163" s="4" t="str">
        <f t="shared" si="18"/>
        <v>Loss</v>
      </c>
      <c r="P163" t="s">
        <v>28</v>
      </c>
      <c r="Q163">
        <v>0.27</v>
      </c>
      <c r="R163" t="s">
        <v>29</v>
      </c>
      <c r="S163" t="s">
        <v>20</v>
      </c>
      <c r="T163" t="s">
        <v>26</v>
      </c>
      <c r="U163" t="str">
        <f t="shared" si="21"/>
        <v>Low-Cost</v>
      </c>
    </row>
    <row r="164" spans="1:21" x14ac:dyDescent="0.3">
      <c r="A164">
        <v>1016</v>
      </c>
      <c r="B164" s="1">
        <v>45039</v>
      </c>
      <c r="C164" s="2" t="s">
        <v>22</v>
      </c>
      <c r="D164" t="s">
        <v>23</v>
      </c>
      <c r="E164">
        <v>6</v>
      </c>
      <c r="F164" t="s">
        <v>14</v>
      </c>
      <c r="G164">
        <f>1</f>
        <v>1</v>
      </c>
      <c r="H164" s="3">
        <v>4502.09</v>
      </c>
      <c r="I164" s="3">
        <v>4879.72</v>
      </c>
      <c r="J164" s="3">
        <f t="shared" si="15"/>
        <v>4245.3564000000006</v>
      </c>
      <c r="K164" s="3">
        <f t="shared" si="16"/>
        <v>25472.1384</v>
      </c>
      <c r="L164" s="3">
        <f t="shared" si="19"/>
        <v>27012.54</v>
      </c>
      <c r="M164" s="8">
        <f t="shared" si="20"/>
        <v>-1540.4016000000011</v>
      </c>
      <c r="N164" s="4">
        <f t="shared" si="17"/>
        <v>-6.0473980464867488E-2</v>
      </c>
      <c r="O164" s="4" t="str">
        <f t="shared" si="18"/>
        <v>Loss</v>
      </c>
      <c r="P164" t="s">
        <v>28</v>
      </c>
      <c r="Q164">
        <v>0.13</v>
      </c>
      <c r="R164" t="s">
        <v>29</v>
      </c>
      <c r="S164" t="s">
        <v>17</v>
      </c>
      <c r="T164" t="s">
        <v>26</v>
      </c>
      <c r="U164" t="str">
        <f t="shared" si="21"/>
        <v>High-Cost</v>
      </c>
    </row>
    <row r="165" spans="1:21" x14ac:dyDescent="0.3">
      <c r="A165">
        <v>1016</v>
      </c>
      <c r="B165" s="1">
        <v>45253</v>
      </c>
      <c r="C165" s="2" t="s">
        <v>36</v>
      </c>
      <c r="D165" t="s">
        <v>32</v>
      </c>
      <c r="E165">
        <v>26</v>
      </c>
      <c r="F165" t="s">
        <v>27</v>
      </c>
      <c r="G165">
        <f>1</f>
        <v>1</v>
      </c>
      <c r="H165" s="3">
        <v>4906.8500000000004</v>
      </c>
      <c r="I165" s="3">
        <v>4954.3900000000003</v>
      </c>
      <c r="J165" s="3">
        <f t="shared" si="15"/>
        <v>3715.7925000000005</v>
      </c>
      <c r="K165" s="3">
        <f t="shared" si="16"/>
        <v>96610.60500000001</v>
      </c>
      <c r="L165" s="3">
        <f t="shared" si="19"/>
        <v>127578.1</v>
      </c>
      <c r="M165" s="8">
        <f t="shared" si="20"/>
        <v>-30967.494999999995</v>
      </c>
      <c r="N165" s="4">
        <f t="shared" si="17"/>
        <v>-0.32053929276190735</v>
      </c>
      <c r="O165" s="4" t="str">
        <f t="shared" si="18"/>
        <v>Loss</v>
      </c>
      <c r="P165" t="s">
        <v>28</v>
      </c>
      <c r="Q165">
        <v>0.25</v>
      </c>
      <c r="R165" t="s">
        <v>25</v>
      </c>
      <c r="S165" t="s">
        <v>17</v>
      </c>
      <c r="T165" t="s">
        <v>46</v>
      </c>
      <c r="U165" t="str">
        <f t="shared" si="21"/>
        <v>High-Cost</v>
      </c>
    </row>
    <row r="166" spans="1:21" x14ac:dyDescent="0.3">
      <c r="A166">
        <v>1016</v>
      </c>
      <c r="B166" s="1">
        <v>45102</v>
      </c>
      <c r="C166" s="2" t="s">
        <v>40</v>
      </c>
      <c r="D166" t="s">
        <v>19</v>
      </c>
      <c r="E166">
        <v>2</v>
      </c>
      <c r="F166" t="s">
        <v>33</v>
      </c>
      <c r="G166">
        <f>1</f>
        <v>1</v>
      </c>
      <c r="H166" s="3">
        <v>3144.82</v>
      </c>
      <c r="I166" s="3">
        <v>3480.58</v>
      </c>
      <c r="J166" s="3">
        <f t="shared" si="15"/>
        <v>3062.9103999999998</v>
      </c>
      <c r="K166" s="3">
        <f t="shared" si="16"/>
        <v>6125.8207999999995</v>
      </c>
      <c r="L166" s="3">
        <f t="shared" si="19"/>
        <v>6289.64</v>
      </c>
      <c r="M166" s="8">
        <f t="shared" si="20"/>
        <v>-163.81920000000082</v>
      </c>
      <c r="N166" s="4">
        <f t="shared" si="17"/>
        <v>-2.6742408135739269E-2</v>
      </c>
      <c r="O166" s="4" t="str">
        <f t="shared" si="18"/>
        <v>Loss</v>
      </c>
      <c r="P166" t="s">
        <v>15</v>
      </c>
      <c r="Q166">
        <v>0.12</v>
      </c>
      <c r="R166" t="s">
        <v>16</v>
      </c>
      <c r="S166" t="s">
        <v>20</v>
      </c>
      <c r="T166" t="s">
        <v>49</v>
      </c>
      <c r="U166" t="str">
        <f t="shared" si="21"/>
        <v>High-Cost</v>
      </c>
    </row>
    <row r="167" spans="1:21" x14ac:dyDescent="0.3">
      <c r="A167">
        <v>1016</v>
      </c>
      <c r="B167" s="1">
        <v>45103</v>
      </c>
      <c r="C167" s="2" t="s">
        <v>31</v>
      </c>
      <c r="D167" t="s">
        <v>13</v>
      </c>
      <c r="E167">
        <v>3</v>
      </c>
      <c r="F167" t="s">
        <v>33</v>
      </c>
      <c r="G167">
        <f>1</f>
        <v>1</v>
      </c>
      <c r="H167" s="3">
        <v>3401.87</v>
      </c>
      <c r="I167" s="3">
        <v>3733.71</v>
      </c>
      <c r="J167" s="3">
        <f t="shared" si="15"/>
        <v>3509.6873999999998</v>
      </c>
      <c r="K167" s="3">
        <f t="shared" si="16"/>
        <v>10529.0622</v>
      </c>
      <c r="L167" s="3">
        <f t="shared" si="19"/>
        <v>10205.61</v>
      </c>
      <c r="M167" s="8">
        <f t="shared" si="20"/>
        <v>323.45219999999972</v>
      </c>
      <c r="N167" s="4">
        <f t="shared" si="17"/>
        <v>3.0719943890159536E-2</v>
      </c>
      <c r="O167" s="4" t="str">
        <f t="shared" si="18"/>
        <v>Profit</v>
      </c>
      <c r="P167" t="s">
        <v>15</v>
      </c>
      <c r="Q167">
        <v>0.06</v>
      </c>
      <c r="R167" t="s">
        <v>25</v>
      </c>
      <c r="S167" t="s">
        <v>20</v>
      </c>
      <c r="T167" t="s">
        <v>51</v>
      </c>
      <c r="U167" t="str">
        <f t="shared" si="21"/>
        <v>High-Cost</v>
      </c>
    </row>
    <row r="168" spans="1:21" x14ac:dyDescent="0.3">
      <c r="A168">
        <v>1016</v>
      </c>
      <c r="B168" s="1">
        <v>44953</v>
      </c>
      <c r="C168" s="2" t="s">
        <v>36</v>
      </c>
      <c r="D168" t="s">
        <v>13</v>
      </c>
      <c r="E168">
        <v>41</v>
      </c>
      <c r="F168" t="s">
        <v>24</v>
      </c>
      <c r="G168">
        <f>1</f>
        <v>1</v>
      </c>
      <c r="H168" s="3">
        <v>3386.49</v>
      </c>
      <c r="I168" s="3">
        <v>3430.99</v>
      </c>
      <c r="J168" s="3">
        <f t="shared" si="15"/>
        <v>2710.4821000000002</v>
      </c>
      <c r="K168" s="3">
        <f t="shared" si="16"/>
        <v>111129.76610000001</v>
      </c>
      <c r="L168" s="3">
        <f t="shared" si="19"/>
        <v>138846.09</v>
      </c>
      <c r="M168" s="8">
        <f t="shared" si="20"/>
        <v>-27716.323899999988</v>
      </c>
      <c r="N168" s="4">
        <f t="shared" si="17"/>
        <v>-0.24940504126553711</v>
      </c>
      <c r="O168" s="4" t="str">
        <f t="shared" si="18"/>
        <v>Loss</v>
      </c>
      <c r="P168" t="s">
        <v>28</v>
      </c>
      <c r="Q168">
        <v>0.21</v>
      </c>
      <c r="R168" t="s">
        <v>25</v>
      </c>
      <c r="S168" t="s">
        <v>20</v>
      </c>
      <c r="T168" t="s">
        <v>38</v>
      </c>
      <c r="U168" t="str">
        <f t="shared" si="21"/>
        <v>High-Cost</v>
      </c>
    </row>
    <row r="169" spans="1:21" x14ac:dyDescent="0.3">
      <c r="A169">
        <v>1016</v>
      </c>
      <c r="B169" s="1">
        <v>45016</v>
      </c>
      <c r="C169" s="2" t="s">
        <v>36</v>
      </c>
      <c r="D169" t="s">
        <v>32</v>
      </c>
      <c r="E169">
        <v>38</v>
      </c>
      <c r="F169" t="s">
        <v>33</v>
      </c>
      <c r="G169">
        <f>1</f>
        <v>1</v>
      </c>
      <c r="H169" s="3">
        <v>3883.38</v>
      </c>
      <c r="I169" s="3">
        <v>4152.72</v>
      </c>
      <c r="J169" s="3">
        <f t="shared" si="15"/>
        <v>3073.0128</v>
      </c>
      <c r="K169" s="3">
        <f t="shared" si="16"/>
        <v>116774.48640000001</v>
      </c>
      <c r="L169" s="3">
        <f t="shared" si="19"/>
        <v>147568.44</v>
      </c>
      <c r="M169" s="8">
        <f t="shared" si="20"/>
        <v>-30793.953599999993</v>
      </c>
      <c r="N169" s="4">
        <f t="shared" si="17"/>
        <v>-0.26370446618380494</v>
      </c>
      <c r="O169" s="4" t="str">
        <f t="shared" si="18"/>
        <v>Loss</v>
      </c>
      <c r="P169" t="s">
        <v>15</v>
      </c>
      <c r="Q169">
        <v>0.26</v>
      </c>
      <c r="R169" t="s">
        <v>16</v>
      </c>
      <c r="S169" t="s">
        <v>17</v>
      </c>
      <c r="T169" t="s">
        <v>46</v>
      </c>
      <c r="U169" t="str">
        <f t="shared" si="21"/>
        <v>High-Cost</v>
      </c>
    </row>
    <row r="170" spans="1:21" x14ac:dyDescent="0.3">
      <c r="A170">
        <v>1017</v>
      </c>
      <c r="B170" s="1">
        <v>44964</v>
      </c>
      <c r="C170" s="2" t="s">
        <v>31</v>
      </c>
      <c r="D170" t="s">
        <v>19</v>
      </c>
      <c r="E170">
        <v>2</v>
      </c>
      <c r="F170" t="s">
        <v>24</v>
      </c>
      <c r="G170">
        <f>1</f>
        <v>1</v>
      </c>
      <c r="H170" s="3">
        <v>728.41</v>
      </c>
      <c r="I170" s="3">
        <v>1094.92</v>
      </c>
      <c r="J170" s="3">
        <f t="shared" si="15"/>
        <v>832.13920000000007</v>
      </c>
      <c r="K170" s="3">
        <f t="shared" si="16"/>
        <v>1664.2784000000001</v>
      </c>
      <c r="L170" s="3">
        <f t="shared" si="19"/>
        <v>1456.82</v>
      </c>
      <c r="M170" s="8">
        <f t="shared" si="20"/>
        <v>207.45840000000021</v>
      </c>
      <c r="N170" s="4">
        <f t="shared" si="17"/>
        <v>0.12465366371395567</v>
      </c>
      <c r="O170" s="4" t="str">
        <f t="shared" si="18"/>
        <v>Profit</v>
      </c>
      <c r="P170" t="s">
        <v>28</v>
      </c>
      <c r="Q170">
        <v>0.24</v>
      </c>
      <c r="R170" t="s">
        <v>16</v>
      </c>
      <c r="S170" t="s">
        <v>20</v>
      </c>
      <c r="T170" t="s">
        <v>35</v>
      </c>
      <c r="U170" t="str">
        <f t="shared" si="21"/>
        <v>Low-Cost</v>
      </c>
    </row>
    <row r="171" spans="1:21" x14ac:dyDescent="0.3">
      <c r="A171">
        <v>1017</v>
      </c>
      <c r="B171" s="1">
        <v>45086</v>
      </c>
      <c r="C171" s="2" t="s">
        <v>31</v>
      </c>
      <c r="D171" t="s">
        <v>32</v>
      </c>
      <c r="E171">
        <v>35</v>
      </c>
      <c r="F171" t="s">
        <v>14</v>
      </c>
      <c r="G171">
        <f>1</f>
        <v>1</v>
      </c>
      <c r="H171" s="3">
        <v>4480.63</v>
      </c>
      <c r="I171" s="3">
        <v>4884.12</v>
      </c>
      <c r="J171" s="3">
        <f t="shared" si="15"/>
        <v>4688.7551999999996</v>
      </c>
      <c r="K171" s="3">
        <f t="shared" si="16"/>
        <v>164106.43199999997</v>
      </c>
      <c r="L171" s="3">
        <f t="shared" si="19"/>
        <v>156822.05000000002</v>
      </c>
      <c r="M171" s="8">
        <f t="shared" si="20"/>
        <v>7284.3819999999541</v>
      </c>
      <c r="N171" s="4">
        <f t="shared" si="17"/>
        <v>4.4388156583649051E-2</v>
      </c>
      <c r="O171" s="4" t="str">
        <f t="shared" si="18"/>
        <v>Profit</v>
      </c>
      <c r="P171" t="s">
        <v>28</v>
      </c>
      <c r="Q171">
        <v>0.04</v>
      </c>
      <c r="R171" t="s">
        <v>16</v>
      </c>
      <c r="S171" t="s">
        <v>17</v>
      </c>
      <c r="T171" t="s">
        <v>34</v>
      </c>
      <c r="U171" t="str">
        <f t="shared" si="21"/>
        <v>High-Cost</v>
      </c>
    </row>
    <row r="172" spans="1:21" x14ac:dyDescent="0.3">
      <c r="A172">
        <v>1017</v>
      </c>
      <c r="B172" s="1">
        <v>45148</v>
      </c>
      <c r="C172" s="2" t="s">
        <v>40</v>
      </c>
      <c r="D172" t="s">
        <v>13</v>
      </c>
      <c r="E172">
        <v>43</v>
      </c>
      <c r="F172" t="s">
        <v>14</v>
      </c>
      <c r="G172">
        <f>1</f>
        <v>1</v>
      </c>
      <c r="H172" s="3">
        <v>1454.8</v>
      </c>
      <c r="I172" s="3">
        <v>1674.97</v>
      </c>
      <c r="J172" s="3">
        <f t="shared" si="15"/>
        <v>1624.7209</v>
      </c>
      <c r="K172" s="3">
        <f t="shared" si="16"/>
        <v>69862.998700000011</v>
      </c>
      <c r="L172" s="3">
        <f t="shared" si="19"/>
        <v>62556.4</v>
      </c>
      <c r="M172" s="8">
        <f t="shared" si="20"/>
        <v>7306.5987000000096</v>
      </c>
      <c r="N172" s="4">
        <f t="shared" si="17"/>
        <v>0.10458467051171694</v>
      </c>
      <c r="O172" s="4" t="str">
        <f t="shared" si="18"/>
        <v>Profit</v>
      </c>
      <c r="P172" t="s">
        <v>28</v>
      </c>
      <c r="Q172">
        <v>0.03</v>
      </c>
      <c r="R172" t="s">
        <v>29</v>
      </c>
      <c r="S172" t="s">
        <v>17</v>
      </c>
      <c r="T172" t="s">
        <v>47</v>
      </c>
      <c r="U172" t="str">
        <f t="shared" si="21"/>
        <v>Low-Cost</v>
      </c>
    </row>
    <row r="173" spans="1:21" x14ac:dyDescent="0.3">
      <c r="A173">
        <v>1017</v>
      </c>
      <c r="B173" s="1">
        <v>44941</v>
      </c>
      <c r="C173" s="2" t="s">
        <v>36</v>
      </c>
      <c r="D173" t="s">
        <v>13</v>
      </c>
      <c r="E173">
        <v>6</v>
      </c>
      <c r="F173" t="s">
        <v>14</v>
      </c>
      <c r="G173">
        <f>1</f>
        <v>1</v>
      </c>
      <c r="H173" s="3">
        <v>2594.42</v>
      </c>
      <c r="I173" s="3">
        <v>3081.04</v>
      </c>
      <c r="J173" s="3">
        <f t="shared" si="15"/>
        <v>2772.9360000000001</v>
      </c>
      <c r="K173" s="3">
        <f t="shared" si="16"/>
        <v>16637.615999999998</v>
      </c>
      <c r="L173" s="3">
        <f t="shared" si="19"/>
        <v>15566.52</v>
      </c>
      <c r="M173" s="8">
        <f t="shared" si="20"/>
        <v>1071.0959999999977</v>
      </c>
      <c r="N173" s="4">
        <f t="shared" si="17"/>
        <v>6.4377973382724898E-2</v>
      </c>
      <c r="O173" s="4" t="str">
        <f t="shared" si="18"/>
        <v>Profit</v>
      </c>
      <c r="P173" t="s">
        <v>15</v>
      </c>
      <c r="Q173">
        <v>0.1</v>
      </c>
      <c r="R173" t="s">
        <v>25</v>
      </c>
      <c r="S173" t="s">
        <v>20</v>
      </c>
      <c r="T173" t="s">
        <v>38</v>
      </c>
      <c r="U173" t="str">
        <f t="shared" si="21"/>
        <v>High-Cost</v>
      </c>
    </row>
    <row r="174" spans="1:21" x14ac:dyDescent="0.3">
      <c r="A174">
        <v>1017</v>
      </c>
      <c r="B174" s="1">
        <v>45122</v>
      </c>
      <c r="C174" s="2" t="s">
        <v>22</v>
      </c>
      <c r="D174" t="s">
        <v>13</v>
      </c>
      <c r="E174">
        <v>23</v>
      </c>
      <c r="F174" t="s">
        <v>33</v>
      </c>
      <c r="G174">
        <f>1</f>
        <v>1</v>
      </c>
      <c r="H174" s="3">
        <v>1771.52</v>
      </c>
      <c r="I174" s="3">
        <v>2147.8000000000002</v>
      </c>
      <c r="J174" s="3">
        <f t="shared" si="15"/>
        <v>1997.454</v>
      </c>
      <c r="K174" s="3">
        <f t="shared" si="16"/>
        <v>45941.441999999995</v>
      </c>
      <c r="L174" s="3">
        <f t="shared" si="19"/>
        <v>40744.959999999999</v>
      </c>
      <c r="M174" s="8">
        <f t="shared" si="20"/>
        <v>5196.4819999999963</v>
      </c>
      <c r="N174" s="4">
        <f t="shared" si="17"/>
        <v>0.11311099029063991</v>
      </c>
      <c r="O174" s="4" t="str">
        <f t="shared" si="18"/>
        <v>Profit</v>
      </c>
      <c r="P174" t="s">
        <v>28</v>
      </c>
      <c r="Q174">
        <v>7.0000000000000007E-2</v>
      </c>
      <c r="R174" t="s">
        <v>25</v>
      </c>
      <c r="S174" t="s">
        <v>17</v>
      </c>
      <c r="T174" t="s">
        <v>43</v>
      </c>
      <c r="U174" t="str">
        <f t="shared" si="21"/>
        <v>Low-Cost</v>
      </c>
    </row>
    <row r="175" spans="1:21" x14ac:dyDescent="0.3">
      <c r="A175">
        <v>1017</v>
      </c>
      <c r="B175" s="1">
        <v>45123</v>
      </c>
      <c r="C175" s="2" t="s">
        <v>40</v>
      </c>
      <c r="D175" t="s">
        <v>23</v>
      </c>
      <c r="E175">
        <v>18</v>
      </c>
      <c r="F175" t="s">
        <v>14</v>
      </c>
      <c r="G175">
        <f>1</f>
        <v>1</v>
      </c>
      <c r="H175" s="3">
        <v>1069.73</v>
      </c>
      <c r="I175" s="3">
        <v>1180.04</v>
      </c>
      <c r="J175" s="3">
        <f t="shared" si="15"/>
        <v>920.43119999999999</v>
      </c>
      <c r="K175" s="3">
        <f t="shared" si="16"/>
        <v>16567.761600000002</v>
      </c>
      <c r="L175" s="3">
        <f t="shared" si="19"/>
        <v>19255.14</v>
      </c>
      <c r="M175" s="8">
        <f t="shared" si="20"/>
        <v>-2687.3783999999978</v>
      </c>
      <c r="N175" s="4">
        <f t="shared" si="17"/>
        <v>-0.16220527943859342</v>
      </c>
      <c r="O175" s="4" t="str">
        <f t="shared" si="18"/>
        <v>Loss</v>
      </c>
      <c r="P175" t="s">
        <v>15</v>
      </c>
      <c r="Q175">
        <v>0.22</v>
      </c>
      <c r="R175" t="s">
        <v>25</v>
      </c>
      <c r="S175" t="s">
        <v>17</v>
      </c>
      <c r="T175" t="s">
        <v>41</v>
      </c>
      <c r="U175" t="str">
        <f t="shared" si="21"/>
        <v>Low-Cost</v>
      </c>
    </row>
    <row r="176" spans="1:21" x14ac:dyDescent="0.3">
      <c r="A176">
        <v>1017</v>
      </c>
      <c r="B176" s="1">
        <v>45002</v>
      </c>
      <c r="C176" s="2" t="s">
        <v>12</v>
      </c>
      <c r="D176" t="s">
        <v>13</v>
      </c>
      <c r="E176">
        <v>28</v>
      </c>
      <c r="F176" t="s">
        <v>27</v>
      </c>
      <c r="G176">
        <f>1</f>
        <v>1</v>
      </c>
      <c r="H176" s="3">
        <v>3780.91</v>
      </c>
      <c r="I176" s="3">
        <v>3892.73</v>
      </c>
      <c r="J176" s="3">
        <f t="shared" si="15"/>
        <v>3503.4569999999999</v>
      </c>
      <c r="K176" s="3">
        <f t="shared" si="16"/>
        <v>98096.796000000002</v>
      </c>
      <c r="L176" s="3">
        <f t="shared" si="19"/>
        <v>105865.48</v>
      </c>
      <c r="M176" s="8">
        <f t="shared" si="20"/>
        <v>-7768.6839999999938</v>
      </c>
      <c r="N176" s="4">
        <f t="shared" si="17"/>
        <v>-7.9194064605331183E-2</v>
      </c>
      <c r="O176" s="4" t="str">
        <f t="shared" si="18"/>
        <v>Loss</v>
      </c>
      <c r="P176" t="s">
        <v>15</v>
      </c>
      <c r="Q176">
        <v>0.1</v>
      </c>
      <c r="R176" t="s">
        <v>16</v>
      </c>
      <c r="S176" t="s">
        <v>20</v>
      </c>
      <c r="T176" t="s">
        <v>18</v>
      </c>
      <c r="U176" t="str">
        <f t="shared" si="21"/>
        <v>High-Cost</v>
      </c>
    </row>
    <row r="177" spans="1:21" x14ac:dyDescent="0.3">
      <c r="A177">
        <v>1017</v>
      </c>
      <c r="B177" s="1">
        <v>44946</v>
      </c>
      <c r="C177" s="2" t="s">
        <v>12</v>
      </c>
      <c r="D177" t="s">
        <v>32</v>
      </c>
      <c r="E177">
        <v>29</v>
      </c>
      <c r="F177" t="s">
        <v>27</v>
      </c>
      <c r="G177">
        <f>1</f>
        <v>1</v>
      </c>
      <c r="H177" s="3">
        <v>3410.49</v>
      </c>
      <c r="I177" s="3">
        <v>3481.72</v>
      </c>
      <c r="J177" s="3">
        <f t="shared" si="15"/>
        <v>2646.1071999999999</v>
      </c>
      <c r="K177" s="3">
        <f t="shared" si="16"/>
        <v>76737.108799999987</v>
      </c>
      <c r="L177" s="3">
        <f t="shared" si="19"/>
        <v>98904.209999999992</v>
      </c>
      <c r="M177" s="8">
        <f t="shared" si="20"/>
        <v>-22167.101200000005</v>
      </c>
      <c r="N177" s="4">
        <f t="shared" si="17"/>
        <v>-0.28887068520882309</v>
      </c>
      <c r="O177" s="4" t="str">
        <f t="shared" si="18"/>
        <v>Loss</v>
      </c>
      <c r="P177" t="s">
        <v>28</v>
      </c>
      <c r="Q177">
        <v>0.24</v>
      </c>
      <c r="R177" t="s">
        <v>25</v>
      </c>
      <c r="S177" t="s">
        <v>20</v>
      </c>
      <c r="T177" t="s">
        <v>44</v>
      </c>
      <c r="U177" t="str">
        <f t="shared" si="21"/>
        <v>High-Cost</v>
      </c>
    </row>
    <row r="178" spans="1:21" x14ac:dyDescent="0.3">
      <c r="A178">
        <v>1017</v>
      </c>
      <c r="B178" s="1">
        <v>44977</v>
      </c>
      <c r="C178" s="2" t="s">
        <v>31</v>
      </c>
      <c r="D178" t="s">
        <v>13</v>
      </c>
      <c r="E178">
        <v>16</v>
      </c>
      <c r="F178" t="s">
        <v>14</v>
      </c>
      <c r="G178">
        <f>1</f>
        <v>1</v>
      </c>
      <c r="H178" s="3">
        <v>102.23</v>
      </c>
      <c r="I178" s="3">
        <v>167.12</v>
      </c>
      <c r="J178" s="3">
        <f t="shared" si="15"/>
        <v>160.43520000000001</v>
      </c>
      <c r="K178" s="3">
        <f t="shared" si="16"/>
        <v>2566.9632000000001</v>
      </c>
      <c r="L178" s="3">
        <f t="shared" si="19"/>
        <v>1635.68</v>
      </c>
      <c r="M178" s="8">
        <f t="shared" si="20"/>
        <v>931.28320000000008</v>
      </c>
      <c r="N178" s="4">
        <f t="shared" si="17"/>
        <v>0.36279569570767511</v>
      </c>
      <c r="O178" s="4" t="str">
        <f t="shared" si="18"/>
        <v>Profit</v>
      </c>
      <c r="P178" t="s">
        <v>28</v>
      </c>
      <c r="Q178">
        <v>0.04</v>
      </c>
      <c r="R178" t="s">
        <v>29</v>
      </c>
      <c r="S178" t="s">
        <v>20</v>
      </c>
      <c r="T178" t="s">
        <v>51</v>
      </c>
      <c r="U178" t="str">
        <f t="shared" si="21"/>
        <v>Low-Cost</v>
      </c>
    </row>
    <row r="179" spans="1:21" x14ac:dyDescent="0.3">
      <c r="A179">
        <v>1017</v>
      </c>
      <c r="B179" s="1">
        <v>45128</v>
      </c>
      <c r="C179" s="2" t="s">
        <v>22</v>
      </c>
      <c r="D179" t="s">
        <v>32</v>
      </c>
      <c r="E179">
        <v>1</v>
      </c>
      <c r="F179" t="s">
        <v>24</v>
      </c>
      <c r="G179">
        <f>1</f>
        <v>1</v>
      </c>
      <c r="H179" s="3">
        <v>172.59</v>
      </c>
      <c r="I179" s="3">
        <v>404.69</v>
      </c>
      <c r="J179" s="3">
        <f t="shared" si="15"/>
        <v>287.32990000000001</v>
      </c>
      <c r="K179" s="3">
        <f t="shared" si="16"/>
        <v>287.32990000000001</v>
      </c>
      <c r="L179" s="3">
        <f t="shared" si="19"/>
        <v>172.59</v>
      </c>
      <c r="M179" s="8">
        <f t="shared" si="20"/>
        <v>114.73990000000001</v>
      </c>
      <c r="N179" s="4">
        <f t="shared" si="17"/>
        <v>0.39933156973917439</v>
      </c>
      <c r="O179" s="4" t="str">
        <f t="shared" si="18"/>
        <v>Profit</v>
      </c>
      <c r="P179" t="s">
        <v>15</v>
      </c>
      <c r="Q179">
        <v>0.28999999999999998</v>
      </c>
      <c r="R179" t="s">
        <v>25</v>
      </c>
      <c r="S179" t="s">
        <v>17</v>
      </c>
      <c r="T179" t="s">
        <v>48</v>
      </c>
      <c r="U179" t="str">
        <f t="shared" si="21"/>
        <v>Low-Cost</v>
      </c>
    </row>
    <row r="180" spans="1:21" x14ac:dyDescent="0.3">
      <c r="A180">
        <v>1017</v>
      </c>
      <c r="B180" s="1">
        <v>45283</v>
      </c>
      <c r="C180" s="2" t="s">
        <v>40</v>
      </c>
      <c r="D180" t="s">
        <v>32</v>
      </c>
      <c r="E180">
        <v>33</v>
      </c>
      <c r="F180" t="s">
        <v>24</v>
      </c>
      <c r="G180">
        <f>1</f>
        <v>1</v>
      </c>
      <c r="H180" s="3">
        <v>1551.25</v>
      </c>
      <c r="I180" s="3">
        <v>1994.01</v>
      </c>
      <c r="J180" s="3">
        <f t="shared" si="15"/>
        <v>1834.4892</v>
      </c>
      <c r="K180" s="3">
        <f t="shared" si="16"/>
        <v>60538.143600000003</v>
      </c>
      <c r="L180" s="3">
        <f t="shared" si="19"/>
        <v>51191.25</v>
      </c>
      <c r="M180" s="8">
        <f t="shared" si="20"/>
        <v>9346.8936000000031</v>
      </c>
      <c r="N180" s="4">
        <f t="shared" si="17"/>
        <v>0.15439676614067832</v>
      </c>
      <c r="O180" s="4" t="str">
        <f t="shared" si="18"/>
        <v>Profit</v>
      </c>
      <c r="P180" t="s">
        <v>15</v>
      </c>
      <c r="Q180">
        <v>0.08</v>
      </c>
      <c r="R180" t="s">
        <v>16</v>
      </c>
      <c r="S180" t="s">
        <v>17</v>
      </c>
      <c r="T180" t="s">
        <v>50</v>
      </c>
      <c r="U180" t="str">
        <f t="shared" si="21"/>
        <v>Low-Cost</v>
      </c>
    </row>
    <row r="181" spans="1:21" x14ac:dyDescent="0.3">
      <c r="A181">
        <v>1017</v>
      </c>
      <c r="B181" s="1">
        <v>44950</v>
      </c>
      <c r="C181" s="2" t="s">
        <v>36</v>
      </c>
      <c r="D181" t="s">
        <v>13</v>
      </c>
      <c r="E181">
        <v>27</v>
      </c>
      <c r="F181" t="s">
        <v>33</v>
      </c>
      <c r="G181">
        <f>1</f>
        <v>1</v>
      </c>
      <c r="H181" s="3">
        <v>927.89</v>
      </c>
      <c r="I181" s="3">
        <v>1399.09</v>
      </c>
      <c r="J181" s="3">
        <f t="shared" si="15"/>
        <v>1021.3356999999999</v>
      </c>
      <c r="K181" s="3">
        <f t="shared" si="16"/>
        <v>27576.063900000001</v>
      </c>
      <c r="L181" s="3">
        <f t="shared" si="19"/>
        <v>25053.03</v>
      </c>
      <c r="M181" s="8">
        <f t="shared" si="20"/>
        <v>2523.0339000000022</v>
      </c>
      <c r="N181" s="4">
        <f t="shared" si="17"/>
        <v>9.149361958071188E-2</v>
      </c>
      <c r="O181" s="4" t="str">
        <f t="shared" si="18"/>
        <v>Profit</v>
      </c>
      <c r="P181" t="s">
        <v>15</v>
      </c>
      <c r="Q181">
        <v>0.27</v>
      </c>
      <c r="R181" t="s">
        <v>29</v>
      </c>
      <c r="S181" t="s">
        <v>17</v>
      </c>
      <c r="T181" t="s">
        <v>38</v>
      </c>
      <c r="U181" t="str">
        <f t="shared" si="21"/>
        <v>Low-Cost</v>
      </c>
    </row>
    <row r="182" spans="1:21" x14ac:dyDescent="0.3">
      <c r="A182">
        <v>1017</v>
      </c>
      <c r="B182" s="1">
        <v>45074</v>
      </c>
      <c r="C182" s="2" t="s">
        <v>22</v>
      </c>
      <c r="D182" t="s">
        <v>32</v>
      </c>
      <c r="E182">
        <v>35</v>
      </c>
      <c r="F182" t="s">
        <v>33</v>
      </c>
      <c r="G182">
        <f>1</f>
        <v>1</v>
      </c>
      <c r="H182" s="3">
        <v>4867.6400000000003</v>
      </c>
      <c r="I182" s="3">
        <v>5287.05</v>
      </c>
      <c r="J182" s="3">
        <f t="shared" si="15"/>
        <v>3806.6759999999999</v>
      </c>
      <c r="K182" s="3">
        <f t="shared" si="16"/>
        <v>133233.66</v>
      </c>
      <c r="L182" s="3">
        <f t="shared" si="19"/>
        <v>170367.40000000002</v>
      </c>
      <c r="M182" s="8">
        <f t="shared" si="20"/>
        <v>-37133.74000000002</v>
      </c>
      <c r="N182" s="4">
        <f t="shared" si="17"/>
        <v>-0.27871140070759909</v>
      </c>
      <c r="O182" s="4" t="str">
        <f t="shared" si="18"/>
        <v>Loss</v>
      </c>
      <c r="P182" t="s">
        <v>15</v>
      </c>
      <c r="Q182">
        <v>0.28000000000000003</v>
      </c>
      <c r="R182" t="s">
        <v>29</v>
      </c>
      <c r="S182" t="s">
        <v>17</v>
      </c>
      <c r="T182" t="s">
        <v>48</v>
      </c>
      <c r="U182" t="str">
        <f t="shared" si="21"/>
        <v>High-Cost</v>
      </c>
    </row>
    <row r="183" spans="1:21" x14ac:dyDescent="0.3">
      <c r="A183">
        <v>1017</v>
      </c>
      <c r="B183" s="1">
        <v>44955</v>
      </c>
      <c r="C183" s="2" t="s">
        <v>31</v>
      </c>
      <c r="D183" t="s">
        <v>23</v>
      </c>
      <c r="E183">
        <v>19</v>
      </c>
      <c r="F183" t="s">
        <v>33</v>
      </c>
      <c r="G183">
        <f>1</f>
        <v>1</v>
      </c>
      <c r="H183" s="3">
        <v>1233.1199999999999</v>
      </c>
      <c r="I183" s="3">
        <v>1697.19</v>
      </c>
      <c r="J183" s="3">
        <f t="shared" si="15"/>
        <v>1527.471</v>
      </c>
      <c r="K183" s="3">
        <f t="shared" si="16"/>
        <v>29021.949000000001</v>
      </c>
      <c r="L183" s="3">
        <f t="shared" si="19"/>
        <v>23429.279999999999</v>
      </c>
      <c r="M183" s="8">
        <f t="shared" si="20"/>
        <v>5592.6690000000017</v>
      </c>
      <c r="N183" s="4">
        <f t="shared" si="17"/>
        <v>0.19270480421559563</v>
      </c>
      <c r="O183" s="4" t="str">
        <f t="shared" si="18"/>
        <v>Profit</v>
      </c>
      <c r="P183" t="s">
        <v>28</v>
      </c>
      <c r="Q183">
        <v>0.1</v>
      </c>
      <c r="R183" t="s">
        <v>29</v>
      </c>
      <c r="S183" t="s">
        <v>17</v>
      </c>
      <c r="T183" t="s">
        <v>42</v>
      </c>
      <c r="U183" t="str">
        <f t="shared" si="21"/>
        <v>Low-Cost</v>
      </c>
    </row>
    <row r="184" spans="1:21" x14ac:dyDescent="0.3">
      <c r="A184">
        <v>1017</v>
      </c>
      <c r="B184" s="1">
        <v>45228</v>
      </c>
      <c r="C184" s="2" t="s">
        <v>36</v>
      </c>
      <c r="D184" t="s">
        <v>32</v>
      </c>
      <c r="E184">
        <v>1</v>
      </c>
      <c r="F184" t="s">
        <v>14</v>
      </c>
      <c r="G184">
        <f>1</f>
        <v>1</v>
      </c>
      <c r="H184" s="3">
        <v>641.67999999999995</v>
      </c>
      <c r="I184" s="3">
        <v>752.24</v>
      </c>
      <c r="J184" s="3">
        <f t="shared" si="15"/>
        <v>586.74720000000002</v>
      </c>
      <c r="K184" s="3">
        <f t="shared" si="16"/>
        <v>586.74720000000002</v>
      </c>
      <c r="L184" s="3">
        <f t="shared" si="19"/>
        <v>641.67999999999995</v>
      </c>
      <c r="M184" s="8">
        <f t="shared" si="20"/>
        <v>-54.932799999999929</v>
      </c>
      <c r="N184" s="4">
        <f t="shared" si="17"/>
        <v>-9.3622602715445299E-2</v>
      </c>
      <c r="O184" s="4" t="str">
        <f t="shared" si="18"/>
        <v>Loss</v>
      </c>
      <c r="P184" t="s">
        <v>28</v>
      </c>
      <c r="Q184">
        <v>0.22</v>
      </c>
      <c r="R184" t="s">
        <v>25</v>
      </c>
      <c r="S184" t="s">
        <v>17</v>
      </c>
      <c r="T184" t="s">
        <v>46</v>
      </c>
      <c r="U184" t="str">
        <f t="shared" si="21"/>
        <v>Low-Cost</v>
      </c>
    </row>
    <row r="185" spans="1:21" x14ac:dyDescent="0.3">
      <c r="A185">
        <v>1018</v>
      </c>
      <c r="B185" s="1">
        <v>45150</v>
      </c>
      <c r="C185" s="2" t="s">
        <v>31</v>
      </c>
      <c r="D185" t="s">
        <v>13</v>
      </c>
      <c r="E185">
        <v>9</v>
      </c>
      <c r="F185" t="s">
        <v>33</v>
      </c>
      <c r="G185">
        <f>1</f>
        <v>1</v>
      </c>
      <c r="H185" s="3">
        <v>3161.09</v>
      </c>
      <c r="I185" s="3">
        <v>3216.42</v>
      </c>
      <c r="J185" s="3">
        <f t="shared" si="15"/>
        <v>2669.6286</v>
      </c>
      <c r="K185" s="3">
        <f t="shared" si="16"/>
        <v>24026.657399999996</v>
      </c>
      <c r="L185" s="3">
        <f t="shared" si="19"/>
        <v>28449.81</v>
      </c>
      <c r="M185" s="8">
        <f t="shared" si="20"/>
        <v>-4423.1526000000049</v>
      </c>
      <c r="N185" s="4">
        <f t="shared" si="17"/>
        <v>-0.18409354769423755</v>
      </c>
      <c r="O185" s="4" t="str">
        <f t="shared" si="18"/>
        <v>Loss</v>
      </c>
      <c r="P185" t="s">
        <v>28</v>
      </c>
      <c r="Q185">
        <v>0.17</v>
      </c>
      <c r="R185" t="s">
        <v>25</v>
      </c>
      <c r="S185" t="s">
        <v>17</v>
      </c>
      <c r="T185" t="s">
        <v>51</v>
      </c>
      <c r="U185" t="str">
        <f t="shared" si="21"/>
        <v>High-Cost</v>
      </c>
    </row>
    <row r="186" spans="1:21" x14ac:dyDescent="0.3">
      <c r="A186">
        <v>1018</v>
      </c>
      <c r="B186" s="1">
        <v>45292</v>
      </c>
      <c r="C186" s="2" t="s">
        <v>40</v>
      </c>
      <c r="D186" t="s">
        <v>19</v>
      </c>
      <c r="E186">
        <v>24</v>
      </c>
      <c r="F186" t="s">
        <v>33</v>
      </c>
      <c r="G186">
        <f>1</f>
        <v>1</v>
      </c>
      <c r="H186" s="3">
        <v>1362.78</v>
      </c>
      <c r="I186" s="3">
        <v>1729.81</v>
      </c>
      <c r="J186" s="3">
        <f t="shared" si="15"/>
        <v>1228.1650999999999</v>
      </c>
      <c r="K186" s="3">
        <f t="shared" si="16"/>
        <v>29475.9624</v>
      </c>
      <c r="L186" s="3">
        <f t="shared" si="19"/>
        <v>32706.720000000001</v>
      </c>
      <c r="M186" s="8">
        <f t="shared" si="20"/>
        <v>-3230.7576000000008</v>
      </c>
      <c r="N186" s="4">
        <f t="shared" si="17"/>
        <v>-0.10960651788590967</v>
      </c>
      <c r="O186" s="4" t="str">
        <f t="shared" si="18"/>
        <v>Loss</v>
      </c>
      <c r="P186" t="s">
        <v>28</v>
      </c>
      <c r="Q186">
        <v>0.28999999999999998</v>
      </c>
      <c r="R186" t="s">
        <v>25</v>
      </c>
      <c r="S186" t="s">
        <v>17</v>
      </c>
      <c r="T186" t="s">
        <v>49</v>
      </c>
      <c r="U186" t="str">
        <f t="shared" si="21"/>
        <v>Low-Cost</v>
      </c>
    </row>
    <row r="187" spans="1:21" x14ac:dyDescent="0.3">
      <c r="A187">
        <v>1018</v>
      </c>
      <c r="B187" s="1">
        <v>45098</v>
      </c>
      <c r="C187" s="2" t="s">
        <v>36</v>
      </c>
      <c r="D187" t="s">
        <v>13</v>
      </c>
      <c r="E187">
        <v>28</v>
      </c>
      <c r="F187" t="s">
        <v>27</v>
      </c>
      <c r="G187">
        <f>1</f>
        <v>1</v>
      </c>
      <c r="H187" s="3">
        <v>1006.14</v>
      </c>
      <c r="I187" s="3">
        <v>1043.45</v>
      </c>
      <c r="J187" s="3">
        <f t="shared" si="15"/>
        <v>886.9325</v>
      </c>
      <c r="K187" s="3">
        <f t="shared" si="16"/>
        <v>24834.11</v>
      </c>
      <c r="L187" s="3">
        <f t="shared" si="19"/>
        <v>28171.919999999998</v>
      </c>
      <c r="M187" s="8">
        <f t="shared" si="20"/>
        <v>-3337.8099999999977</v>
      </c>
      <c r="N187" s="4">
        <f t="shared" si="17"/>
        <v>-0.13440425286027957</v>
      </c>
      <c r="O187" s="4" t="str">
        <f t="shared" si="18"/>
        <v>Loss</v>
      </c>
      <c r="P187" t="s">
        <v>28</v>
      </c>
      <c r="Q187">
        <v>0.15</v>
      </c>
      <c r="R187" t="s">
        <v>25</v>
      </c>
      <c r="S187" t="s">
        <v>20</v>
      </c>
      <c r="T187" t="s">
        <v>38</v>
      </c>
      <c r="U187" t="str">
        <f t="shared" si="21"/>
        <v>Low-Cost</v>
      </c>
    </row>
    <row r="188" spans="1:21" x14ac:dyDescent="0.3">
      <c r="A188">
        <v>1018</v>
      </c>
      <c r="B188" s="1">
        <v>44949</v>
      </c>
      <c r="C188" s="2" t="s">
        <v>22</v>
      </c>
      <c r="D188" t="s">
        <v>13</v>
      </c>
      <c r="E188">
        <v>20</v>
      </c>
      <c r="F188" t="s">
        <v>14</v>
      </c>
      <c r="G188">
        <f>1</f>
        <v>1</v>
      </c>
      <c r="H188" s="3">
        <v>1140.6199999999999</v>
      </c>
      <c r="I188" s="3">
        <v>1258.6300000000001</v>
      </c>
      <c r="J188" s="3">
        <f t="shared" si="15"/>
        <v>931.38620000000003</v>
      </c>
      <c r="K188" s="3">
        <f t="shared" si="16"/>
        <v>18627.724000000002</v>
      </c>
      <c r="L188" s="3">
        <f t="shared" si="19"/>
        <v>22812.399999999998</v>
      </c>
      <c r="M188" s="8">
        <f t="shared" si="20"/>
        <v>-4184.6759999999958</v>
      </c>
      <c r="N188" s="4">
        <f t="shared" si="17"/>
        <v>-0.22464773474204339</v>
      </c>
      <c r="O188" s="4" t="str">
        <f t="shared" si="18"/>
        <v>Loss</v>
      </c>
      <c r="P188" t="s">
        <v>15</v>
      </c>
      <c r="Q188">
        <v>0.26</v>
      </c>
      <c r="R188" t="s">
        <v>25</v>
      </c>
      <c r="S188" t="s">
        <v>17</v>
      </c>
      <c r="T188" t="s">
        <v>43</v>
      </c>
      <c r="U188" t="str">
        <f t="shared" si="21"/>
        <v>Low-Cost</v>
      </c>
    </row>
    <row r="189" spans="1:21" x14ac:dyDescent="0.3">
      <c r="A189">
        <v>1018</v>
      </c>
      <c r="B189" s="1">
        <v>44952</v>
      </c>
      <c r="C189" s="2" t="s">
        <v>40</v>
      </c>
      <c r="D189" t="s">
        <v>32</v>
      </c>
      <c r="E189">
        <v>11</v>
      </c>
      <c r="F189" t="s">
        <v>27</v>
      </c>
      <c r="G189">
        <f>1</f>
        <v>1</v>
      </c>
      <c r="H189" s="3">
        <v>2414.8200000000002</v>
      </c>
      <c r="I189" s="3">
        <v>2519.0700000000002</v>
      </c>
      <c r="J189" s="3">
        <f t="shared" si="15"/>
        <v>2519.0700000000002</v>
      </c>
      <c r="K189" s="3">
        <f t="shared" si="16"/>
        <v>27709.77</v>
      </c>
      <c r="L189" s="3">
        <f t="shared" si="19"/>
        <v>26563.02</v>
      </c>
      <c r="M189" s="8">
        <f t="shared" si="20"/>
        <v>1146.75</v>
      </c>
      <c r="N189" s="4">
        <f t="shared" si="17"/>
        <v>4.1384320403958605E-2</v>
      </c>
      <c r="O189" s="4" t="str">
        <f t="shared" si="18"/>
        <v>Profit</v>
      </c>
      <c r="P189" t="s">
        <v>15</v>
      </c>
      <c r="Q189">
        <v>0</v>
      </c>
      <c r="R189" t="s">
        <v>16</v>
      </c>
      <c r="S189" t="s">
        <v>17</v>
      </c>
      <c r="T189" t="s">
        <v>50</v>
      </c>
      <c r="U189" t="str">
        <f t="shared" si="21"/>
        <v>Low-Cost</v>
      </c>
    </row>
    <row r="190" spans="1:21" x14ac:dyDescent="0.3">
      <c r="A190">
        <v>1018</v>
      </c>
      <c r="B190" s="1">
        <v>45195</v>
      </c>
      <c r="C190" s="2" t="s">
        <v>22</v>
      </c>
      <c r="D190" t="s">
        <v>32</v>
      </c>
      <c r="E190">
        <v>25</v>
      </c>
      <c r="F190" t="s">
        <v>14</v>
      </c>
      <c r="G190">
        <f>1</f>
        <v>1</v>
      </c>
      <c r="H190" s="3">
        <v>739.63</v>
      </c>
      <c r="I190" s="3">
        <v>1103.03</v>
      </c>
      <c r="J190" s="3">
        <f t="shared" si="15"/>
        <v>816.24220000000003</v>
      </c>
      <c r="K190" s="3">
        <f t="shared" si="16"/>
        <v>20406.055</v>
      </c>
      <c r="L190" s="3">
        <f t="shared" si="19"/>
        <v>18490.75</v>
      </c>
      <c r="M190" s="8">
        <f t="shared" si="20"/>
        <v>1915.3050000000003</v>
      </c>
      <c r="N190" s="4">
        <f t="shared" si="17"/>
        <v>9.3859641170231101E-2</v>
      </c>
      <c r="O190" s="4" t="str">
        <f t="shared" si="18"/>
        <v>Profit</v>
      </c>
      <c r="P190" t="s">
        <v>28</v>
      </c>
      <c r="Q190">
        <v>0.26</v>
      </c>
      <c r="R190" t="s">
        <v>25</v>
      </c>
      <c r="S190" t="s">
        <v>20</v>
      </c>
      <c r="T190" t="s">
        <v>48</v>
      </c>
      <c r="U190" t="str">
        <f t="shared" si="21"/>
        <v>Low-Cost</v>
      </c>
    </row>
    <row r="191" spans="1:21" x14ac:dyDescent="0.3">
      <c r="A191">
        <v>1018</v>
      </c>
      <c r="B191" s="1">
        <v>45043</v>
      </c>
      <c r="C191" s="2" t="s">
        <v>22</v>
      </c>
      <c r="D191" t="s">
        <v>23</v>
      </c>
      <c r="E191">
        <v>17</v>
      </c>
      <c r="F191" t="s">
        <v>27</v>
      </c>
      <c r="G191">
        <f>1</f>
        <v>1</v>
      </c>
      <c r="H191" s="3">
        <v>355.72</v>
      </c>
      <c r="I191" s="3">
        <v>438.27</v>
      </c>
      <c r="J191" s="3">
        <f t="shared" si="15"/>
        <v>411.97379999999998</v>
      </c>
      <c r="K191" s="3">
        <f t="shared" si="16"/>
        <v>7003.5545999999995</v>
      </c>
      <c r="L191" s="3">
        <f t="shared" si="19"/>
        <v>6047.2400000000007</v>
      </c>
      <c r="M191" s="8">
        <f t="shared" si="20"/>
        <v>956.31459999999879</v>
      </c>
      <c r="N191" s="4">
        <f t="shared" si="17"/>
        <v>0.13654703284529243</v>
      </c>
      <c r="O191" s="4" t="str">
        <f t="shared" si="18"/>
        <v>Profit</v>
      </c>
      <c r="P191" t="s">
        <v>15</v>
      </c>
      <c r="Q191">
        <v>0.06</v>
      </c>
      <c r="R191" t="s">
        <v>25</v>
      </c>
      <c r="S191" t="s">
        <v>17</v>
      </c>
      <c r="T191" t="s">
        <v>26</v>
      </c>
      <c r="U191" t="str">
        <f t="shared" si="21"/>
        <v>Low-Cost</v>
      </c>
    </row>
    <row r="192" spans="1:21" x14ac:dyDescent="0.3">
      <c r="A192">
        <v>1018</v>
      </c>
      <c r="B192" s="1">
        <v>44955</v>
      </c>
      <c r="C192" s="2" t="s">
        <v>22</v>
      </c>
      <c r="D192" t="s">
        <v>19</v>
      </c>
      <c r="E192">
        <v>25</v>
      </c>
      <c r="F192" t="s">
        <v>24</v>
      </c>
      <c r="G192">
        <f>1</f>
        <v>1</v>
      </c>
      <c r="H192" s="3">
        <v>4660.82</v>
      </c>
      <c r="I192" s="3">
        <v>5011.43</v>
      </c>
      <c r="J192" s="3">
        <f t="shared" si="15"/>
        <v>4660.6298999999999</v>
      </c>
      <c r="K192" s="3">
        <f t="shared" si="16"/>
        <v>116515.7475</v>
      </c>
      <c r="L192" s="3">
        <f t="shared" si="19"/>
        <v>116520.5</v>
      </c>
      <c r="M192" s="8">
        <f t="shared" si="20"/>
        <v>-4.7525000000023283</v>
      </c>
      <c r="N192" s="4">
        <f t="shared" si="17"/>
        <v>-4.0788477969489301E-5</v>
      </c>
      <c r="O192" s="4" t="str">
        <f t="shared" si="18"/>
        <v>Loss</v>
      </c>
      <c r="P192" t="s">
        <v>28</v>
      </c>
      <c r="Q192">
        <v>7.0000000000000007E-2</v>
      </c>
      <c r="R192" t="s">
        <v>25</v>
      </c>
      <c r="S192" t="s">
        <v>17</v>
      </c>
      <c r="T192" t="s">
        <v>45</v>
      </c>
      <c r="U192" t="str">
        <f t="shared" si="21"/>
        <v>High-Cost</v>
      </c>
    </row>
    <row r="193" spans="1:21" x14ac:dyDescent="0.3">
      <c r="A193">
        <v>1018</v>
      </c>
      <c r="B193" s="1">
        <v>45169</v>
      </c>
      <c r="C193" s="2" t="s">
        <v>40</v>
      </c>
      <c r="D193" t="s">
        <v>32</v>
      </c>
      <c r="E193">
        <v>1</v>
      </c>
      <c r="F193" t="s">
        <v>33</v>
      </c>
      <c r="G193">
        <f>1</f>
        <v>1</v>
      </c>
      <c r="H193" s="3">
        <v>2315.83</v>
      </c>
      <c r="I193" s="3">
        <v>2333.19</v>
      </c>
      <c r="J193" s="3">
        <f t="shared" si="15"/>
        <v>2309.8580999999999</v>
      </c>
      <c r="K193" s="3">
        <f t="shared" si="16"/>
        <v>2309.8580999999999</v>
      </c>
      <c r="L193" s="3">
        <f t="shared" si="19"/>
        <v>2315.83</v>
      </c>
      <c r="M193" s="8">
        <f t="shared" si="20"/>
        <v>-5.9719000000000051</v>
      </c>
      <c r="N193" s="4">
        <f t="shared" si="17"/>
        <v>-2.5853969124770069E-3</v>
      </c>
      <c r="O193" s="4" t="str">
        <f t="shared" si="18"/>
        <v>Loss</v>
      </c>
      <c r="P193" t="s">
        <v>28</v>
      </c>
      <c r="Q193">
        <v>0.01</v>
      </c>
      <c r="R193" t="s">
        <v>16</v>
      </c>
      <c r="S193" t="s">
        <v>20</v>
      </c>
      <c r="T193" t="s">
        <v>50</v>
      </c>
      <c r="U193" t="str">
        <f t="shared" si="21"/>
        <v>Low-Cost</v>
      </c>
    </row>
    <row r="194" spans="1:21" x14ac:dyDescent="0.3">
      <c r="A194">
        <v>1019</v>
      </c>
      <c r="B194" s="1">
        <v>45078</v>
      </c>
      <c r="C194" s="2" t="s">
        <v>12</v>
      </c>
      <c r="D194" t="s">
        <v>32</v>
      </c>
      <c r="E194">
        <v>38</v>
      </c>
      <c r="F194" t="s">
        <v>27</v>
      </c>
      <c r="G194">
        <f>1</f>
        <v>1</v>
      </c>
      <c r="H194" s="3">
        <v>3637.25</v>
      </c>
      <c r="I194" s="3">
        <v>4096.96</v>
      </c>
      <c r="J194" s="3">
        <f t="shared" ref="J194:J257" si="22">I194*(1-Q194)</f>
        <v>3728.2336</v>
      </c>
      <c r="K194" s="3">
        <f t="shared" ref="K194:K257" si="23">E194*I194*(1-Q194)</f>
        <v>141672.87680000003</v>
      </c>
      <c r="L194" s="3">
        <f t="shared" si="19"/>
        <v>138215.5</v>
      </c>
      <c r="M194" s="8">
        <f t="shared" si="20"/>
        <v>3457.3768000000273</v>
      </c>
      <c r="N194" s="4">
        <f t="shared" ref="N194:N257" si="24">(M194/K194)</f>
        <v>2.4403942928898206E-2</v>
      </c>
      <c r="O194" s="4" t="str">
        <f t="shared" ref="O194:O257" si="25">IF(M194&lt;0,"Loss","Profit")</f>
        <v>Profit</v>
      </c>
      <c r="P194" t="s">
        <v>15</v>
      </c>
      <c r="Q194">
        <v>0.09</v>
      </c>
      <c r="R194" t="s">
        <v>25</v>
      </c>
      <c r="S194" t="s">
        <v>17</v>
      </c>
      <c r="T194" t="s">
        <v>44</v>
      </c>
      <c r="U194" t="str">
        <f t="shared" si="21"/>
        <v>High-Cost</v>
      </c>
    </row>
    <row r="195" spans="1:21" x14ac:dyDescent="0.3">
      <c r="A195">
        <v>1019</v>
      </c>
      <c r="B195" s="1">
        <v>45170</v>
      </c>
      <c r="C195" s="2" t="s">
        <v>22</v>
      </c>
      <c r="D195" t="s">
        <v>19</v>
      </c>
      <c r="E195">
        <v>16</v>
      </c>
      <c r="F195" t="s">
        <v>27</v>
      </c>
      <c r="G195">
        <f>1</f>
        <v>1</v>
      </c>
      <c r="H195" s="3">
        <v>97.24</v>
      </c>
      <c r="I195" s="3">
        <v>487.03</v>
      </c>
      <c r="J195" s="3">
        <f t="shared" si="22"/>
        <v>379.88339999999999</v>
      </c>
      <c r="K195" s="3">
        <f t="shared" si="23"/>
        <v>6078.1343999999999</v>
      </c>
      <c r="L195" s="3">
        <f t="shared" ref="L195:L258" si="26">H195*E195</f>
        <v>1555.84</v>
      </c>
      <c r="M195" s="8">
        <f t="shared" ref="M195:M258" si="27">K195-L195</f>
        <v>4522.2943999999998</v>
      </c>
      <c r="N195" s="4">
        <f t="shared" si="24"/>
        <v>0.74402671977770019</v>
      </c>
      <c r="O195" s="4" t="str">
        <f t="shared" si="25"/>
        <v>Profit</v>
      </c>
      <c r="P195" t="s">
        <v>28</v>
      </c>
      <c r="Q195">
        <v>0.22</v>
      </c>
      <c r="R195" t="s">
        <v>25</v>
      </c>
      <c r="S195" t="s">
        <v>20</v>
      </c>
      <c r="T195" t="s">
        <v>45</v>
      </c>
      <c r="U195" t="str">
        <f t="shared" si="21"/>
        <v>Low-Cost</v>
      </c>
    </row>
    <row r="196" spans="1:21" x14ac:dyDescent="0.3">
      <c r="A196">
        <v>1019</v>
      </c>
      <c r="B196" s="1">
        <v>45176</v>
      </c>
      <c r="C196" s="2" t="s">
        <v>12</v>
      </c>
      <c r="D196" t="s">
        <v>19</v>
      </c>
      <c r="E196">
        <v>27</v>
      </c>
      <c r="F196" t="s">
        <v>33</v>
      </c>
      <c r="G196">
        <f>1</f>
        <v>1</v>
      </c>
      <c r="H196" s="3">
        <v>2387.52</v>
      </c>
      <c r="I196" s="3">
        <v>2604.06</v>
      </c>
      <c r="J196" s="3">
        <f t="shared" si="22"/>
        <v>2187.4103999999998</v>
      </c>
      <c r="K196" s="3">
        <f t="shared" si="23"/>
        <v>59060.080799999996</v>
      </c>
      <c r="L196" s="3">
        <f t="shared" si="26"/>
        <v>64463.040000000001</v>
      </c>
      <c r="M196" s="8">
        <f t="shared" si="27"/>
        <v>-5402.9592000000048</v>
      </c>
      <c r="N196" s="4">
        <f t="shared" si="24"/>
        <v>-9.1482421405695152E-2</v>
      </c>
      <c r="O196" s="4" t="str">
        <f t="shared" si="25"/>
        <v>Loss</v>
      </c>
      <c r="P196" t="s">
        <v>15</v>
      </c>
      <c r="Q196">
        <v>0.16</v>
      </c>
      <c r="R196" t="s">
        <v>16</v>
      </c>
      <c r="S196" t="s">
        <v>17</v>
      </c>
      <c r="T196" t="s">
        <v>21</v>
      </c>
      <c r="U196" t="str">
        <f t="shared" si="21"/>
        <v>Low-Cost</v>
      </c>
    </row>
    <row r="197" spans="1:21" x14ac:dyDescent="0.3">
      <c r="A197">
        <v>1019</v>
      </c>
      <c r="B197" s="1">
        <v>45240</v>
      </c>
      <c r="C197" s="2" t="s">
        <v>12</v>
      </c>
      <c r="D197" t="s">
        <v>32</v>
      </c>
      <c r="E197">
        <v>33</v>
      </c>
      <c r="F197" t="s">
        <v>14</v>
      </c>
      <c r="G197">
        <f>1</f>
        <v>1</v>
      </c>
      <c r="H197" s="3">
        <v>1362.31</v>
      </c>
      <c r="I197" s="3">
        <v>1486.29</v>
      </c>
      <c r="J197" s="3">
        <f t="shared" si="22"/>
        <v>1218.7578000000001</v>
      </c>
      <c r="K197" s="3">
        <f t="shared" si="23"/>
        <v>40219.007400000002</v>
      </c>
      <c r="L197" s="3">
        <f t="shared" si="26"/>
        <v>44956.229999999996</v>
      </c>
      <c r="M197" s="8">
        <f t="shared" si="27"/>
        <v>-4737.2225999999937</v>
      </c>
      <c r="N197" s="4">
        <f t="shared" si="24"/>
        <v>-0.11778566668455356</v>
      </c>
      <c r="O197" s="4" t="str">
        <f t="shared" si="25"/>
        <v>Loss</v>
      </c>
      <c r="P197" t="s">
        <v>15</v>
      </c>
      <c r="Q197">
        <v>0.18</v>
      </c>
      <c r="R197" t="s">
        <v>29</v>
      </c>
      <c r="S197" t="s">
        <v>20</v>
      </c>
      <c r="T197" t="s">
        <v>44</v>
      </c>
      <c r="U197" t="str">
        <f t="shared" si="21"/>
        <v>Low-Cost</v>
      </c>
    </row>
    <row r="198" spans="1:21" x14ac:dyDescent="0.3">
      <c r="A198">
        <v>1019</v>
      </c>
      <c r="B198" s="1">
        <v>45210</v>
      </c>
      <c r="C198" s="2" t="s">
        <v>36</v>
      </c>
      <c r="D198" t="s">
        <v>23</v>
      </c>
      <c r="E198">
        <v>32</v>
      </c>
      <c r="F198" t="s">
        <v>33</v>
      </c>
      <c r="G198">
        <f>1</f>
        <v>1</v>
      </c>
      <c r="H198" s="3">
        <v>2866.47</v>
      </c>
      <c r="I198" s="3">
        <v>3286.47</v>
      </c>
      <c r="J198" s="3">
        <f t="shared" si="22"/>
        <v>2990.6876999999999</v>
      </c>
      <c r="K198" s="3">
        <f t="shared" si="23"/>
        <v>95702.006399999998</v>
      </c>
      <c r="L198" s="3">
        <f t="shared" si="26"/>
        <v>91727.039999999994</v>
      </c>
      <c r="M198" s="8">
        <f t="shared" si="27"/>
        <v>3974.9664000000048</v>
      </c>
      <c r="N198" s="4">
        <f t="shared" si="24"/>
        <v>4.1534828260403167E-2</v>
      </c>
      <c r="O198" s="4" t="str">
        <f t="shared" si="25"/>
        <v>Profit</v>
      </c>
      <c r="P198" t="s">
        <v>28</v>
      </c>
      <c r="Q198">
        <v>0.09</v>
      </c>
      <c r="R198" t="s">
        <v>29</v>
      </c>
      <c r="S198" t="s">
        <v>17</v>
      </c>
      <c r="T198" t="s">
        <v>37</v>
      </c>
      <c r="U198" t="str">
        <f t="shared" si="21"/>
        <v>High-Cost</v>
      </c>
    </row>
    <row r="199" spans="1:21" x14ac:dyDescent="0.3">
      <c r="A199">
        <v>1019</v>
      </c>
      <c r="B199" s="1">
        <v>45211</v>
      </c>
      <c r="C199" s="2" t="s">
        <v>31</v>
      </c>
      <c r="D199" t="s">
        <v>19</v>
      </c>
      <c r="E199">
        <v>16</v>
      </c>
      <c r="F199" t="s">
        <v>27</v>
      </c>
      <c r="G199">
        <f>1</f>
        <v>1</v>
      </c>
      <c r="H199" s="3">
        <v>4977.78</v>
      </c>
      <c r="I199" s="3">
        <v>4995.55</v>
      </c>
      <c r="J199" s="3">
        <f t="shared" si="22"/>
        <v>3746.6625000000004</v>
      </c>
      <c r="K199" s="3">
        <f t="shared" si="23"/>
        <v>59946.600000000006</v>
      </c>
      <c r="L199" s="3">
        <f t="shared" si="26"/>
        <v>79644.479999999996</v>
      </c>
      <c r="M199" s="8">
        <f t="shared" si="27"/>
        <v>-19697.87999999999</v>
      </c>
      <c r="N199" s="4">
        <f t="shared" si="24"/>
        <v>-0.32859044549649169</v>
      </c>
      <c r="O199" s="4" t="str">
        <f t="shared" si="25"/>
        <v>Loss</v>
      </c>
      <c r="P199" t="s">
        <v>28</v>
      </c>
      <c r="Q199">
        <v>0.25</v>
      </c>
      <c r="R199" t="s">
        <v>29</v>
      </c>
      <c r="S199" t="s">
        <v>17</v>
      </c>
      <c r="T199" t="s">
        <v>35</v>
      </c>
      <c r="U199" t="str">
        <f t="shared" si="21"/>
        <v>High-Cost</v>
      </c>
    </row>
    <row r="200" spans="1:21" x14ac:dyDescent="0.3">
      <c r="A200">
        <v>1019</v>
      </c>
      <c r="B200" s="1">
        <v>45275</v>
      </c>
      <c r="C200" s="2" t="s">
        <v>22</v>
      </c>
      <c r="D200" t="s">
        <v>32</v>
      </c>
      <c r="E200">
        <v>36</v>
      </c>
      <c r="F200" t="s">
        <v>27</v>
      </c>
      <c r="G200">
        <f>1</f>
        <v>1</v>
      </c>
      <c r="H200" s="3">
        <v>1340.51</v>
      </c>
      <c r="I200" s="3">
        <v>1567.92</v>
      </c>
      <c r="J200" s="3">
        <f t="shared" si="22"/>
        <v>1113.2231999999999</v>
      </c>
      <c r="K200" s="3">
        <f t="shared" si="23"/>
        <v>40076.035199999998</v>
      </c>
      <c r="L200" s="3">
        <f t="shared" si="26"/>
        <v>48258.36</v>
      </c>
      <c r="M200" s="8">
        <f t="shared" si="27"/>
        <v>-8182.3248000000021</v>
      </c>
      <c r="N200" s="4">
        <f t="shared" si="24"/>
        <v>-0.20417001729751955</v>
      </c>
      <c r="O200" s="4" t="str">
        <f t="shared" si="25"/>
        <v>Loss</v>
      </c>
      <c r="P200" t="s">
        <v>28</v>
      </c>
      <c r="Q200">
        <v>0.28999999999999998</v>
      </c>
      <c r="R200" t="s">
        <v>16</v>
      </c>
      <c r="S200" t="s">
        <v>17</v>
      </c>
      <c r="T200" t="s">
        <v>48</v>
      </c>
      <c r="U200" t="str">
        <f t="shared" ref="U200:U263" si="28">IF(I200 &gt;=2800, "High-Cost", "Low-Cost")</f>
        <v>Low-Cost</v>
      </c>
    </row>
    <row r="201" spans="1:21" x14ac:dyDescent="0.3">
      <c r="A201">
        <v>1019</v>
      </c>
      <c r="B201" s="1">
        <v>45124</v>
      </c>
      <c r="C201" s="2" t="s">
        <v>22</v>
      </c>
      <c r="D201" t="s">
        <v>23</v>
      </c>
      <c r="E201">
        <v>14</v>
      </c>
      <c r="F201" t="s">
        <v>27</v>
      </c>
      <c r="G201">
        <f>1</f>
        <v>1</v>
      </c>
      <c r="H201" s="3">
        <v>1614.19</v>
      </c>
      <c r="I201" s="3">
        <v>1882.79</v>
      </c>
      <c r="J201" s="3">
        <f t="shared" si="22"/>
        <v>1412.0925</v>
      </c>
      <c r="K201" s="3">
        <f t="shared" si="23"/>
        <v>19769.294999999998</v>
      </c>
      <c r="L201" s="3">
        <f t="shared" si="26"/>
        <v>22598.66</v>
      </c>
      <c r="M201" s="8">
        <f t="shared" si="27"/>
        <v>-2829.3650000000016</v>
      </c>
      <c r="N201" s="4">
        <f t="shared" si="24"/>
        <v>-0.14311916535212824</v>
      </c>
      <c r="O201" s="4" t="str">
        <f t="shared" si="25"/>
        <v>Loss</v>
      </c>
      <c r="P201" t="s">
        <v>28</v>
      </c>
      <c r="Q201">
        <v>0.25</v>
      </c>
      <c r="R201" t="s">
        <v>29</v>
      </c>
      <c r="S201" t="s">
        <v>20</v>
      </c>
      <c r="T201" t="s">
        <v>26</v>
      </c>
      <c r="U201" t="str">
        <f t="shared" si="28"/>
        <v>Low-Cost</v>
      </c>
    </row>
    <row r="202" spans="1:21" x14ac:dyDescent="0.3">
      <c r="A202">
        <v>1019</v>
      </c>
      <c r="B202" s="1">
        <v>45125</v>
      </c>
      <c r="C202" s="2" t="s">
        <v>40</v>
      </c>
      <c r="D202" t="s">
        <v>13</v>
      </c>
      <c r="E202">
        <v>12</v>
      </c>
      <c r="F202" t="s">
        <v>27</v>
      </c>
      <c r="G202">
        <f>1</f>
        <v>1</v>
      </c>
      <c r="H202" s="3">
        <v>4745.18</v>
      </c>
      <c r="I202" s="3">
        <v>5145.88</v>
      </c>
      <c r="J202" s="3">
        <f t="shared" si="22"/>
        <v>4168.1628000000001</v>
      </c>
      <c r="K202" s="3">
        <f t="shared" si="23"/>
        <v>50017.953600000001</v>
      </c>
      <c r="L202" s="3">
        <f t="shared" si="26"/>
        <v>56942.16</v>
      </c>
      <c r="M202" s="8">
        <f t="shared" si="27"/>
        <v>-6924.2064000000028</v>
      </c>
      <c r="N202" s="4">
        <f t="shared" si="24"/>
        <v>-0.13843442007591455</v>
      </c>
      <c r="O202" s="4" t="str">
        <f t="shared" si="25"/>
        <v>Loss</v>
      </c>
      <c r="P202" t="s">
        <v>15</v>
      </c>
      <c r="Q202">
        <v>0.19</v>
      </c>
      <c r="R202" t="s">
        <v>29</v>
      </c>
      <c r="S202" t="s">
        <v>17</v>
      </c>
      <c r="T202" t="s">
        <v>47</v>
      </c>
      <c r="U202" t="str">
        <f t="shared" si="28"/>
        <v>High-Cost</v>
      </c>
    </row>
    <row r="203" spans="1:21" x14ac:dyDescent="0.3">
      <c r="A203">
        <v>1019</v>
      </c>
      <c r="B203" s="1">
        <v>45188</v>
      </c>
      <c r="C203" s="2" t="s">
        <v>31</v>
      </c>
      <c r="D203" t="s">
        <v>19</v>
      </c>
      <c r="E203">
        <v>45</v>
      </c>
      <c r="F203" t="s">
        <v>27</v>
      </c>
      <c r="G203">
        <f>1</f>
        <v>1</v>
      </c>
      <c r="H203" s="3">
        <v>2590.64</v>
      </c>
      <c r="I203" s="3">
        <v>3036.18</v>
      </c>
      <c r="J203" s="3">
        <f t="shared" si="22"/>
        <v>2884.3709999999996</v>
      </c>
      <c r="K203" s="3">
        <f t="shared" si="23"/>
        <v>129796.69499999999</v>
      </c>
      <c r="L203" s="3">
        <f t="shared" si="26"/>
        <v>116578.79999999999</v>
      </c>
      <c r="M203" s="8">
        <f t="shared" si="27"/>
        <v>13217.895000000004</v>
      </c>
      <c r="N203" s="4">
        <f t="shared" si="24"/>
        <v>0.10183537415956551</v>
      </c>
      <c r="O203" s="4" t="str">
        <f t="shared" si="25"/>
        <v>Profit</v>
      </c>
      <c r="P203" t="s">
        <v>28</v>
      </c>
      <c r="Q203">
        <v>0.05</v>
      </c>
      <c r="R203" t="s">
        <v>25</v>
      </c>
      <c r="S203" t="s">
        <v>20</v>
      </c>
      <c r="T203" t="s">
        <v>35</v>
      </c>
      <c r="U203" t="str">
        <f t="shared" si="28"/>
        <v>High-Cost</v>
      </c>
    </row>
    <row r="204" spans="1:21" x14ac:dyDescent="0.3">
      <c r="A204">
        <v>1019</v>
      </c>
      <c r="B204" s="1">
        <v>45070</v>
      </c>
      <c r="C204" s="2" t="s">
        <v>36</v>
      </c>
      <c r="D204" t="s">
        <v>23</v>
      </c>
      <c r="E204">
        <v>13</v>
      </c>
      <c r="F204" t="s">
        <v>24</v>
      </c>
      <c r="G204">
        <f>1</f>
        <v>1</v>
      </c>
      <c r="H204" s="3">
        <v>3102.73</v>
      </c>
      <c r="I204" s="3">
        <v>3202.68</v>
      </c>
      <c r="J204" s="3">
        <f t="shared" si="22"/>
        <v>2914.4387999999999</v>
      </c>
      <c r="K204" s="3">
        <f t="shared" si="23"/>
        <v>37887.704399999995</v>
      </c>
      <c r="L204" s="3">
        <f t="shared" si="26"/>
        <v>40335.49</v>
      </c>
      <c r="M204" s="8">
        <f t="shared" si="27"/>
        <v>-2447.7856000000029</v>
      </c>
      <c r="N204" s="4">
        <f t="shared" si="24"/>
        <v>-6.4606331757592658E-2</v>
      </c>
      <c r="O204" s="4" t="str">
        <f t="shared" si="25"/>
        <v>Loss</v>
      </c>
      <c r="P204" t="s">
        <v>28</v>
      </c>
      <c r="Q204">
        <v>0.09</v>
      </c>
      <c r="R204" t="s">
        <v>16</v>
      </c>
      <c r="S204" t="s">
        <v>17</v>
      </c>
      <c r="T204" t="s">
        <v>37</v>
      </c>
      <c r="U204" t="str">
        <f t="shared" si="28"/>
        <v>High-Cost</v>
      </c>
    </row>
    <row r="205" spans="1:21" x14ac:dyDescent="0.3">
      <c r="A205">
        <v>1019</v>
      </c>
      <c r="B205" s="1">
        <v>45165</v>
      </c>
      <c r="C205" s="2" t="s">
        <v>31</v>
      </c>
      <c r="D205" t="s">
        <v>13</v>
      </c>
      <c r="E205">
        <v>18</v>
      </c>
      <c r="F205" t="s">
        <v>24</v>
      </c>
      <c r="G205">
        <f>1</f>
        <v>1</v>
      </c>
      <c r="H205" s="3">
        <v>3591.14</v>
      </c>
      <c r="I205" s="3">
        <v>3822.99</v>
      </c>
      <c r="J205" s="3">
        <f t="shared" si="22"/>
        <v>3478.9209000000001</v>
      </c>
      <c r="K205" s="3">
        <f t="shared" si="23"/>
        <v>62620.576199999996</v>
      </c>
      <c r="L205" s="3">
        <f t="shared" si="26"/>
        <v>64640.52</v>
      </c>
      <c r="M205" s="8">
        <f t="shared" si="27"/>
        <v>-2019.9438000000009</v>
      </c>
      <c r="N205" s="4">
        <f t="shared" si="24"/>
        <v>-3.2256870226626898E-2</v>
      </c>
      <c r="O205" s="4" t="str">
        <f t="shared" si="25"/>
        <v>Loss</v>
      </c>
      <c r="P205" t="s">
        <v>15</v>
      </c>
      <c r="Q205">
        <v>0.09</v>
      </c>
      <c r="R205" t="s">
        <v>29</v>
      </c>
      <c r="S205" t="s">
        <v>17</v>
      </c>
      <c r="T205" t="s">
        <v>51</v>
      </c>
      <c r="U205" t="str">
        <f t="shared" si="28"/>
        <v>High-Cost</v>
      </c>
    </row>
    <row r="206" spans="1:21" x14ac:dyDescent="0.3">
      <c r="A206">
        <v>1019</v>
      </c>
      <c r="B206" s="1">
        <v>45074</v>
      </c>
      <c r="C206" s="2" t="s">
        <v>40</v>
      </c>
      <c r="D206" t="s">
        <v>32</v>
      </c>
      <c r="E206">
        <v>28</v>
      </c>
      <c r="F206" t="s">
        <v>14</v>
      </c>
      <c r="G206">
        <f>1</f>
        <v>1</v>
      </c>
      <c r="H206" s="3">
        <v>3907.86</v>
      </c>
      <c r="I206" s="3">
        <v>4205.37</v>
      </c>
      <c r="J206" s="3">
        <f t="shared" si="22"/>
        <v>3826.8867</v>
      </c>
      <c r="K206" s="3">
        <f t="shared" si="23"/>
        <v>107152.8276</v>
      </c>
      <c r="L206" s="3">
        <f t="shared" si="26"/>
        <v>109420.08</v>
      </c>
      <c r="M206" s="8">
        <f t="shared" si="27"/>
        <v>-2267.2523999999976</v>
      </c>
      <c r="N206" s="4">
        <f t="shared" si="24"/>
        <v>-2.1159053389273298E-2</v>
      </c>
      <c r="O206" s="4" t="str">
        <f t="shared" si="25"/>
        <v>Loss</v>
      </c>
      <c r="P206" t="s">
        <v>28</v>
      </c>
      <c r="Q206">
        <v>0.09</v>
      </c>
      <c r="R206" t="s">
        <v>29</v>
      </c>
      <c r="S206" t="s">
        <v>17</v>
      </c>
      <c r="T206" t="s">
        <v>50</v>
      </c>
      <c r="U206" t="str">
        <f t="shared" si="28"/>
        <v>High-Cost</v>
      </c>
    </row>
    <row r="207" spans="1:21" x14ac:dyDescent="0.3">
      <c r="A207">
        <v>1019</v>
      </c>
      <c r="B207" s="1">
        <v>45228</v>
      </c>
      <c r="C207" s="2" t="s">
        <v>22</v>
      </c>
      <c r="D207" t="s">
        <v>19</v>
      </c>
      <c r="E207">
        <v>31</v>
      </c>
      <c r="F207" t="s">
        <v>24</v>
      </c>
      <c r="G207">
        <f>1</f>
        <v>1</v>
      </c>
      <c r="H207" s="3">
        <v>333.69</v>
      </c>
      <c r="I207" s="3">
        <v>685.1</v>
      </c>
      <c r="J207" s="3">
        <f t="shared" si="22"/>
        <v>657.69600000000003</v>
      </c>
      <c r="K207" s="3">
        <f t="shared" si="23"/>
        <v>20388.576000000001</v>
      </c>
      <c r="L207" s="3">
        <f t="shared" si="26"/>
        <v>10344.39</v>
      </c>
      <c r="M207" s="8">
        <f t="shared" si="27"/>
        <v>10044.186000000002</v>
      </c>
      <c r="N207" s="4">
        <f t="shared" si="24"/>
        <v>0.49263793606772738</v>
      </c>
      <c r="O207" s="4" t="str">
        <f t="shared" si="25"/>
        <v>Profit</v>
      </c>
      <c r="P207" t="s">
        <v>28</v>
      </c>
      <c r="Q207">
        <v>0.04</v>
      </c>
      <c r="R207" t="s">
        <v>25</v>
      </c>
      <c r="S207" t="s">
        <v>17</v>
      </c>
      <c r="T207" t="s">
        <v>45</v>
      </c>
      <c r="U207" t="str">
        <f t="shared" si="28"/>
        <v>Low-Cost</v>
      </c>
    </row>
    <row r="208" spans="1:21" x14ac:dyDescent="0.3">
      <c r="A208">
        <v>1020</v>
      </c>
      <c r="B208" s="1">
        <v>45175</v>
      </c>
      <c r="C208" s="2" t="s">
        <v>31</v>
      </c>
      <c r="D208" t="s">
        <v>32</v>
      </c>
      <c r="E208">
        <v>4</v>
      </c>
      <c r="F208" t="s">
        <v>27</v>
      </c>
      <c r="G208">
        <f>1</f>
        <v>1</v>
      </c>
      <c r="H208" s="3">
        <v>3730</v>
      </c>
      <c r="I208" s="3">
        <v>3893.6</v>
      </c>
      <c r="J208" s="3">
        <f t="shared" si="22"/>
        <v>2920.2</v>
      </c>
      <c r="K208" s="3">
        <f t="shared" si="23"/>
        <v>11680.8</v>
      </c>
      <c r="L208" s="3">
        <f t="shared" si="26"/>
        <v>14920</v>
      </c>
      <c r="M208" s="8">
        <f t="shared" si="27"/>
        <v>-3239.2000000000007</v>
      </c>
      <c r="N208" s="4">
        <f t="shared" si="24"/>
        <v>-0.2773097733031985</v>
      </c>
      <c r="O208" s="4" t="str">
        <f t="shared" si="25"/>
        <v>Loss</v>
      </c>
      <c r="P208" t="s">
        <v>28</v>
      </c>
      <c r="Q208">
        <v>0.25</v>
      </c>
      <c r="R208" t="s">
        <v>25</v>
      </c>
      <c r="S208" t="s">
        <v>20</v>
      </c>
      <c r="T208" t="s">
        <v>34</v>
      </c>
      <c r="U208" t="str">
        <f t="shared" si="28"/>
        <v>High-Cost</v>
      </c>
    </row>
    <row r="209" spans="1:21" x14ac:dyDescent="0.3">
      <c r="A209">
        <v>1020</v>
      </c>
      <c r="B209" s="1">
        <v>45175</v>
      </c>
      <c r="C209" s="2" t="s">
        <v>12</v>
      </c>
      <c r="D209" t="s">
        <v>32</v>
      </c>
      <c r="E209">
        <v>45</v>
      </c>
      <c r="F209" t="s">
        <v>27</v>
      </c>
      <c r="G209">
        <f>1</f>
        <v>1</v>
      </c>
      <c r="H209" s="3">
        <v>2188.4499999999998</v>
      </c>
      <c r="I209" s="3">
        <v>2255.0500000000002</v>
      </c>
      <c r="J209" s="3">
        <f t="shared" si="22"/>
        <v>2006.9945000000002</v>
      </c>
      <c r="K209" s="3">
        <f t="shared" si="23"/>
        <v>90314.752500000017</v>
      </c>
      <c r="L209" s="3">
        <f t="shared" si="26"/>
        <v>98480.249999999985</v>
      </c>
      <c r="M209" s="8">
        <f t="shared" si="27"/>
        <v>-8165.4974999999686</v>
      </c>
      <c r="N209" s="4">
        <f t="shared" si="24"/>
        <v>-9.0411558178161058E-2</v>
      </c>
      <c r="O209" s="4" t="str">
        <f t="shared" si="25"/>
        <v>Loss</v>
      </c>
      <c r="P209" t="s">
        <v>28</v>
      </c>
      <c r="Q209">
        <v>0.11</v>
      </c>
      <c r="R209" t="s">
        <v>25</v>
      </c>
      <c r="S209" t="s">
        <v>20</v>
      </c>
      <c r="T209" t="s">
        <v>44</v>
      </c>
      <c r="U209" t="str">
        <f t="shared" si="28"/>
        <v>Low-Cost</v>
      </c>
    </row>
    <row r="210" spans="1:21" x14ac:dyDescent="0.3">
      <c r="A210">
        <v>1020</v>
      </c>
      <c r="B210" s="1">
        <v>45177</v>
      </c>
      <c r="C210" s="2" t="s">
        <v>36</v>
      </c>
      <c r="D210" t="s">
        <v>13</v>
      </c>
      <c r="E210">
        <v>26</v>
      </c>
      <c r="F210" t="s">
        <v>27</v>
      </c>
      <c r="G210">
        <f>1</f>
        <v>1</v>
      </c>
      <c r="H210" s="3">
        <v>4472.3500000000004</v>
      </c>
      <c r="I210" s="3">
        <v>4770.42</v>
      </c>
      <c r="J210" s="3">
        <f t="shared" si="22"/>
        <v>4722.7157999999999</v>
      </c>
      <c r="K210" s="3">
        <f t="shared" si="23"/>
        <v>122790.61079999999</v>
      </c>
      <c r="L210" s="3">
        <f t="shared" si="26"/>
        <v>116281.1</v>
      </c>
      <c r="M210" s="8">
        <f t="shared" si="27"/>
        <v>6509.5107999999891</v>
      </c>
      <c r="N210" s="4">
        <f t="shared" si="24"/>
        <v>5.3013098946161359E-2</v>
      </c>
      <c r="O210" s="4" t="str">
        <f t="shared" si="25"/>
        <v>Profit</v>
      </c>
      <c r="P210" t="s">
        <v>28</v>
      </c>
      <c r="Q210">
        <v>0.01</v>
      </c>
      <c r="R210" t="s">
        <v>29</v>
      </c>
      <c r="S210" t="s">
        <v>20</v>
      </c>
      <c r="T210" t="s">
        <v>38</v>
      </c>
      <c r="U210" t="str">
        <f t="shared" si="28"/>
        <v>High-Cost</v>
      </c>
    </row>
    <row r="211" spans="1:21" x14ac:dyDescent="0.3">
      <c r="A211">
        <v>1020</v>
      </c>
      <c r="B211" s="1">
        <v>44966</v>
      </c>
      <c r="C211" s="2" t="s">
        <v>31</v>
      </c>
      <c r="D211" t="s">
        <v>32</v>
      </c>
      <c r="E211">
        <v>29</v>
      </c>
      <c r="F211" t="s">
        <v>33</v>
      </c>
      <c r="G211">
        <f>1</f>
        <v>1</v>
      </c>
      <c r="H211" s="3">
        <v>184.05</v>
      </c>
      <c r="I211" s="3">
        <v>675.91</v>
      </c>
      <c r="J211" s="3">
        <f t="shared" si="22"/>
        <v>608.31899999999996</v>
      </c>
      <c r="K211" s="3">
        <f t="shared" si="23"/>
        <v>17641.251</v>
      </c>
      <c r="L211" s="3">
        <f t="shared" si="26"/>
        <v>5337.4500000000007</v>
      </c>
      <c r="M211" s="8">
        <f t="shared" si="27"/>
        <v>12303.800999999999</v>
      </c>
      <c r="N211" s="4">
        <f t="shared" si="24"/>
        <v>0.6974449260996286</v>
      </c>
      <c r="O211" s="4" t="str">
        <f t="shared" si="25"/>
        <v>Profit</v>
      </c>
      <c r="P211" t="s">
        <v>15</v>
      </c>
      <c r="Q211">
        <v>0.1</v>
      </c>
      <c r="R211" t="s">
        <v>16</v>
      </c>
      <c r="S211" t="s">
        <v>20</v>
      </c>
      <c r="T211" t="s">
        <v>34</v>
      </c>
      <c r="U211" t="str">
        <f t="shared" si="28"/>
        <v>Low-Cost</v>
      </c>
    </row>
    <row r="212" spans="1:21" x14ac:dyDescent="0.3">
      <c r="A212">
        <v>1020</v>
      </c>
      <c r="B212" s="1">
        <v>45270</v>
      </c>
      <c r="C212" s="2" t="s">
        <v>12</v>
      </c>
      <c r="D212" t="s">
        <v>13</v>
      </c>
      <c r="E212">
        <v>45</v>
      </c>
      <c r="F212" t="s">
        <v>33</v>
      </c>
      <c r="G212">
        <f>1</f>
        <v>1</v>
      </c>
      <c r="H212" s="3">
        <v>4268.45</v>
      </c>
      <c r="I212" s="3">
        <v>4551.6000000000004</v>
      </c>
      <c r="J212" s="3">
        <f t="shared" si="22"/>
        <v>4187.4720000000007</v>
      </c>
      <c r="K212" s="3">
        <f t="shared" si="23"/>
        <v>188436.24000000005</v>
      </c>
      <c r="L212" s="3">
        <f t="shared" si="26"/>
        <v>192080.25</v>
      </c>
      <c r="M212" s="8">
        <f t="shared" si="27"/>
        <v>-3644.0099999999511</v>
      </c>
      <c r="N212" s="4">
        <f t="shared" si="24"/>
        <v>-1.9338159156646037E-2</v>
      </c>
      <c r="O212" s="4" t="str">
        <f t="shared" si="25"/>
        <v>Loss</v>
      </c>
      <c r="P212" t="s">
        <v>28</v>
      </c>
      <c r="Q212">
        <v>0.08</v>
      </c>
      <c r="R212" t="s">
        <v>25</v>
      </c>
      <c r="S212" t="s">
        <v>17</v>
      </c>
      <c r="T212" t="s">
        <v>18</v>
      </c>
      <c r="U212" t="str">
        <f t="shared" si="28"/>
        <v>High-Cost</v>
      </c>
    </row>
    <row r="213" spans="1:21" x14ac:dyDescent="0.3">
      <c r="A213">
        <v>1020</v>
      </c>
      <c r="B213" s="1">
        <v>45004</v>
      </c>
      <c r="C213" s="2" t="s">
        <v>36</v>
      </c>
      <c r="D213" t="s">
        <v>19</v>
      </c>
      <c r="E213">
        <v>19</v>
      </c>
      <c r="F213" t="s">
        <v>24</v>
      </c>
      <c r="G213">
        <f>1</f>
        <v>1</v>
      </c>
      <c r="H213" s="3">
        <v>1783.48</v>
      </c>
      <c r="I213" s="3">
        <v>1931.56</v>
      </c>
      <c r="J213" s="3">
        <f t="shared" si="22"/>
        <v>1410.0388</v>
      </c>
      <c r="K213" s="3">
        <f t="shared" si="23"/>
        <v>26790.7372</v>
      </c>
      <c r="L213" s="3">
        <f t="shared" si="26"/>
        <v>33886.120000000003</v>
      </c>
      <c r="M213" s="8">
        <f t="shared" si="27"/>
        <v>-7095.382800000003</v>
      </c>
      <c r="N213" s="4">
        <f t="shared" si="24"/>
        <v>-0.26484462697054872</v>
      </c>
      <c r="O213" s="4" t="str">
        <f t="shared" si="25"/>
        <v>Loss</v>
      </c>
      <c r="P213" t="s">
        <v>15</v>
      </c>
      <c r="Q213">
        <v>0.27</v>
      </c>
      <c r="R213" t="s">
        <v>25</v>
      </c>
      <c r="S213" t="s">
        <v>20</v>
      </c>
      <c r="T213" t="s">
        <v>39</v>
      </c>
      <c r="U213" t="str">
        <f t="shared" si="28"/>
        <v>Low-Cost</v>
      </c>
    </row>
    <row r="214" spans="1:21" x14ac:dyDescent="0.3">
      <c r="A214">
        <v>1020</v>
      </c>
      <c r="B214" s="1">
        <v>45043</v>
      </c>
      <c r="C214" s="2" t="s">
        <v>40</v>
      </c>
      <c r="D214" t="s">
        <v>23</v>
      </c>
      <c r="E214">
        <v>33</v>
      </c>
      <c r="F214" t="s">
        <v>14</v>
      </c>
      <c r="G214">
        <f>1</f>
        <v>1</v>
      </c>
      <c r="H214" s="3">
        <v>4772.03</v>
      </c>
      <c r="I214" s="3">
        <v>4805.17</v>
      </c>
      <c r="J214" s="3">
        <f t="shared" si="22"/>
        <v>3459.7224000000001</v>
      </c>
      <c r="K214" s="3">
        <f t="shared" si="23"/>
        <v>114170.8392</v>
      </c>
      <c r="L214" s="3">
        <f t="shared" si="26"/>
        <v>157476.99</v>
      </c>
      <c r="M214" s="8">
        <f t="shared" si="27"/>
        <v>-43306.150799999989</v>
      </c>
      <c r="N214" s="4">
        <f t="shared" si="24"/>
        <v>-0.37931008568779956</v>
      </c>
      <c r="O214" s="4" t="str">
        <f t="shared" si="25"/>
        <v>Loss</v>
      </c>
      <c r="P214" t="s">
        <v>15</v>
      </c>
      <c r="Q214">
        <v>0.28000000000000003</v>
      </c>
      <c r="R214" t="s">
        <v>25</v>
      </c>
      <c r="S214" t="s">
        <v>17</v>
      </c>
      <c r="T214" t="s">
        <v>41</v>
      </c>
      <c r="U214" t="str">
        <f t="shared" si="28"/>
        <v>High-Cost</v>
      </c>
    </row>
    <row r="215" spans="1:21" x14ac:dyDescent="0.3">
      <c r="A215">
        <v>1021</v>
      </c>
      <c r="B215" s="1">
        <v>45081</v>
      </c>
      <c r="C215" s="2" t="s">
        <v>36</v>
      </c>
      <c r="D215" t="s">
        <v>13</v>
      </c>
      <c r="E215">
        <v>22</v>
      </c>
      <c r="F215" t="s">
        <v>33</v>
      </c>
      <c r="G215">
        <f>1</f>
        <v>1</v>
      </c>
      <c r="H215" s="3">
        <v>1296.44</v>
      </c>
      <c r="I215" s="3">
        <v>1751.24</v>
      </c>
      <c r="J215" s="3">
        <f t="shared" si="22"/>
        <v>1365.9672</v>
      </c>
      <c r="K215" s="3">
        <f t="shared" si="23"/>
        <v>30051.278399999999</v>
      </c>
      <c r="L215" s="3">
        <f t="shared" si="26"/>
        <v>28521.68</v>
      </c>
      <c r="M215" s="8">
        <f t="shared" si="27"/>
        <v>1529.5983999999989</v>
      </c>
      <c r="N215" s="4">
        <f t="shared" si="24"/>
        <v>5.0899611645140494E-2</v>
      </c>
      <c r="O215" s="4" t="str">
        <f t="shared" si="25"/>
        <v>Profit</v>
      </c>
      <c r="P215" t="s">
        <v>28</v>
      </c>
      <c r="Q215">
        <v>0.22</v>
      </c>
      <c r="R215" t="s">
        <v>16</v>
      </c>
      <c r="S215" t="s">
        <v>17</v>
      </c>
      <c r="T215" t="s">
        <v>38</v>
      </c>
      <c r="U215" t="str">
        <f t="shared" si="28"/>
        <v>Low-Cost</v>
      </c>
    </row>
    <row r="216" spans="1:21" x14ac:dyDescent="0.3">
      <c r="A216">
        <v>1021</v>
      </c>
      <c r="B216" s="1">
        <v>44933</v>
      </c>
      <c r="C216" s="2" t="s">
        <v>12</v>
      </c>
      <c r="D216" t="s">
        <v>13</v>
      </c>
      <c r="E216">
        <v>9</v>
      </c>
      <c r="F216" t="s">
        <v>14</v>
      </c>
      <c r="G216">
        <f>1</f>
        <v>1</v>
      </c>
      <c r="H216" s="3">
        <v>3365.28</v>
      </c>
      <c r="I216" s="3">
        <v>3730.43</v>
      </c>
      <c r="J216" s="3">
        <f t="shared" si="22"/>
        <v>3096.2568999999999</v>
      </c>
      <c r="K216" s="3">
        <f t="shared" si="23"/>
        <v>27866.312099999996</v>
      </c>
      <c r="L216" s="3">
        <f t="shared" si="26"/>
        <v>30287.52</v>
      </c>
      <c r="M216" s="8">
        <f t="shared" si="27"/>
        <v>-2421.2079000000049</v>
      </c>
      <c r="N216" s="4">
        <f t="shared" si="24"/>
        <v>-8.688655647404471E-2</v>
      </c>
      <c r="O216" s="4" t="str">
        <f t="shared" si="25"/>
        <v>Loss</v>
      </c>
      <c r="P216" t="s">
        <v>28</v>
      </c>
      <c r="Q216">
        <v>0.17</v>
      </c>
      <c r="R216" t="s">
        <v>25</v>
      </c>
      <c r="S216" t="s">
        <v>17</v>
      </c>
      <c r="T216" t="s">
        <v>18</v>
      </c>
      <c r="U216" t="str">
        <f t="shared" si="28"/>
        <v>High-Cost</v>
      </c>
    </row>
    <row r="217" spans="1:21" x14ac:dyDescent="0.3">
      <c r="A217">
        <v>1021</v>
      </c>
      <c r="B217" s="1">
        <v>44968</v>
      </c>
      <c r="C217" s="2" t="s">
        <v>31</v>
      </c>
      <c r="D217" t="s">
        <v>19</v>
      </c>
      <c r="E217">
        <v>32</v>
      </c>
      <c r="F217" t="s">
        <v>24</v>
      </c>
      <c r="G217">
        <f>1</f>
        <v>1</v>
      </c>
      <c r="H217" s="3">
        <v>900.79</v>
      </c>
      <c r="I217" s="3">
        <v>1106.51</v>
      </c>
      <c r="J217" s="3">
        <f t="shared" si="22"/>
        <v>874.14290000000005</v>
      </c>
      <c r="K217" s="3">
        <f t="shared" si="23"/>
        <v>27972.572800000002</v>
      </c>
      <c r="L217" s="3">
        <f t="shared" si="26"/>
        <v>28825.279999999999</v>
      </c>
      <c r="M217" s="8">
        <f t="shared" si="27"/>
        <v>-852.7071999999971</v>
      </c>
      <c r="N217" s="4">
        <f t="shared" si="24"/>
        <v>-3.0483688650905828E-2</v>
      </c>
      <c r="O217" s="4" t="str">
        <f t="shared" si="25"/>
        <v>Loss</v>
      </c>
      <c r="P217" t="s">
        <v>28</v>
      </c>
      <c r="Q217">
        <v>0.21</v>
      </c>
      <c r="R217" t="s">
        <v>16</v>
      </c>
      <c r="S217" t="s">
        <v>17</v>
      </c>
      <c r="T217" t="s">
        <v>35</v>
      </c>
      <c r="U217" t="str">
        <f t="shared" si="28"/>
        <v>Low-Cost</v>
      </c>
    </row>
    <row r="218" spans="1:21" x14ac:dyDescent="0.3">
      <c r="A218">
        <v>1021</v>
      </c>
      <c r="B218" s="1">
        <v>45120</v>
      </c>
      <c r="C218" s="2" t="s">
        <v>12</v>
      </c>
      <c r="D218" t="s">
        <v>19</v>
      </c>
      <c r="E218">
        <v>43</v>
      </c>
      <c r="F218" t="s">
        <v>14</v>
      </c>
      <c r="G218">
        <f>1</f>
        <v>1</v>
      </c>
      <c r="H218" s="3">
        <v>4154.3</v>
      </c>
      <c r="I218" s="3">
        <v>4469.07</v>
      </c>
      <c r="J218" s="3">
        <f t="shared" si="22"/>
        <v>3441.1839</v>
      </c>
      <c r="K218" s="3">
        <f t="shared" si="23"/>
        <v>147970.90769999998</v>
      </c>
      <c r="L218" s="3">
        <f t="shared" si="26"/>
        <v>178634.9</v>
      </c>
      <c r="M218" s="8">
        <f t="shared" si="27"/>
        <v>-30663.992300000013</v>
      </c>
      <c r="N218" s="4">
        <f t="shared" si="24"/>
        <v>-0.20722987225413916</v>
      </c>
      <c r="O218" s="4" t="str">
        <f t="shared" si="25"/>
        <v>Loss</v>
      </c>
      <c r="P218" t="s">
        <v>15</v>
      </c>
      <c r="Q218">
        <v>0.23</v>
      </c>
      <c r="R218" t="s">
        <v>16</v>
      </c>
      <c r="S218" t="s">
        <v>20</v>
      </c>
      <c r="T218" t="s">
        <v>21</v>
      </c>
      <c r="U218" t="str">
        <f t="shared" si="28"/>
        <v>High-Cost</v>
      </c>
    </row>
    <row r="219" spans="1:21" x14ac:dyDescent="0.3">
      <c r="A219">
        <v>1021</v>
      </c>
      <c r="B219" s="1">
        <v>44999</v>
      </c>
      <c r="C219" s="2" t="s">
        <v>22</v>
      </c>
      <c r="D219" t="s">
        <v>23</v>
      </c>
      <c r="E219">
        <v>23</v>
      </c>
      <c r="F219" t="s">
        <v>24</v>
      </c>
      <c r="G219">
        <f>1</f>
        <v>1</v>
      </c>
      <c r="H219" s="3">
        <v>580.75</v>
      </c>
      <c r="I219" s="3">
        <v>956.16</v>
      </c>
      <c r="J219" s="3">
        <f t="shared" si="22"/>
        <v>889.22879999999986</v>
      </c>
      <c r="K219" s="3">
        <f t="shared" si="23"/>
        <v>20452.2624</v>
      </c>
      <c r="L219" s="3">
        <f t="shared" si="26"/>
        <v>13357.25</v>
      </c>
      <c r="M219" s="8">
        <f t="shared" si="27"/>
        <v>7095.0123999999996</v>
      </c>
      <c r="N219" s="4">
        <f t="shared" si="24"/>
        <v>0.34690599314822013</v>
      </c>
      <c r="O219" s="4" t="str">
        <f t="shared" si="25"/>
        <v>Profit</v>
      </c>
      <c r="P219" t="s">
        <v>15</v>
      </c>
      <c r="Q219">
        <v>7.0000000000000007E-2</v>
      </c>
      <c r="R219" t="s">
        <v>16</v>
      </c>
      <c r="S219" t="s">
        <v>20</v>
      </c>
      <c r="T219" t="s">
        <v>26</v>
      </c>
      <c r="U219" t="str">
        <f t="shared" si="28"/>
        <v>Low-Cost</v>
      </c>
    </row>
    <row r="220" spans="1:21" x14ac:dyDescent="0.3">
      <c r="A220">
        <v>1021</v>
      </c>
      <c r="B220" s="1">
        <v>45101</v>
      </c>
      <c r="C220" s="2" t="s">
        <v>40</v>
      </c>
      <c r="D220" t="s">
        <v>19</v>
      </c>
      <c r="E220">
        <v>24</v>
      </c>
      <c r="F220" t="s">
        <v>33</v>
      </c>
      <c r="G220">
        <f>1</f>
        <v>1</v>
      </c>
      <c r="H220" s="3">
        <v>4916.17</v>
      </c>
      <c r="I220" s="3">
        <v>5309.32</v>
      </c>
      <c r="J220" s="3">
        <f t="shared" si="22"/>
        <v>4300.5492000000004</v>
      </c>
      <c r="K220" s="3">
        <f t="shared" si="23"/>
        <v>103213.1808</v>
      </c>
      <c r="L220" s="3">
        <f t="shared" si="26"/>
        <v>117988.08</v>
      </c>
      <c r="M220" s="8">
        <f t="shared" si="27"/>
        <v>-14774.8992</v>
      </c>
      <c r="N220" s="4">
        <f t="shared" si="24"/>
        <v>-0.14314934473950444</v>
      </c>
      <c r="O220" s="4" t="str">
        <f t="shared" si="25"/>
        <v>Loss</v>
      </c>
      <c r="P220" t="s">
        <v>15</v>
      </c>
      <c r="Q220">
        <v>0.19</v>
      </c>
      <c r="R220" t="s">
        <v>29</v>
      </c>
      <c r="S220" t="s">
        <v>17</v>
      </c>
      <c r="T220" t="s">
        <v>49</v>
      </c>
      <c r="U220" t="str">
        <f t="shared" si="28"/>
        <v>High-Cost</v>
      </c>
    </row>
    <row r="221" spans="1:21" x14ac:dyDescent="0.3">
      <c r="A221">
        <v>1021</v>
      </c>
      <c r="B221" s="1">
        <v>45254</v>
      </c>
      <c r="C221" s="2" t="s">
        <v>36</v>
      </c>
      <c r="D221" t="s">
        <v>13</v>
      </c>
      <c r="E221">
        <v>15</v>
      </c>
      <c r="F221" t="s">
        <v>24</v>
      </c>
      <c r="G221">
        <f>1</f>
        <v>1</v>
      </c>
      <c r="H221" s="3">
        <v>3771.27</v>
      </c>
      <c r="I221" s="3">
        <v>4212.55</v>
      </c>
      <c r="J221" s="3">
        <f t="shared" si="22"/>
        <v>3538.5419999999999</v>
      </c>
      <c r="K221" s="3">
        <f t="shared" si="23"/>
        <v>53078.13</v>
      </c>
      <c r="L221" s="3">
        <f t="shared" si="26"/>
        <v>56569.05</v>
      </c>
      <c r="M221" s="8">
        <f t="shared" si="27"/>
        <v>-3490.9200000000055</v>
      </c>
      <c r="N221" s="4">
        <f t="shared" si="24"/>
        <v>-6.5769460981387362E-2</v>
      </c>
      <c r="O221" s="4" t="str">
        <f t="shared" si="25"/>
        <v>Loss</v>
      </c>
      <c r="P221" t="s">
        <v>15</v>
      </c>
      <c r="Q221">
        <v>0.16</v>
      </c>
      <c r="R221" t="s">
        <v>29</v>
      </c>
      <c r="S221" t="s">
        <v>20</v>
      </c>
      <c r="T221" t="s">
        <v>38</v>
      </c>
      <c r="U221" t="str">
        <f t="shared" si="28"/>
        <v>High-Cost</v>
      </c>
    </row>
    <row r="222" spans="1:21" x14ac:dyDescent="0.3">
      <c r="A222">
        <v>1021</v>
      </c>
      <c r="B222" s="1">
        <v>45104</v>
      </c>
      <c r="C222" s="2" t="s">
        <v>31</v>
      </c>
      <c r="D222" t="s">
        <v>13</v>
      </c>
      <c r="E222">
        <v>19</v>
      </c>
      <c r="F222" t="s">
        <v>33</v>
      </c>
      <c r="G222">
        <f>1</f>
        <v>1</v>
      </c>
      <c r="H222" s="3">
        <v>1222.4000000000001</v>
      </c>
      <c r="I222" s="3">
        <v>1464.71</v>
      </c>
      <c r="J222" s="3">
        <f t="shared" si="22"/>
        <v>1464.71</v>
      </c>
      <c r="K222" s="3">
        <f t="shared" si="23"/>
        <v>27829.49</v>
      </c>
      <c r="L222" s="3">
        <f t="shared" si="26"/>
        <v>23225.600000000002</v>
      </c>
      <c r="M222" s="8">
        <f t="shared" si="27"/>
        <v>4603.8899999999994</v>
      </c>
      <c r="N222" s="4">
        <f t="shared" si="24"/>
        <v>0.16543206505041952</v>
      </c>
      <c r="O222" s="4" t="str">
        <f t="shared" si="25"/>
        <v>Profit</v>
      </c>
      <c r="P222" t="s">
        <v>28</v>
      </c>
      <c r="Q222">
        <v>0</v>
      </c>
      <c r="R222" t="s">
        <v>29</v>
      </c>
      <c r="S222" t="s">
        <v>20</v>
      </c>
      <c r="T222" t="s">
        <v>51</v>
      </c>
      <c r="U222" t="str">
        <f t="shared" si="28"/>
        <v>Low-Cost</v>
      </c>
    </row>
    <row r="223" spans="1:21" x14ac:dyDescent="0.3">
      <c r="A223">
        <v>1021</v>
      </c>
      <c r="B223" s="1">
        <v>45165</v>
      </c>
      <c r="C223" s="2" t="s">
        <v>36</v>
      </c>
      <c r="D223" t="s">
        <v>13</v>
      </c>
      <c r="E223">
        <v>19</v>
      </c>
      <c r="F223" t="s">
        <v>27</v>
      </c>
      <c r="G223">
        <f>1</f>
        <v>1</v>
      </c>
      <c r="H223" s="3">
        <v>444.05</v>
      </c>
      <c r="I223" s="3">
        <v>584.44000000000005</v>
      </c>
      <c r="J223" s="3">
        <f t="shared" si="22"/>
        <v>420.79680000000002</v>
      </c>
      <c r="K223" s="3">
        <f t="shared" si="23"/>
        <v>7995.1392000000005</v>
      </c>
      <c r="L223" s="3">
        <f t="shared" si="26"/>
        <v>8436.9500000000007</v>
      </c>
      <c r="M223" s="8">
        <f t="shared" si="27"/>
        <v>-441.8108000000002</v>
      </c>
      <c r="N223" s="4">
        <f t="shared" si="24"/>
        <v>-5.5259925930995692E-2</v>
      </c>
      <c r="O223" s="4" t="str">
        <f t="shared" si="25"/>
        <v>Loss</v>
      </c>
      <c r="P223" t="s">
        <v>15</v>
      </c>
      <c r="Q223">
        <v>0.28000000000000003</v>
      </c>
      <c r="R223" t="s">
        <v>16</v>
      </c>
      <c r="S223" t="s">
        <v>20</v>
      </c>
      <c r="T223" t="s">
        <v>38</v>
      </c>
      <c r="U223" t="str">
        <f t="shared" si="28"/>
        <v>Low-Cost</v>
      </c>
    </row>
    <row r="224" spans="1:21" x14ac:dyDescent="0.3">
      <c r="A224">
        <v>1021</v>
      </c>
      <c r="B224" s="1">
        <v>45257</v>
      </c>
      <c r="C224" s="2" t="s">
        <v>40</v>
      </c>
      <c r="D224" t="s">
        <v>23</v>
      </c>
      <c r="E224">
        <v>31</v>
      </c>
      <c r="F224" t="s">
        <v>14</v>
      </c>
      <c r="G224">
        <f>1</f>
        <v>1</v>
      </c>
      <c r="H224" s="3">
        <v>2254.9899999999998</v>
      </c>
      <c r="I224" s="3">
        <v>2441.79</v>
      </c>
      <c r="J224" s="3">
        <f t="shared" si="22"/>
        <v>1855.7603999999999</v>
      </c>
      <c r="K224" s="3">
        <f t="shared" si="23"/>
        <v>57528.572400000005</v>
      </c>
      <c r="L224" s="3">
        <f t="shared" si="26"/>
        <v>69904.689999999988</v>
      </c>
      <c r="M224" s="8">
        <f t="shared" si="27"/>
        <v>-12376.117599999983</v>
      </c>
      <c r="N224" s="4">
        <f t="shared" si="24"/>
        <v>-0.2151299273332912</v>
      </c>
      <c r="O224" s="4" t="str">
        <f t="shared" si="25"/>
        <v>Loss</v>
      </c>
      <c r="P224" t="s">
        <v>15</v>
      </c>
      <c r="Q224">
        <v>0.24</v>
      </c>
      <c r="R224" t="s">
        <v>25</v>
      </c>
      <c r="S224" t="s">
        <v>17</v>
      </c>
      <c r="T224" t="s">
        <v>41</v>
      </c>
      <c r="U224" t="str">
        <f t="shared" si="28"/>
        <v>Low-Cost</v>
      </c>
    </row>
    <row r="225" spans="1:21" x14ac:dyDescent="0.3">
      <c r="A225">
        <v>1022</v>
      </c>
      <c r="B225" s="1">
        <v>45078</v>
      </c>
      <c r="C225" s="2" t="s">
        <v>22</v>
      </c>
      <c r="D225" t="s">
        <v>32</v>
      </c>
      <c r="E225">
        <v>9</v>
      </c>
      <c r="F225" t="s">
        <v>33</v>
      </c>
      <c r="G225">
        <f>1</f>
        <v>1</v>
      </c>
      <c r="H225" s="3">
        <v>2263.65</v>
      </c>
      <c r="I225" s="3">
        <v>2558.9499999999998</v>
      </c>
      <c r="J225" s="3">
        <f t="shared" si="22"/>
        <v>2482.1814999999997</v>
      </c>
      <c r="K225" s="3">
        <f t="shared" si="23"/>
        <v>22339.6335</v>
      </c>
      <c r="L225" s="3">
        <f t="shared" si="26"/>
        <v>20372.850000000002</v>
      </c>
      <c r="M225" s="8">
        <f t="shared" si="27"/>
        <v>1966.7834999999977</v>
      </c>
      <c r="N225" s="4">
        <f t="shared" si="24"/>
        <v>8.8040096987266947E-2</v>
      </c>
      <c r="O225" s="4" t="str">
        <f t="shared" si="25"/>
        <v>Profit</v>
      </c>
      <c r="P225" t="s">
        <v>28</v>
      </c>
      <c r="Q225">
        <v>0.03</v>
      </c>
      <c r="R225" t="s">
        <v>16</v>
      </c>
      <c r="S225" t="s">
        <v>17</v>
      </c>
      <c r="T225" t="s">
        <v>48</v>
      </c>
      <c r="U225" t="str">
        <f t="shared" si="28"/>
        <v>Low-Cost</v>
      </c>
    </row>
    <row r="226" spans="1:21" x14ac:dyDescent="0.3">
      <c r="A226">
        <v>1022</v>
      </c>
      <c r="B226" s="1">
        <v>44938</v>
      </c>
      <c r="C226" s="2" t="s">
        <v>36</v>
      </c>
      <c r="D226" t="s">
        <v>32</v>
      </c>
      <c r="E226">
        <v>13</v>
      </c>
      <c r="F226" t="s">
        <v>24</v>
      </c>
      <c r="G226">
        <f>1</f>
        <v>1</v>
      </c>
      <c r="H226" s="3">
        <v>2312.4499999999998</v>
      </c>
      <c r="I226" s="3">
        <v>2504.6</v>
      </c>
      <c r="J226" s="3">
        <f t="shared" si="22"/>
        <v>2354.3239999999996</v>
      </c>
      <c r="K226" s="3">
        <f t="shared" si="23"/>
        <v>30606.211999999996</v>
      </c>
      <c r="L226" s="3">
        <f t="shared" si="26"/>
        <v>30061.85</v>
      </c>
      <c r="M226" s="8">
        <f t="shared" si="27"/>
        <v>544.36199999999735</v>
      </c>
      <c r="N226" s="4">
        <f t="shared" si="24"/>
        <v>1.7785997169463424E-2</v>
      </c>
      <c r="O226" s="4" t="str">
        <f t="shared" si="25"/>
        <v>Profit</v>
      </c>
      <c r="P226" t="s">
        <v>15</v>
      </c>
      <c r="Q226">
        <v>0.06</v>
      </c>
      <c r="R226" t="s">
        <v>25</v>
      </c>
      <c r="S226" t="s">
        <v>17</v>
      </c>
      <c r="T226" t="s">
        <v>46</v>
      </c>
      <c r="U226" t="str">
        <f t="shared" si="28"/>
        <v>Low-Cost</v>
      </c>
    </row>
    <row r="227" spans="1:21" x14ac:dyDescent="0.3">
      <c r="A227">
        <v>1022</v>
      </c>
      <c r="B227" s="1">
        <v>45155</v>
      </c>
      <c r="C227" s="2" t="s">
        <v>31</v>
      </c>
      <c r="D227" t="s">
        <v>23</v>
      </c>
      <c r="E227">
        <v>21</v>
      </c>
      <c r="F227" t="s">
        <v>24</v>
      </c>
      <c r="G227">
        <f>1</f>
        <v>1</v>
      </c>
      <c r="H227" s="3">
        <v>2537.1999999999998</v>
      </c>
      <c r="I227" s="3">
        <v>2869.6</v>
      </c>
      <c r="J227" s="3">
        <f t="shared" si="22"/>
        <v>2037.4159999999999</v>
      </c>
      <c r="K227" s="3">
        <f t="shared" si="23"/>
        <v>42785.735999999997</v>
      </c>
      <c r="L227" s="3">
        <f t="shared" si="26"/>
        <v>53281.2</v>
      </c>
      <c r="M227" s="8">
        <f t="shared" si="27"/>
        <v>-10495.464</v>
      </c>
      <c r="N227" s="4">
        <f t="shared" si="24"/>
        <v>-0.24530287383627106</v>
      </c>
      <c r="O227" s="4" t="str">
        <f t="shared" si="25"/>
        <v>Loss</v>
      </c>
      <c r="P227" t="s">
        <v>28</v>
      </c>
      <c r="Q227">
        <v>0.28999999999999998</v>
      </c>
      <c r="R227" t="s">
        <v>25</v>
      </c>
      <c r="S227" t="s">
        <v>20</v>
      </c>
      <c r="T227" t="s">
        <v>42</v>
      </c>
      <c r="U227" t="str">
        <f t="shared" si="28"/>
        <v>High-Cost</v>
      </c>
    </row>
    <row r="228" spans="1:21" x14ac:dyDescent="0.3">
      <c r="A228">
        <v>1022</v>
      </c>
      <c r="B228" s="1">
        <v>45254</v>
      </c>
      <c r="C228" s="2" t="s">
        <v>36</v>
      </c>
      <c r="D228" t="s">
        <v>19</v>
      </c>
      <c r="E228">
        <v>29</v>
      </c>
      <c r="F228" t="s">
        <v>14</v>
      </c>
      <c r="G228">
        <f>1</f>
        <v>1</v>
      </c>
      <c r="H228" s="3">
        <v>479.58</v>
      </c>
      <c r="I228" s="3">
        <v>909.88</v>
      </c>
      <c r="J228" s="3">
        <f t="shared" si="22"/>
        <v>791.59559999999999</v>
      </c>
      <c r="K228" s="3">
        <f t="shared" si="23"/>
        <v>22956.272400000002</v>
      </c>
      <c r="L228" s="3">
        <f t="shared" si="26"/>
        <v>13907.82</v>
      </c>
      <c r="M228" s="8">
        <f t="shared" si="27"/>
        <v>9048.4524000000019</v>
      </c>
      <c r="N228" s="4">
        <f t="shared" si="24"/>
        <v>0.39416035157345497</v>
      </c>
      <c r="O228" s="4" t="str">
        <f t="shared" si="25"/>
        <v>Profit</v>
      </c>
      <c r="P228" t="s">
        <v>15</v>
      </c>
      <c r="Q228">
        <v>0.13</v>
      </c>
      <c r="R228" t="s">
        <v>29</v>
      </c>
      <c r="S228" t="s">
        <v>20</v>
      </c>
      <c r="T228" t="s">
        <v>39</v>
      </c>
      <c r="U228" t="str">
        <f t="shared" si="28"/>
        <v>Low-Cost</v>
      </c>
    </row>
    <row r="229" spans="1:21" x14ac:dyDescent="0.3">
      <c r="A229">
        <v>1022</v>
      </c>
      <c r="B229" s="1">
        <v>45014</v>
      </c>
      <c r="C229" s="2" t="s">
        <v>12</v>
      </c>
      <c r="D229" t="s">
        <v>19</v>
      </c>
      <c r="E229">
        <v>45</v>
      </c>
      <c r="F229" t="s">
        <v>14</v>
      </c>
      <c r="G229">
        <f>1</f>
        <v>1</v>
      </c>
      <c r="H229" s="3">
        <v>4020.09</v>
      </c>
      <c r="I229" s="3">
        <v>4087.91</v>
      </c>
      <c r="J229" s="3">
        <f t="shared" si="22"/>
        <v>3842.6353999999997</v>
      </c>
      <c r="K229" s="3">
        <f t="shared" si="23"/>
        <v>172918.59299999996</v>
      </c>
      <c r="L229" s="3">
        <f t="shared" si="26"/>
        <v>180904.05000000002</v>
      </c>
      <c r="M229" s="8">
        <f t="shared" si="27"/>
        <v>-7985.4570000000531</v>
      </c>
      <c r="N229" s="4">
        <f t="shared" si="24"/>
        <v>-4.6180441683330457E-2</v>
      </c>
      <c r="O229" s="4" t="str">
        <f t="shared" si="25"/>
        <v>Loss</v>
      </c>
      <c r="P229" t="s">
        <v>15</v>
      </c>
      <c r="Q229">
        <v>0.06</v>
      </c>
      <c r="R229" t="s">
        <v>25</v>
      </c>
      <c r="S229" t="s">
        <v>17</v>
      </c>
      <c r="T229" t="s">
        <v>21</v>
      </c>
      <c r="U229" t="str">
        <f t="shared" si="28"/>
        <v>High-Cost</v>
      </c>
    </row>
    <row r="230" spans="1:21" x14ac:dyDescent="0.3">
      <c r="A230">
        <v>1022</v>
      </c>
      <c r="B230" s="1">
        <v>45289</v>
      </c>
      <c r="C230" s="2" t="s">
        <v>22</v>
      </c>
      <c r="D230" t="s">
        <v>13</v>
      </c>
      <c r="E230">
        <v>10</v>
      </c>
      <c r="F230" t="s">
        <v>14</v>
      </c>
      <c r="G230">
        <f>1</f>
        <v>1</v>
      </c>
      <c r="H230" s="3">
        <v>1830.61</v>
      </c>
      <c r="I230" s="3">
        <v>2044.04</v>
      </c>
      <c r="J230" s="3">
        <f t="shared" si="22"/>
        <v>1819.1956</v>
      </c>
      <c r="K230" s="3">
        <f t="shared" si="23"/>
        <v>18191.956000000002</v>
      </c>
      <c r="L230" s="3">
        <f t="shared" si="26"/>
        <v>18306.099999999999</v>
      </c>
      <c r="M230" s="8">
        <f t="shared" si="27"/>
        <v>-114.14399999999659</v>
      </c>
      <c r="N230" s="4">
        <f t="shared" si="24"/>
        <v>-6.2744215080553509E-3</v>
      </c>
      <c r="O230" s="4" t="str">
        <f t="shared" si="25"/>
        <v>Loss</v>
      </c>
      <c r="P230" t="s">
        <v>28</v>
      </c>
      <c r="Q230">
        <v>0.11</v>
      </c>
      <c r="R230" t="s">
        <v>16</v>
      </c>
      <c r="S230" t="s">
        <v>17</v>
      </c>
      <c r="T230" t="s">
        <v>43</v>
      </c>
      <c r="U230" t="str">
        <f t="shared" si="28"/>
        <v>Low-Cost</v>
      </c>
    </row>
    <row r="231" spans="1:21" x14ac:dyDescent="0.3">
      <c r="A231">
        <v>1023</v>
      </c>
      <c r="B231" s="1">
        <v>44987</v>
      </c>
      <c r="C231" s="2" t="s">
        <v>22</v>
      </c>
      <c r="D231" t="s">
        <v>19</v>
      </c>
      <c r="E231">
        <v>39</v>
      </c>
      <c r="F231" t="s">
        <v>24</v>
      </c>
      <c r="G231">
        <f>1</f>
        <v>1</v>
      </c>
      <c r="H231" s="3">
        <v>4450.6099999999997</v>
      </c>
      <c r="I231" s="3">
        <v>4663.34</v>
      </c>
      <c r="J231" s="3">
        <f t="shared" si="22"/>
        <v>3544.1384000000003</v>
      </c>
      <c r="K231" s="3">
        <f t="shared" si="23"/>
        <v>138221.3976</v>
      </c>
      <c r="L231" s="3">
        <f t="shared" si="26"/>
        <v>173573.78999999998</v>
      </c>
      <c r="M231" s="8">
        <f t="shared" si="27"/>
        <v>-35352.392399999982</v>
      </c>
      <c r="N231" s="4">
        <f t="shared" si="24"/>
        <v>-0.25576642266566102</v>
      </c>
      <c r="O231" s="4" t="str">
        <f t="shared" si="25"/>
        <v>Loss</v>
      </c>
      <c r="P231" t="s">
        <v>28</v>
      </c>
      <c r="Q231">
        <v>0.24</v>
      </c>
      <c r="R231" t="s">
        <v>16</v>
      </c>
      <c r="S231" t="s">
        <v>20</v>
      </c>
      <c r="T231" t="s">
        <v>45</v>
      </c>
      <c r="U231" t="str">
        <f t="shared" si="28"/>
        <v>High-Cost</v>
      </c>
    </row>
    <row r="232" spans="1:21" x14ac:dyDescent="0.3">
      <c r="A232">
        <v>1023</v>
      </c>
      <c r="B232" s="1">
        <v>45141</v>
      </c>
      <c r="C232" s="2" t="s">
        <v>22</v>
      </c>
      <c r="D232" t="s">
        <v>19</v>
      </c>
      <c r="E232">
        <v>45</v>
      </c>
      <c r="F232" t="s">
        <v>24</v>
      </c>
      <c r="G232">
        <f>1</f>
        <v>1</v>
      </c>
      <c r="H232" s="3">
        <v>4692.24</v>
      </c>
      <c r="I232" s="3">
        <v>4825.92</v>
      </c>
      <c r="J232" s="3">
        <f t="shared" si="22"/>
        <v>3908.9952000000003</v>
      </c>
      <c r="K232" s="3">
        <f t="shared" si="23"/>
        <v>175904.78400000001</v>
      </c>
      <c r="L232" s="3">
        <f t="shared" si="26"/>
        <v>211150.8</v>
      </c>
      <c r="M232" s="8">
        <f t="shared" si="27"/>
        <v>-35246.015999999974</v>
      </c>
      <c r="N232" s="4">
        <f t="shared" si="24"/>
        <v>-0.20036985463681289</v>
      </c>
      <c r="O232" s="4" t="str">
        <f t="shared" si="25"/>
        <v>Loss</v>
      </c>
      <c r="P232" t="s">
        <v>15</v>
      </c>
      <c r="Q232">
        <v>0.19</v>
      </c>
      <c r="R232" t="s">
        <v>25</v>
      </c>
      <c r="S232" t="s">
        <v>20</v>
      </c>
      <c r="T232" t="s">
        <v>45</v>
      </c>
      <c r="U232" t="str">
        <f t="shared" si="28"/>
        <v>High-Cost</v>
      </c>
    </row>
    <row r="233" spans="1:21" x14ac:dyDescent="0.3">
      <c r="A233">
        <v>1023</v>
      </c>
      <c r="B233" s="1">
        <v>45172</v>
      </c>
      <c r="C233" s="2" t="s">
        <v>22</v>
      </c>
      <c r="D233" t="s">
        <v>23</v>
      </c>
      <c r="E233">
        <v>32</v>
      </c>
      <c r="F233" t="s">
        <v>33</v>
      </c>
      <c r="G233">
        <f>1</f>
        <v>1</v>
      </c>
      <c r="H233" s="3">
        <v>4775.04</v>
      </c>
      <c r="I233" s="3">
        <v>4785.66</v>
      </c>
      <c r="J233" s="3">
        <f t="shared" si="22"/>
        <v>4642.0901999999996</v>
      </c>
      <c r="K233" s="3">
        <f t="shared" si="23"/>
        <v>148546.88639999999</v>
      </c>
      <c r="L233" s="3">
        <f t="shared" si="26"/>
        <v>152801.28</v>
      </c>
      <c r="M233" s="8">
        <f t="shared" si="27"/>
        <v>-4254.3936000000103</v>
      </c>
      <c r="N233" s="4">
        <f t="shared" si="24"/>
        <v>-2.8640072525949696E-2</v>
      </c>
      <c r="O233" s="4" t="str">
        <f t="shared" si="25"/>
        <v>Loss</v>
      </c>
      <c r="P233" t="s">
        <v>28</v>
      </c>
      <c r="Q233">
        <v>0.03</v>
      </c>
      <c r="R233" t="s">
        <v>16</v>
      </c>
      <c r="S233" t="s">
        <v>17</v>
      </c>
      <c r="T233" t="s">
        <v>26</v>
      </c>
      <c r="U233" t="str">
        <f t="shared" si="28"/>
        <v>High-Cost</v>
      </c>
    </row>
    <row r="234" spans="1:21" x14ac:dyDescent="0.3">
      <c r="A234">
        <v>1023</v>
      </c>
      <c r="B234" s="1">
        <v>44931</v>
      </c>
      <c r="C234" s="2" t="s">
        <v>40</v>
      </c>
      <c r="D234" t="s">
        <v>32</v>
      </c>
      <c r="E234">
        <v>2</v>
      </c>
      <c r="F234" t="s">
        <v>27</v>
      </c>
      <c r="G234">
        <f>1</f>
        <v>1</v>
      </c>
      <c r="H234" s="3">
        <v>575.32000000000005</v>
      </c>
      <c r="I234" s="3">
        <v>914.77</v>
      </c>
      <c r="J234" s="3">
        <f t="shared" si="22"/>
        <v>676.9298</v>
      </c>
      <c r="K234" s="3">
        <f t="shared" si="23"/>
        <v>1353.8596</v>
      </c>
      <c r="L234" s="3">
        <f t="shared" si="26"/>
        <v>1150.6400000000001</v>
      </c>
      <c r="M234" s="8">
        <f t="shared" si="27"/>
        <v>203.2195999999999</v>
      </c>
      <c r="N234" s="4">
        <f t="shared" si="24"/>
        <v>0.15010389555903722</v>
      </c>
      <c r="O234" s="4" t="str">
        <f t="shared" si="25"/>
        <v>Profit</v>
      </c>
      <c r="P234" t="s">
        <v>15</v>
      </c>
      <c r="Q234">
        <v>0.26</v>
      </c>
      <c r="R234" t="s">
        <v>25</v>
      </c>
      <c r="S234" t="s">
        <v>17</v>
      </c>
      <c r="T234" t="s">
        <v>50</v>
      </c>
      <c r="U234" t="str">
        <f t="shared" si="28"/>
        <v>Low-Cost</v>
      </c>
    </row>
    <row r="235" spans="1:21" x14ac:dyDescent="0.3">
      <c r="A235">
        <v>1023</v>
      </c>
      <c r="B235" s="1">
        <v>45119</v>
      </c>
      <c r="C235" s="2" t="s">
        <v>40</v>
      </c>
      <c r="D235" t="s">
        <v>13</v>
      </c>
      <c r="E235">
        <v>2</v>
      </c>
      <c r="F235" t="s">
        <v>24</v>
      </c>
      <c r="G235">
        <f>1</f>
        <v>1</v>
      </c>
      <c r="H235" s="3">
        <v>665.89</v>
      </c>
      <c r="I235" s="3">
        <v>944.79</v>
      </c>
      <c r="J235" s="3">
        <f t="shared" si="22"/>
        <v>850.31100000000004</v>
      </c>
      <c r="K235" s="3">
        <f t="shared" si="23"/>
        <v>1700.6220000000001</v>
      </c>
      <c r="L235" s="3">
        <f t="shared" si="26"/>
        <v>1331.78</v>
      </c>
      <c r="M235" s="8">
        <f t="shared" si="27"/>
        <v>368.8420000000001</v>
      </c>
      <c r="N235" s="4">
        <f t="shared" si="24"/>
        <v>0.21688652739997488</v>
      </c>
      <c r="O235" s="4" t="str">
        <f t="shared" si="25"/>
        <v>Profit</v>
      </c>
      <c r="P235" t="s">
        <v>28</v>
      </c>
      <c r="Q235">
        <v>0.1</v>
      </c>
      <c r="R235" t="s">
        <v>29</v>
      </c>
      <c r="S235" t="s">
        <v>20</v>
      </c>
      <c r="T235" t="s">
        <v>47</v>
      </c>
      <c r="U235" t="str">
        <f t="shared" si="28"/>
        <v>Low-Cost</v>
      </c>
    </row>
    <row r="236" spans="1:21" x14ac:dyDescent="0.3">
      <c r="A236">
        <v>1023</v>
      </c>
      <c r="B236" s="1">
        <v>45151</v>
      </c>
      <c r="C236" s="2" t="s">
        <v>12</v>
      </c>
      <c r="D236" t="s">
        <v>32</v>
      </c>
      <c r="E236">
        <v>38</v>
      </c>
      <c r="F236" t="s">
        <v>27</v>
      </c>
      <c r="G236">
        <f>1</f>
        <v>1</v>
      </c>
      <c r="H236" s="3">
        <v>324.45</v>
      </c>
      <c r="I236" s="3">
        <v>336.37</v>
      </c>
      <c r="J236" s="3">
        <f t="shared" si="22"/>
        <v>242.18639999999999</v>
      </c>
      <c r="K236" s="3">
        <f t="shared" si="23"/>
        <v>9203.0831999999991</v>
      </c>
      <c r="L236" s="3">
        <f t="shared" si="26"/>
        <v>12329.1</v>
      </c>
      <c r="M236" s="8">
        <f t="shared" si="27"/>
        <v>-3126.0168000000012</v>
      </c>
      <c r="N236" s="4">
        <f t="shared" si="24"/>
        <v>-0.33967060082647099</v>
      </c>
      <c r="O236" s="4" t="str">
        <f t="shared" si="25"/>
        <v>Loss</v>
      </c>
      <c r="P236" t="s">
        <v>28</v>
      </c>
      <c r="Q236">
        <v>0.28000000000000003</v>
      </c>
      <c r="R236" t="s">
        <v>29</v>
      </c>
      <c r="S236" t="s">
        <v>20</v>
      </c>
      <c r="T236" t="s">
        <v>44</v>
      </c>
      <c r="U236" t="str">
        <f t="shared" si="28"/>
        <v>Low-Cost</v>
      </c>
    </row>
    <row r="237" spans="1:21" x14ac:dyDescent="0.3">
      <c r="A237">
        <v>1023</v>
      </c>
      <c r="B237" s="1">
        <v>45128</v>
      </c>
      <c r="C237" s="2" t="s">
        <v>36</v>
      </c>
      <c r="D237" t="s">
        <v>13</v>
      </c>
      <c r="E237">
        <v>4</v>
      </c>
      <c r="F237" t="s">
        <v>27</v>
      </c>
      <c r="G237">
        <f>1</f>
        <v>1</v>
      </c>
      <c r="H237" s="3">
        <v>1532.8</v>
      </c>
      <c r="I237" s="3">
        <v>1619.69</v>
      </c>
      <c r="J237" s="3">
        <f t="shared" si="22"/>
        <v>1538.7055</v>
      </c>
      <c r="K237" s="3">
        <f t="shared" si="23"/>
        <v>6154.8220000000001</v>
      </c>
      <c r="L237" s="3">
        <f t="shared" si="26"/>
        <v>6131.2</v>
      </c>
      <c r="M237" s="8">
        <f t="shared" si="27"/>
        <v>23.622000000000298</v>
      </c>
      <c r="N237" s="4">
        <f t="shared" si="24"/>
        <v>3.837966394479044E-3</v>
      </c>
      <c r="O237" s="4" t="str">
        <f t="shared" si="25"/>
        <v>Profit</v>
      </c>
      <c r="P237" t="s">
        <v>15</v>
      </c>
      <c r="Q237">
        <v>0.05</v>
      </c>
      <c r="R237" t="s">
        <v>25</v>
      </c>
      <c r="S237" t="s">
        <v>20</v>
      </c>
      <c r="T237" t="s">
        <v>38</v>
      </c>
      <c r="U237" t="str">
        <f t="shared" si="28"/>
        <v>Low-Cost</v>
      </c>
    </row>
    <row r="238" spans="1:21" x14ac:dyDescent="0.3">
      <c r="A238">
        <v>1023</v>
      </c>
      <c r="B238" s="1">
        <v>45222</v>
      </c>
      <c r="C238" s="2" t="s">
        <v>22</v>
      </c>
      <c r="D238" t="s">
        <v>23</v>
      </c>
      <c r="E238">
        <v>42</v>
      </c>
      <c r="F238" t="s">
        <v>24</v>
      </c>
      <c r="G238">
        <f>1</f>
        <v>1</v>
      </c>
      <c r="H238" s="3">
        <v>309.77999999999997</v>
      </c>
      <c r="I238" s="3">
        <v>350.38</v>
      </c>
      <c r="J238" s="3">
        <f t="shared" si="22"/>
        <v>283.80780000000004</v>
      </c>
      <c r="K238" s="3">
        <f t="shared" si="23"/>
        <v>11919.927600000001</v>
      </c>
      <c r="L238" s="3">
        <f t="shared" si="26"/>
        <v>13010.759999999998</v>
      </c>
      <c r="M238" s="8">
        <f t="shared" si="27"/>
        <v>-1090.8323999999975</v>
      </c>
      <c r="N238" s="4">
        <f t="shared" si="24"/>
        <v>-9.151334107096401E-2</v>
      </c>
      <c r="O238" s="4" t="str">
        <f t="shared" si="25"/>
        <v>Loss</v>
      </c>
      <c r="P238" t="s">
        <v>15</v>
      </c>
      <c r="Q238">
        <v>0.19</v>
      </c>
      <c r="R238" t="s">
        <v>29</v>
      </c>
      <c r="S238" t="s">
        <v>20</v>
      </c>
      <c r="T238" t="s">
        <v>26</v>
      </c>
      <c r="U238" t="str">
        <f t="shared" si="28"/>
        <v>Low-Cost</v>
      </c>
    </row>
    <row r="239" spans="1:21" x14ac:dyDescent="0.3">
      <c r="A239">
        <v>1023</v>
      </c>
      <c r="B239" s="1">
        <v>45283</v>
      </c>
      <c r="C239" s="2" t="s">
        <v>12</v>
      </c>
      <c r="D239" t="s">
        <v>32</v>
      </c>
      <c r="E239">
        <v>47</v>
      </c>
      <c r="F239" t="s">
        <v>33</v>
      </c>
      <c r="G239">
        <f>1</f>
        <v>1</v>
      </c>
      <c r="H239" s="3">
        <v>3374.72</v>
      </c>
      <c r="I239" s="3">
        <v>3483.15</v>
      </c>
      <c r="J239" s="3">
        <f t="shared" si="22"/>
        <v>2856.1830000000004</v>
      </c>
      <c r="K239" s="3">
        <f t="shared" si="23"/>
        <v>134240.60100000002</v>
      </c>
      <c r="L239" s="3">
        <f t="shared" si="26"/>
        <v>158611.84</v>
      </c>
      <c r="M239" s="8">
        <f t="shared" si="27"/>
        <v>-24371.238999999972</v>
      </c>
      <c r="N239" s="4">
        <f t="shared" si="24"/>
        <v>-0.18154894136685196</v>
      </c>
      <c r="O239" s="4" t="str">
        <f t="shared" si="25"/>
        <v>Loss</v>
      </c>
      <c r="P239" t="s">
        <v>15</v>
      </c>
      <c r="Q239">
        <v>0.18</v>
      </c>
      <c r="R239" t="s">
        <v>16</v>
      </c>
      <c r="S239" t="s">
        <v>17</v>
      </c>
      <c r="T239" t="s">
        <v>44</v>
      </c>
      <c r="U239" t="str">
        <f t="shared" si="28"/>
        <v>High-Cost</v>
      </c>
    </row>
    <row r="240" spans="1:21" x14ac:dyDescent="0.3">
      <c r="A240">
        <v>1023</v>
      </c>
      <c r="B240" s="1">
        <v>44952</v>
      </c>
      <c r="C240" s="2" t="s">
        <v>22</v>
      </c>
      <c r="D240" t="s">
        <v>13</v>
      </c>
      <c r="E240">
        <v>36</v>
      </c>
      <c r="F240" t="s">
        <v>27</v>
      </c>
      <c r="G240">
        <f>1</f>
        <v>1</v>
      </c>
      <c r="H240" s="3">
        <v>1991.72</v>
      </c>
      <c r="I240" s="3">
        <v>2329.37</v>
      </c>
      <c r="J240" s="3">
        <f t="shared" si="22"/>
        <v>1677.1463999999999</v>
      </c>
      <c r="K240" s="3">
        <f t="shared" si="23"/>
        <v>60377.270399999994</v>
      </c>
      <c r="L240" s="3">
        <f t="shared" si="26"/>
        <v>71701.919999999998</v>
      </c>
      <c r="M240" s="8">
        <f t="shared" si="27"/>
        <v>-11324.649600000004</v>
      </c>
      <c r="N240" s="4">
        <f t="shared" si="24"/>
        <v>-0.18756478265701798</v>
      </c>
      <c r="O240" s="4" t="str">
        <f t="shared" si="25"/>
        <v>Loss</v>
      </c>
      <c r="P240" t="s">
        <v>28</v>
      </c>
      <c r="Q240">
        <v>0.28000000000000003</v>
      </c>
      <c r="R240" t="s">
        <v>29</v>
      </c>
      <c r="S240" t="s">
        <v>20</v>
      </c>
      <c r="T240" t="s">
        <v>43</v>
      </c>
      <c r="U240" t="str">
        <f t="shared" si="28"/>
        <v>Low-Cost</v>
      </c>
    </row>
    <row r="241" spans="1:21" x14ac:dyDescent="0.3">
      <c r="A241">
        <v>1023</v>
      </c>
      <c r="B241" s="1">
        <v>45044</v>
      </c>
      <c r="C241" s="2" t="s">
        <v>31</v>
      </c>
      <c r="D241" t="s">
        <v>13</v>
      </c>
      <c r="E241">
        <v>5</v>
      </c>
      <c r="F241" t="s">
        <v>33</v>
      </c>
      <c r="G241">
        <f>1</f>
        <v>1</v>
      </c>
      <c r="H241" s="3">
        <v>2311.25</v>
      </c>
      <c r="I241" s="3">
        <v>2482.34</v>
      </c>
      <c r="J241" s="3">
        <f t="shared" si="22"/>
        <v>1936.2252000000001</v>
      </c>
      <c r="K241" s="3">
        <f t="shared" si="23"/>
        <v>9681.1260000000002</v>
      </c>
      <c r="L241" s="3">
        <f t="shared" si="26"/>
        <v>11556.25</v>
      </c>
      <c r="M241" s="8">
        <f t="shared" si="27"/>
        <v>-1875.1239999999998</v>
      </c>
      <c r="N241" s="4">
        <f t="shared" si="24"/>
        <v>-0.19368862671552872</v>
      </c>
      <c r="O241" s="4" t="str">
        <f t="shared" si="25"/>
        <v>Loss</v>
      </c>
      <c r="P241" t="s">
        <v>15</v>
      </c>
      <c r="Q241">
        <v>0.22</v>
      </c>
      <c r="R241" t="s">
        <v>29</v>
      </c>
      <c r="S241" t="s">
        <v>20</v>
      </c>
      <c r="T241" t="s">
        <v>51</v>
      </c>
      <c r="U241" t="str">
        <f t="shared" si="28"/>
        <v>Low-Cost</v>
      </c>
    </row>
    <row r="242" spans="1:21" x14ac:dyDescent="0.3">
      <c r="A242">
        <v>1023</v>
      </c>
      <c r="B242" s="1">
        <v>45105</v>
      </c>
      <c r="C242" s="2" t="s">
        <v>36</v>
      </c>
      <c r="D242" t="s">
        <v>32</v>
      </c>
      <c r="E242">
        <v>9</v>
      </c>
      <c r="F242" t="s">
        <v>27</v>
      </c>
      <c r="G242">
        <f>1</f>
        <v>1</v>
      </c>
      <c r="H242" s="3">
        <v>4155.46</v>
      </c>
      <c r="I242" s="3">
        <v>4273.6000000000004</v>
      </c>
      <c r="J242" s="3">
        <f t="shared" si="22"/>
        <v>3205.2000000000003</v>
      </c>
      <c r="K242" s="3">
        <f t="shared" si="23"/>
        <v>28846.800000000003</v>
      </c>
      <c r="L242" s="3">
        <f t="shared" si="26"/>
        <v>37399.14</v>
      </c>
      <c r="M242" s="8">
        <f t="shared" si="27"/>
        <v>-8552.3399999999965</v>
      </c>
      <c r="N242" s="4">
        <f t="shared" si="24"/>
        <v>-0.2964744789716709</v>
      </c>
      <c r="O242" s="4" t="str">
        <f t="shared" si="25"/>
        <v>Loss</v>
      </c>
      <c r="P242" t="s">
        <v>15</v>
      </c>
      <c r="Q242">
        <v>0.25</v>
      </c>
      <c r="R242" t="s">
        <v>16</v>
      </c>
      <c r="S242" t="s">
        <v>20</v>
      </c>
      <c r="T242" t="s">
        <v>46</v>
      </c>
      <c r="U242" t="str">
        <f t="shared" si="28"/>
        <v>High-Cost</v>
      </c>
    </row>
    <row r="243" spans="1:21" x14ac:dyDescent="0.3">
      <c r="A243">
        <v>1023</v>
      </c>
      <c r="B243" s="1">
        <v>45199</v>
      </c>
      <c r="C243" s="2" t="s">
        <v>31</v>
      </c>
      <c r="D243" t="s">
        <v>13</v>
      </c>
      <c r="E243">
        <v>8</v>
      </c>
      <c r="F243" t="s">
        <v>14</v>
      </c>
      <c r="G243">
        <f>1</f>
        <v>1</v>
      </c>
      <c r="H243" s="3">
        <v>1563.78</v>
      </c>
      <c r="I243" s="3">
        <v>1829.16</v>
      </c>
      <c r="J243" s="3">
        <f t="shared" si="22"/>
        <v>1554.7860000000001</v>
      </c>
      <c r="K243" s="3">
        <f t="shared" si="23"/>
        <v>12438.288</v>
      </c>
      <c r="L243" s="3">
        <f t="shared" si="26"/>
        <v>12510.24</v>
      </c>
      <c r="M243" s="8">
        <f t="shared" si="27"/>
        <v>-71.951999999999316</v>
      </c>
      <c r="N243" s="4">
        <f t="shared" si="24"/>
        <v>-5.7847189259485959E-3</v>
      </c>
      <c r="O243" s="4" t="str">
        <f t="shared" si="25"/>
        <v>Loss</v>
      </c>
      <c r="P243" t="s">
        <v>15</v>
      </c>
      <c r="Q243">
        <v>0.15</v>
      </c>
      <c r="R243" t="s">
        <v>16</v>
      </c>
      <c r="S243" t="s">
        <v>17</v>
      </c>
      <c r="T243" t="s">
        <v>51</v>
      </c>
      <c r="U243" t="str">
        <f t="shared" si="28"/>
        <v>Low-Cost</v>
      </c>
    </row>
    <row r="244" spans="1:21" x14ac:dyDescent="0.3">
      <c r="A244">
        <v>1024</v>
      </c>
      <c r="B244" s="1">
        <v>45079</v>
      </c>
      <c r="C244" s="2" t="s">
        <v>40</v>
      </c>
      <c r="D244" t="s">
        <v>19</v>
      </c>
      <c r="E244">
        <v>2</v>
      </c>
      <c r="F244" t="s">
        <v>14</v>
      </c>
      <c r="G244">
        <f>1</f>
        <v>1</v>
      </c>
      <c r="H244" s="3">
        <v>3604.93</v>
      </c>
      <c r="I244" s="3">
        <v>3830.71</v>
      </c>
      <c r="J244" s="3">
        <f t="shared" si="22"/>
        <v>3371.0248000000001</v>
      </c>
      <c r="K244" s="3">
        <f t="shared" si="23"/>
        <v>6742.0496000000003</v>
      </c>
      <c r="L244" s="3">
        <f t="shared" si="26"/>
        <v>7209.86</v>
      </c>
      <c r="M244" s="8">
        <f t="shared" si="27"/>
        <v>-467.81039999999939</v>
      </c>
      <c r="N244" s="4">
        <f t="shared" si="24"/>
        <v>-6.9386970988762731E-2</v>
      </c>
      <c r="O244" s="4" t="str">
        <f t="shared" si="25"/>
        <v>Loss</v>
      </c>
      <c r="P244" t="s">
        <v>15</v>
      </c>
      <c r="Q244">
        <v>0.12</v>
      </c>
      <c r="R244" t="s">
        <v>29</v>
      </c>
      <c r="S244" t="s">
        <v>17</v>
      </c>
      <c r="T244" t="s">
        <v>49</v>
      </c>
      <c r="U244" t="str">
        <f t="shared" si="28"/>
        <v>High-Cost</v>
      </c>
    </row>
    <row r="245" spans="1:21" x14ac:dyDescent="0.3">
      <c r="A245">
        <v>1024</v>
      </c>
      <c r="B245" s="1">
        <v>44991</v>
      </c>
      <c r="C245" s="2" t="s">
        <v>40</v>
      </c>
      <c r="D245" t="s">
        <v>23</v>
      </c>
      <c r="E245">
        <v>35</v>
      </c>
      <c r="F245" t="s">
        <v>33</v>
      </c>
      <c r="G245">
        <f>1</f>
        <v>1</v>
      </c>
      <c r="H245" s="3">
        <v>1258.53</v>
      </c>
      <c r="I245" s="3">
        <v>1624.89</v>
      </c>
      <c r="J245" s="3">
        <f t="shared" si="22"/>
        <v>1494.8988000000002</v>
      </c>
      <c r="K245" s="3">
        <f t="shared" si="23"/>
        <v>52321.458000000006</v>
      </c>
      <c r="L245" s="3">
        <f t="shared" si="26"/>
        <v>44048.549999999996</v>
      </c>
      <c r="M245" s="8">
        <f t="shared" si="27"/>
        <v>8272.9080000000104</v>
      </c>
      <c r="N245" s="4">
        <f t="shared" si="24"/>
        <v>0.15811692403525929</v>
      </c>
      <c r="O245" s="4" t="str">
        <f t="shared" si="25"/>
        <v>Profit</v>
      </c>
      <c r="P245" t="s">
        <v>28</v>
      </c>
      <c r="Q245">
        <v>0.08</v>
      </c>
      <c r="R245" t="s">
        <v>29</v>
      </c>
      <c r="S245" t="s">
        <v>17</v>
      </c>
      <c r="T245" t="s">
        <v>41</v>
      </c>
      <c r="U245" t="str">
        <f t="shared" si="28"/>
        <v>Low-Cost</v>
      </c>
    </row>
    <row r="246" spans="1:21" x14ac:dyDescent="0.3">
      <c r="A246">
        <v>1024</v>
      </c>
      <c r="B246" s="1">
        <v>44967</v>
      </c>
      <c r="C246" s="2" t="s">
        <v>22</v>
      </c>
      <c r="D246" t="s">
        <v>32</v>
      </c>
      <c r="E246">
        <v>13</v>
      </c>
      <c r="F246" t="s">
        <v>27</v>
      </c>
      <c r="G246">
        <f>1</f>
        <v>1</v>
      </c>
      <c r="H246" s="3">
        <v>1493.88</v>
      </c>
      <c r="I246" s="3">
        <v>1781.09</v>
      </c>
      <c r="J246" s="3">
        <f t="shared" si="22"/>
        <v>1709.8463999999999</v>
      </c>
      <c r="K246" s="3">
        <f t="shared" si="23"/>
        <v>22228.003199999999</v>
      </c>
      <c r="L246" s="3">
        <f t="shared" si="26"/>
        <v>19420.440000000002</v>
      </c>
      <c r="M246" s="8">
        <f t="shared" si="27"/>
        <v>2807.5631999999969</v>
      </c>
      <c r="N246" s="4">
        <f t="shared" si="24"/>
        <v>0.12630748586539689</v>
      </c>
      <c r="O246" s="4" t="str">
        <f t="shared" si="25"/>
        <v>Profit</v>
      </c>
      <c r="P246" t="s">
        <v>28</v>
      </c>
      <c r="Q246">
        <v>0.04</v>
      </c>
      <c r="R246" t="s">
        <v>16</v>
      </c>
      <c r="S246" t="s">
        <v>20</v>
      </c>
      <c r="T246" t="s">
        <v>48</v>
      </c>
      <c r="U246" t="str">
        <f t="shared" si="28"/>
        <v>Low-Cost</v>
      </c>
    </row>
    <row r="247" spans="1:21" x14ac:dyDescent="0.3">
      <c r="A247">
        <v>1024</v>
      </c>
      <c r="B247" s="1">
        <v>45148</v>
      </c>
      <c r="C247" s="2" t="s">
        <v>36</v>
      </c>
      <c r="D247" t="s">
        <v>23</v>
      </c>
      <c r="E247">
        <v>30</v>
      </c>
      <c r="F247" t="s">
        <v>24</v>
      </c>
      <c r="G247">
        <f>1</f>
        <v>1</v>
      </c>
      <c r="H247" s="3">
        <v>1543.96</v>
      </c>
      <c r="I247" s="3">
        <v>1558.87</v>
      </c>
      <c r="J247" s="3">
        <f t="shared" si="22"/>
        <v>1122.3863999999999</v>
      </c>
      <c r="K247" s="3">
        <f t="shared" si="23"/>
        <v>33671.591999999997</v>
      </c>
      <c r="L247" s="3">
        <f t="shared" si="26"/>
        <v>46318.8</v>
      </c>
      <c r="M247" s="8">
        <f t="shared" si="27"/>
        <v>-12647.208000000006</v>
      </c>
      <c r="N247" s="4">
        <f t="shared" si="24"/>
        <v>-0.37560469371332389</v>
      </c>
      <c r="O247" s="4" t="str">
        <f t="shared" si="25"/>
        <v>Loss</v>
      </c>
      <c r="P247" t="s">
        <v>15</v>
      </c>
      <c r="Q247">
        <v>0.28000000000000003</v>
      </c>
      <c r="R247" t="s">
        <v>29</v>
      </c>
      <c r="S247" t="s">
        <v>17</v>
      </c>
      <c r="T247" t="s">
        <v>37</v>
      </c>
      <c r="U247" t="str">
        <f t="shared" si="28"/>
        <v>Low-Cost</v>
      </c>
    </row>
    <row r="248" spans="1:21" x14ac:dyDescent="0.3">
      <c r="A248">
        <v>1024</v>
      </c>
      <c r="B248" s="1">
        <v>45241</v>
      </c>
      <c r="C248" s="2" t="s">
        <v>36</v>
      </c>
      <c r="D248" t="s">
        <v>19</v>
      </c>
      <c r="E248">
        <v>21</v>
      </c>
      <c r="F248" t="s">
        <v>24</v>
      </c>
      <c r="G248">
        <f>1</f>
        <v>1</v>
      </c>
      <c r="H248" s="3">
        <v>622.01</v>
      </c>
      <c r="I248" s="3">
        <v>641.09</v>
      </c>
      <c r="J248" s="3">
        <f t="shared" si="22"/>
        <v>641.09</v>
      </c>
      <c r="K248" s="3">
        <f t="shared" si="23"/>
        <v>13462.890000000001</v>
      </c>
      <c r="L248" s="3">
        <f t="shared" si="26"/>
        <v>13062.21</v>
      </c>
      <c r="M248" s="8">
        <f t="shared" si="27"/>
        <v>400.68000000000211</v>
      </c>
      <c r="N248" s="4">
        <f t="shared" si="24"/>
        <v>2.9761811914083981E-2</v>
      </c>
      <c r="O248" s="4" t="str">
        <f t="shared" si="25"/>
        <v>Profit</v>
      </c>
      <c r="P248" t="s">
        <v>15</v>
      </c>
      <c r="Q248">
        <v>0</v>
      </c>
      <c r="R248" t="s">
        <v>25</v>
      </c>
      <c r="S248" t="s">
        <v>20</v>
      </c>
      <c r="T248" t="s">
        <v>39</v>
      </c>
      <c r="U248" t="str">
        <f t="shared" si="28"/>
        <v>Low-Cost</v>
      </c>
    </row>
    <row r="249" spans="1:21" x14ac:dyDescent="0.3">
      <c r="A249">
        <v>1024</v>
      </c>
      <c r="B249" s="1">
        <v>44940</v>
      </c>
      <c r="C249" s="2" t="s">
        <v>12</v>
      </c>
      <c r="D249" t="s">
        <v>23</v>
      </c>
      <c r="E249">
        <v>45</v>
      </c>
      <c r="F249" t="s">
        <v>27</v>
      </c>
      <c r="G249">
        <f>1</f>
        <v>1</v>
      </c>
      <c r="H249" s="3">
        <v>2693.99</v>
      </c>
      <c r="I249" s="3">
        <v>3045.94</v>
      </c>
      <c r="J249" s="3">
        <f t="shared" si="22"/>
        <v>3015.4805999999999</v>
      </c>
      <c r="K249" s="3">
        <f t="shared" si="23"/>
        <v>135696.62699999998</v>
      </c>
      <c r="L249" s="3">
        <f t="shared" si="26"/>
        <v>121229.54999999999</v>
      </c>
      <c r="M249" s="8">
        <f t="shared" si="27"/>
        <v>14467.07699999999</v>
      </c>
      <c r="N249" s="4">
        <f t="shared" si="24"/>
        <v>0.10661338693407606</v>
      </c>
      <c r="O249" s="4" t="str">
        <f t="shared" si="25"/>
        <v>Profit</v>
      </c>
      <c r="P249" t="s">
        <v>28</v>
      </c>
      <c r="Q249">
        <v>0.01</v>
      </c>
      <c r="R249" t="s">
        <v>16</v>
      </c>
      <c r="S249" t="s">
        <v>20</v>
      </c>
      <c r="T249" t="s">
        <v>30</v>
      </c>
      <c r="U249" t="str">
        <f t="shared" si="28"/>
        <v>High-Cost</v>
      </c>
    </row>
    <row r="250" spans="1:21" x14ac:dyDescent="0.3">
      <c r="A250">
        <v>1024</v>
      </c>
      <c r="B250" s="1">
        <v>45002</v>
      </c>
      <c r="C250" s="2" t="s">
        <v>36</v>
      </c>
      <c r="D250" t="s">
        <v>23</v>
      </c>
      <c r="E250">
        <v>46</v>
      </c>
      <c r="F250" t="s">
        <v>33</v>
      </c>
      <c r="G250">
        <f>1</f>
        <v>1</v>
      </c>
      <c r="H250" s="3">
        <v>2016.49</v>
      </c>
      <c r="I250" s="3">
        <v>2338.66</v>
      </c>
      <c r="J250" s="3">
        <f t="shared" si="22"/>
        <v>1894.3145999999999</v>
      </c>
      <c r="K250" s="3">
        <f t="shared" si="23"/>
        <v>87138.47159999999</v>
      </c>
      <c r="L250" s="3">
        <f t="shared" si="26"/>
        <v>92758.54</v>
      </c>
      <c r="M250" s="8">
        <f t="shared" si="27"/>
        <v>-5620.0684000000037</v>
      </c>
      <c r="N250" s="4">
        <f t="shared" si="24"/>
        <v>-6.4495834007719785E-2</v>
      </c>
      <c r="O250" s="4" t="str">
        <f t="shared" si="25"/>
        <v>Loss</v>
      </c>
      <c r="P250" t="s">
        <v>15</v>
      </c>
      <c r="Q250">
        <v>0.19</v>
      </c>
      <c r="R250" t="s">
        <v>25</v>
      </c>
      <c r="S250" t="s">
        <v>20</v>
      </c>
      <c r="T250" t="s">
        <v>37</v>
      </c>
      <c r="U250" t="str">
        <f t="shared" si="28"/>
        <v>Low-Cost</v>
      </c>
    </row>
    <row r="251" spans="1:21" x14ac:dyDescent="0.3">
      <c r="A251">
        <v>1024</v>
      </c>
      <c r="B251" s="1">
        <v>45040</v>
      </c>
      <c r="C251" s="2" t="s">
        <v>22</v>
      </c>
      <c r="D251" t="s">
        <v>13</v>
      </c>
      <c r="E251">
        <v>35</v>
      </c>
      <c r="F251" t="s">
        <v>14</v>
      </c>
      <c r="G251">
        <f>1</f>
        <v>1</v>
      </c>
      <c r="H251" s="3">
        <v>2051</v>
      </c>
      <c r="I251" s="3">
        <v>2121.5500000000002</v>
      </c>
      <c r="J251" s="3">
        <f t="shared" si="22"/>
        <v>1569.9470000000001</v>
      </c>
      <c r="K251" s="3">
        <f t="shared" si="23"/>
        <v>54948.144999999997</v>
      </c>
      <c r="L251" s="3">
        <f t="shared" si="26"/>
        <v>71785</v>
      </c>
      <c r="M251" s="8">
        <f t="shared" si="27"/>
        <v>-16836.855000000003</v>
      </c>
      <c r="N251" s="4">
        <f t="shared" si="24"/>
        <v>-0.30641352860956461</v>
      </c>
      <c r="O251" s="4" t="str">
        <f t="shared" si="25"/>
        <v>Loss</v>
      </c>
      <c r="P251" t="s">
        <v>15</v>
      </c>
      <c r="Q251">
        <v>0.26</v>
      </c>
      <c r="R251" t="s">
        <v>16</v>
      </c>
      <c r="S251" t="s">
        <v>20</v>
      </c>
      <c r="T251" t="s">
        <v>43</v>
      </c>
      <c r="U251" t="str">
        <f t="shared" si="28"/>
        <v>Low-Cost</v>
      </c>
    </row>
    <row r="252" spans="1:21" x14ac:dyDescent="0.3">
      <c r="A252">
        <v>1024</v>
      </c>
      <c r="B252" s="1">
        <v>45101</v>
      </c>
      <c r="C252" s="2" t="s">
        <v>40</v>
      </c>
      <c r="D252" t="s">
        <v>13</v>
      </c>
      <c r="E252">
        <v>43</v>
      </c>
      <c r="F252" t="s">
        <v>27</v>
      </c>
      <c r="G252">
        <f>1</f>
        <v>1</v>
      </c>
      <c r="H252" s="3">
        <v>3105.24</v>
      </c>
      <c r="I252" s="3">
        <v>3246.33</v>
      </c>
      <c r="J252" s="3">
        <f t="shared" si="22"/>
        <v>2434.7474999999999</v>
      </c>
      <c r="K252" s="3">
        <f t="shared" si="23"/>
        <v>104694.1425</v>
      </c>
      <c r="L252" s="3">
        <f t="shared" si="26"/>
        <v>133525.31999999998</v>
      </c>
      <c r="M252" s="8">
        <f t="shared" si="27"/>
        <v>-28831.177499999976</v>
      </c>
      <c r="N252" s="4">
        <f t="shared" si="24"/>
        <v>-0.27538481916502611</v>
      </c>
      <c r="O252" s="4" t="str">
        <f t="shared" si="25"/>
        <v>Loss</v>
      </c>
      <c r="P252" t="s">
        <v>28</v>
      </c>
      <c r="Q252">
        <v>0.25</v>
      </c>
      <c r="R252" t="s">
        <v>16</v>
      </c>
      <c r="S252" t="s">
        <v>17</v>
      </c>
      <c r="T252" t="s">
        <v>47</v>
      </c>
      <c r="U252" t="str">
        <f t="shared" si="28"/>
        <v>High-Cost</v>
      </c>
    </row>
    <row r="253" spans="1:21" x14ac:dyDescent="0.3">
      <c r="A253">
        <v>1024</v>
      </c>
      <c r="B253" s="1">
        <v>45254</v>
      </c>
      <c r="C253" s="2" t="s">
        <v>40</v>
      </c>
      <c r="D253" t="s">
        <v>23</v>
      </c>
      <c r="E253">
        <v>22</v>
      </c>
      <c r="F253" t="s">
        <v>24</v>
      </c>
      <c r="G253">
        <f>1</f>
        <v>1</v>
      </c>
      <c r="H253" s="3">
        <v>4691.32</v>
      </c>
      <c r="I253" s="3">
        <v>4752.88</v>
      </c>
      <c r="J253" s="3">
        <f t="shared" si="22"/>
        <v>4420.1783999999998</v>
      </c>
      <c r="K253" s="3">
        <f t="shared" si="23"/>
        <v>97243.924799999993</v>
      </c>
      <c r="L253" s="3">
        <f t="shared" si="26"/>
        <v>103209.04</v>
      </c>
      <c r="M253" s="8">
        <f t="shared" si="27"/>
        <v>-5965.1152000000002</v>
      </c>
      <c r="N253" s="4">
        <f t="shared" si="24"/>
        <v>-6.134177751739614E-2</v>
      </c>
      <c r="O253" s="4" t="str">
        <f t="shared" si="25"/>
        <v>Loss</v>
      </c>
      <c r="P253" t="s">
        <v>15</v>
      </c>
      <c r="Q253">
        <v>7.0000000000000007E-2</v>
      </c>
      <c r="R253" t="s">
        <v>25</v>
      </c>
      <c r="S253" t="s">
        <v>20</v>
      </c>
      <c r="T253" t="s">
        <v>41</v>
      </c>
      <c r="U253" t="str">
        <f t="shared" si="28"/>
        <v>High-Cost</v>
      </c>
    </row>
    <row r="254" spans="1:21" x14ac:dyDescent="0.3">
      <c r="A254">
        <v>1024</v>
      </c>
      <c r="B254" s="1">
        <v>45163</v>
      </c>
      <c r="C254" s="2" t="s">
        <v>22</v>
      </c>
      <c r="D254" t="s">
        <v>23</v>
      </c>
      <c r="E254">
        <v>42</v>
      </c>
      <c r="F254" t="s">
        <v>33</v>
      </c>
      <c r="G254">
        <f>1</f>
        <v>1</v>
      </c>
      <c r="H254" s="3">
        <v>1586.02</v>
      </c>
      <c r="I254" s="3">
        <v>2047.13</v>
      </c>
      <c r="J254" s="3">
        <f t="shared" si="22"/>
        <v>1535.3475000000001</v>
      </c>
      <c r="K254" s="3">
        <f t="shared" si="23"/>
        <v>64484.595000000001</v>
      </c>
      <c r="L254" s="3">
        <f t="shared" si="26"/>
        <v>66612.84</v>
      </c>
      <c r="M254" s="8">
        <f t="shared" si="27"/>
        <v>-2128.2449999999953</v>
      </c>
      <c r="N254" s="4">
        <f t="shared" si="24"/>
        <v>-3.3003929077944825E-2</v>
      </c>
      <c r="O254" s="4" t="str">
        <f t="shared" si="25"/>
        <v>Loss</v>
      </c>
      <c r="P254" t="s">
        <v>28</v>
      </c>
      <c r="Q254">
        <v>0.25</v>
      </c>
      <c r="R254" t="s">
        <v>16</v>
      </c>
      <c r="S254" t="s">
        <v>20</v>
      </c>
      <c r="T254" t="s">
        <v>26</v>
      </c>
      <c r="U254" t="str">
        <f t="shared" si="28"/>
        <v>Low-Cost</v>
      </c>
    </row>
    <row r="255" spans="1:21" x14ac:dyDescent="0.3">
      <c r="A255">
        <v>1024</v>
      </c>
      <c r="B255" s="1">
        <v>45286</v>
      </c>
      <c r="C255" s="2" t="s">
        <v>22</v>
      </c>
      <c r="D255" t="s">
        <v>13</v>
      </c>
      <c r="E255">
        <v>17</v>
      </c>
      <c r="F255" t="s">
        <v>14</v>
      </c>
      <c r="G255">
        <f>1</f>
        <v>1</v>
      </c>
      <c r="H255" s="3">
        <v>4114.66</v>
      </c>
      <c r="I255" s="3">
        <v>4269.0200000000004</v>
      </c>
      <c r="J255" s="3">
        <f t="shared" si="22"/>
        <v>3116.3846000000003</v>
      </c>
      <c r="K255" s="3">
        <f t="shared" si="23"/>
        <v>52978.53820000001</v>
      </c>
      <c r="L255" s="3">
        <f t="shared" si="26"/>
        <v>69949.22</v>
      </c>
      <c r="M255" s="8">
        <f t="shared" si="27"/>
        <v>-16970.681799999991</v>
      </c>
      <c r="N255" s="4">
        <f t="shared" si="24"/>
        <v>-0.32033125821504804</v>
      </c>
      <c r="O255" s="4" t="str">
        <f t="shared" si="25"/>
        <v>Loss</v>
      </c>
      <c r="P255" t="s">
        <v>15</v>
      </c>
      <c r="Q255">
        <v>0.27</v>
      </c>
      <c r="R255" t="s">
        <v>25</v>
      </c>
      <c r="S255" t="s">
        <v>20</v>
      </c>
      <c r="T255" t="s">
        <v>43</v>
      </c>
      <c r="U255" t="str">
        <f t="shared" si="28"/>
        <v>High-Cost</v>
      </c>
    </row>
    <row r="256" spans="1:21" x14ac:dyDescent="0.3">
      <c r="A256">
        <v>1024</v>
      </c>
      <c r="B256" s="1">
        <v>45043</v>
      </c>
      <c r="C256" s="2" t="s">
        <v>40</v>
      </c>
      <c r="D256" t="s">
        <v>19</v>
      </c>
      <c r="E256">
        <v>42</v>
      </c>
      <c r="F256" t="s">
        <v>24</v>
      </c>
      <c r="G256">
        <f>1</f>
        <v>1</v>
      </c>
      <c r="H256" s="3">
        <v>2069.0500000000002</v>
      </c>
      <c r="I256" s="3">
        <v>2363.9</v>
      </c>
      <c r="J256" s="3">
        <f t="shared" si="22"/>
        <v>2198.4270000000001</v>
      </c>
      <c r="K256" s="3">
        <f t="shared" si="23"/>
        <v>92333.933999999994</v>
      </c>
      <c r="L256" s="3">
        <f t="shared" si="26"/>
        <v>86900.1</v>
      </c>
      <c r="M256" s="8">
        <f t="shared" si="27"/>
        <v>5433.833999999988</v>
      </c>
      <c r="N256" s="4">
        <f t="shared" si="24"/>
        <v>5.884980488321865E-2</v>
      </c>
      <c r="O256" s="4" t="str">
        <f t="shared" si="25"/>
        <v>Profit</v>
      </c>
      <c r="P256" t="s">
        <v>15</v>
      </c>
      <c r="Q256">
        <v>7.0000000000000007E-2</v>
      </c>
      <c r="R256" t="s">
        <v>16</v>
      </c>
      <c r="S256" t="s">
        <v>17</v>
      </c>
      <c r="T256" t="s">
        <v>49</v>
      </c>
      <c r="U256" t="str">
        <f t="shared" si="28"/>
        <v>Low-Cost</v>
      </c>
    </row>
    <row r="257" spans="1:21" x14ac:dyDescent="0.3">
      <c r="A257">
        <v>1024</v>
      </c>
      <c r="B257" s="1">
        <v>45289</v>
      </c>
      <c r="C257" s="2" t="s">
        <v>36</v>
      </c>
      <c r="D257" t="s">
        <v>13</v>
      </c>
      <c r="E257">
        <v>5</v>
      </c>
      <c r="F257" t="s">
        <v>14</v>
      </c>
      <c r="G257">
        <f>1</f>
        <v>1</v>
      </c>
      <c r="H257" s="3">
        <v>3417.9</v>
      </c>
      <c r="I257" s="3">
        <v>3714.52</v>
      </c>
      <c r="J257" s="3">
        <f t="shared" si="22"/>
        <v>2711.5996</v>
      </c>
      <c r="K257" s="3">
        <f t="shared" si="23"/>
        <v>13557.997999999998</v>
      </c>
      <c r="L257" s="3">
        <f t="shared" si="26"/>
        <v>17089.5</v>
      </c>
      <c r="M257" s="8">
        <f t="shared" si="27"/>
        <v>-3531.5020000000022</v>
      </c>
      <c r="N257" s="4">
        <f t="shared" si="24"/>
        <v>-0.26047370710631484</v>
      </c>
      <c r="O257" s="4" t="str">
        <f t="shared" si="25"/>
        <v>Loss</v>
      </c>
      <c r="P257" t="s">
        <v>15</v>
      </c>
      <c r="Q257">
        <v>0.27</v>
      </c>
      <c r="R257" t="s">
        <v>29</v>
      </c>
      <c r="S257" t="s">
        <v>20</v>
      </c>
      <c r="T257" t="s">
        <v>38</v>
      </c>
      <c r="U257" t="str">
        <f t="shared" si="28"/>
        <v>High-Cost</v>
      </c>
    </row>
    <row r="258" spans="1:21" x14ac:dyDescent="0.3">
      <c r="A258">
        <v>1025</v>
      </c>
      <c r="B258" s="1">
        <v>45118</v>
      </c>
      <c r="C258" s="2" t="s">
        <v>31</v>
      </c>
      <c r="D258" t="s">
        <v>19</v>
      </c>
      <c r="E258">
        <v>40</v>
      </c>
      <c r="F258" t="s">
        <v>33</v>
      </c>
      <c r="G258">
        <f>1</f>
        <v>1</v>
      </c>
      <c r="H258" s="3">
        <v>2983.85</v>
      </c>
      <c r="I258" s="3">
        <v>3239.74</v>
      </c>
      <c r="J258" s="3">
        <f t="shared" ref="J258:J321" si="29">I258*(1-Q258)</f>
        <v>2365.0101999999997</v>
      </c>
      <c r="K258" s="3">
        <f t="shared" ref="K258:K321" si="30">E258*I258*(1-Q258)</f>
        <v>94600.407999999996</v>
      </c>
      <c r="L258" s="3">
        <f t="shared" si="26"/>
        <v>119354</v>
      </c>
      <c r="M258" s="8">
        <f t="shared" si="27"/>
        <v>-24753.592000000004</v>
      </c>
      <c r="N258" s="4">
        <f t="shared" ref="N258:N321" si="31">(M258/K258)</f>
        <v>-0.26166474884548074</v>
      </c>
      <c r="O258" s="4" t="str">
        <f t="shared" ref="O258:O321" si="32">IF(M258&lt;0,"Loss","Profit")</f>
        <v>Loss</v>
      </c>
      <c r="P258" t="s">
        <v>28</v>
      </c>
      <c r="Q258">
        <v>0.27</v>
      </c>
      <c r="R258" t="s">
        <v>29</v>
      </c>
      <c r="S258" t="s">
        <v>17</v>
      </c>
      <c r="T258" t="s">
        <v>35</v>
      </c>
      <c r="U258" t="str">
        <f t="shared" si="28"/>
        <v>High-Cost</v>
      </c>
    </row>
    <row r="259" spans="1:21" x14ac:dyDescent="0.3">
      <c r="A259">
        <v>1025</v>
      </c>
      <c r="B259" s="1">
        <v>44972</v>
      </c>
      <c r="C259" s="2" t="s">
        <v>22</v>
      </c>
      <c r="D259" t="s">
        <v>23</v>
      </c>
      <c r="E259">
        <v>45</v>
      </c>
      <c r="F259" t="s">
        <v>27</v>
      </c>
      <c r="G259">
        <f>1</f>
        <v>1</v>
      </c>
      <c r="H259" s="3">
        <v>1588.04</v>
      </c>
      <c r="I259" s="3">
        <v>1703.64</v>
      </c>
      <c r="J259" s="3">
        <f t="shared" si="29"/>
        <v>1362.9120000000003</v>
      </c>
      <c r="K259" s="3">
        <f t="shared" si="30"/>
        <v>61331.040000000008</v>
      </c>
      <c r="L259" s="3">
        <f t="shared" ref="L259:L322" si="33">H259*E259</f>
        <v>71461.8</v>
      </c>
      <c r="M259" s="8">
        <f t="shared" ref="M259:M322" si="34">K259-L259</f>
        <v>-10130.759999999995</v>
      </c>
      <c r="N259" s="4">
        <f t="shared" si="31"/>
        <v>-0.16518161113850333</v>
      </c>
      <c r="O259" s="4" t="str">
        <f t="shared" si="32"/>
        <v>Loss</v>
      </c>
      <c r="P259" t="s">
        <v>28</v>
      </c>
      <c r="Q259">
        <v>0.2</v>
      </c>
      <c r="R259" t="s">
        <v>25</v>
      </c>
      <c r="S259" t="s">
        <v>20</v>
      </c>
      <c r="T259" t="s">
        <v>26</v>
      </c>
      <c r="U259" t="str">
        <f t="shared" si="28"/>
        <v>Low-Cost</v>
      </c>
    </row>
    <row r="260" spans="1:21" x14ac:dyDescent="0.3">
      <c r="A260">
        <v>1025</v>
      </c>
      <c r="B260" s="1">
        <v>45214</v>
      </c>
      <c r="C260" s="2" t="s">
        <v>22</v>
      </c>
      <c r="D260" t="s">
        <v>13</v>
      </c>
      <c r="E260">
        <v>44</v>
      </c>
      <c r="F260" t="s">
        <v>24</v>
      </c>
      <c r="G260">
        <f>1</f>
        <v>1</v>
      </c>
      <c r="H260" s="3">
        <v>1485.72</v>
      </c>
      <c r="I260" s="3">
        <v>1717.97</v>
      </c>
      <c r="J260" s="3">
        <f t="shared" si="29"/>
        <v>1683.6106</v>
      </c>
      <c r="K260" s="3">
        <f t="shared" si="30"/>
        <v>74078.866399999999</v>
      </c>
      <c r="L260" s="3">
        <f t="shared" si="33"/>
        <v>65371.68</v>
      </c>
      <c r="M260" s="8">
        <f t="shared" si="34"/>
        <v>8707.1863999999987</v>
      </c>
      <c r="N260" s="4">
        <f t="shared" si="31"/>
        <v>0.11753941202318396</v>
      </c>
      <c r="O260" s="4" t="str">
        <f t="shared" si="32"/>
        <v>Profit</v>
      </c>
      <c r="P260" t="s">
        <v>28</v>
      </c>
      <c r="Q260">
        <v>0.02</v>
      </c>
      <c r="R260" t="s">
        <v>29</v>
      </c>
      <c r="S260" t="s">
        <v>20</v>
      </c>
      <c r="T260" t="s">
        <v>43</v>
      </c>
      <c r="U260" t="str">
        <f t="shared" si="28"/>
        <v>Low-Cost</v>
      </c>
    </row>
    <row r="261" spans="1:21" x14ac:dyDescent="0.3">
      <c r="A261">
        <v>1025</v>
      </c>
      <c r="B261" s="1">
        <v>45188</v>
      </c>
      <c r="C261" s="2" t="s">
        <v>40</v>
      </c>
      <c r="D261" t="s">
        <v>32</v>
      </c>
      <c r="E261">
        <v>26</v>
      </c>
      <c r="F261" t="s">
        <v>33</v>
      </c>
      <c r="G261">
        <f>1</f>
        <v>1</v>
      </c>
      <c r="H261" s="3">
        <v>2007.32</v>
      </c>
      <c r="I261" s="3">
        <v>2202.87</v>
      </c>
      <c r="J261" s="3">
        <f t="shared" si="29"/>
        <v>1960.5543</v>
      </c>
      <c r="K261" s="3">
        <f t="shared" si="30"/>
        <v>50974.411799999994</v>
      </c>
      <c r="L261" s="3">
        <f t="shared" si="33"/>
        <v>52190.32</v>
      </c>
      <c r="M261" s="8">
        <f t="shared" si="34"/>
        <v>-1215.9082000000053</v>
      </c>
      <c r="N261" s="4">
        <f t="shared" si="31"/>
        <v>-2.3853305159668471E-2</v>
      </c>
      <c r="O261" s="4" t="str">
        <f t="shared" si="32"/>
        <v>Loss</v>
      </c>
      <c r="P261" t="s">
        <v>15</v>
      </c>
      <c r="Q261">
        <v>0.11</v>
      </c>
      <c r="R261" t="s">
        <v>16</v>
      </c>
      <c r="S261" t="s">
        <v>17</v>
      </c>
      <c r="T261" t="s">
        <v>50</v>
      </c>
      <c r="U261" t="str">
        <f t="shared" si="28"/>
        <v>Low-Cost</v>
      </c>
    </row>
    <row r="262" spans="1:21" x14ac:dyDescent="0.3">
      <c r="A262">
        <v>1025</v>
      </c>
      <c r="B262" s="1">
        <v>45282</v>
      </c>
      <c r="C262" s="2" t="s">
        <v>12</v>
      </c>
      <c r="D262" t="s">
        <v>23</v>
      </c>
      <c r="E262">
        <v>11</v>
      </c>
      <c r="F262" t="s">
        <v>24</v>
      </c>
      <c r="G262">
        <f>1</f>
        <v>1</v>
      </c>
      <c r="H262" s="3">
        <v>1250.5899999999999</v>
      </c>
      <c r="I262" s="3">
        <v>1515.49</v>
      </c>
      <c r="J262" s="3">
        <f t="shared" si="29"/>
        <v>1197.2371000000001</v>
      </c>
      <c r="K262" s="3">
        <f t="shared" si="30"/>
        <v>13169.608099999999</v>
      </c>
      <c r="L262" s="3">
        <f t="shared" si="33"/>
        <v>13756.49</v>
      </c>
      <c r="M262" s="8">
        <f t="shared" si="34"/>
        <v>-586.88190000000031</v>
      </c>
      <c r="N262" s="4">
        <f t="shared" si="31"/>
        <v>-4.456335340760826E-2</v>
      </c>
      <c r="O262" s="4" t="str">
        <f t="shared" si="32"/>
        <v>Loss</v>
      </c>
      <c r="P262" t="s">
        <v>15</v>
      </c>
      <c r="Q262">
        <v>0.21</v>
      </c>
      <c r="R262" t="s">
        <v>25</v>
      </c>
      <c r="S262" t="s">
        <v>20</v>
      </c>
      <c r="T262" t="s">
        <v>30</v>
      </c>
      <c r="U262" t="str">
        <f t="shared" si="28"/>
        <v>Low-Cost</v>
      </c>
    </row>
    <row r="263" spans="1:21" x14ac:dyDescent="0.3">
      <c r="A263">
        <v>1025</v>
      </c>
      <c r="B263" s="1">
        <v>45103</v>
      </c>
      <c r="C263" s="2" t="s">
        <v>22</v>
      </c>
      <c r="D263" t="s">
        <v>13</v>
      </c>
      <c r="E263">
        <v>47</v>
      </c>
      <c r="F263" t="s">
        <v>14</v>
      </c>
      <c r="G263">
        <f>1</f>
        <v>1</v>
      </c>
      <c r="H263" s="3">
        <v>3861.61</v>
      </c>
      <c r="I263" s="3">
        <v>3998.91</v>
      </c>
      <c r="J263" s="3">
        <f t="shared" si="29"/>
        <v>2999.1824999999999</v>
      </c>
      <c r="K263" s="3">
        <f t="shared" si="30"/>
        <v>140961.57749999998</v>
      </c>
      <c r="L263" s="3">
        <f t="shared" si="33"/>
        <v>181495.67</v>
      </c>
      <c r="M263" s="8">
        <f t="shared" si="34"/>
        <v>-40534.092500000028</v>
      </c>
      <c r="N263" s="4">
        <f t="shared" si="31"/>
        <v>-0.28755419185061287</v>
      </c>
      <c r="O263" s="4" t="str">
        <f t="shared" si="32"/>
        <v>Loss</v>
      </c>
      <c r="P263" t="s">
        <v>28</v>
      </c>
      <c r="Q263">
        <v>0.25</v>
      </c>
      <c r="R263" t="s">
        <v>29</v>
      </c>
      <c r="S263" t="s">
        <v>17</v>
      </c>
      <c r="T263" t="s">
        <v>43</v>
      </c>
      <c r="U263" t="str">
        <f t="shared" si="28"/>
        <v>High-Cost</v>
      </c>
    </row>
    <row r="264" spans="1:21" x14ac:dyDescent="0.3">
      <c r="A264">
        <v>1025</v>
      </c>
      <c r="B264" s="1">
        <v>44985</v>
      </c>
      <c r="C264" s="2" t="s">
        <v>12</v>
      </c>
      <c r="D264" t="s">
        <v>32</v>
      </c>
      <c r="E264">
        <v>14</v>
      </c>
      <c r="F264" t="s">
        <v>33</v>
      </c>
      <c r="G264">
        <f>1</f>
        <v>1</v>
      </c>
      <c r="H264" s="3">
        <v>859.59</v>
      </c>
      <c r="I264" s="3">
        <v>884.51</v>
      </c>
      <c r="J264" s="3">
        <f t="shared" si="29"/>
        <v>778.36879999999996</v>
      </c>
      <c r="K264" s="3">
        <f t="shared" si="30"/>
        <v>10897.163199999999</v>
      </c>
      <c r="L264" s="3">
        <f t="shared" si="33"/>
        <v>12034.26</v>
      </c>
      <c r="M264" s="8">
        <f t="shared" si="34"/>
        <v>-1137.0968000000012</v>
      </c>
      <c r="N264" s="4">
        <f t="shared" si="31"/>
        <v>-0.10434796461523135</v>
      </c>
      <c r="O264" s="4" t="str">
        <f t="shared" si="32"/>
        <v>Loss</v>
      </c>
      <c r="P264" t="s">
        <v>28</v>
      </c>
      <c r="Q264">
        <v>0.12</v>
      </c>
      <c r="R264" t="s">
        <v>25</v>
      </c>
      <c r="S264" t="s">
        <v>17</v>
      </c>
      <c r="T264" t="s">
        <v>44</v>
      </c>
      <c r="U264" t="str">
        <f t="shared" ref="U264:U327" si="35">IF(I264 &gt;=2800, "High-Cost", "Low-Cost")</f>
        <v>Low-Cost</v>
      </c>
    </row>
    <row r="265" spans="1:21" x14ac:dyDescent="0.3">
      <c r="A265">
        <v>1025</v>
      </c>
      <c r="B265" s="1">
        <v>45135</v>
      </c>
      <c r="C265" s="2" t="s">
        <v>22</v>
      </c>
      <c r="D265" t="s">
        <v>19</v>
      </c>
      <c r="E265">
        <v>37</v>
      </c>
      <c r="F265" t="s">
        <v>33</v>
      </c>
      <c r="G265">
        <f>1</f>
        <v>1</v>
      </c>
      <c r="H265" s="3">
        <v>1115.02</v>
      </c>
      <c r="I265" s="3">
        <v>1174.48</v>
      </c>
      <c r="J265" s="3">
        <f t="shared" si="29"/>
        <v>916.09440000000006</v>
      </c>
      <c r="K265" s="3">
        <f t="shared" si="30"/>
        <v>33895.4928</v>
      </c>
      <c r="L265" s="3">
        <f t="shared" si="33"/>
        <v>41255.74</v>
      </c>
      <c r="M265" s="8">
        <f t="shared" si="34"/>
        <v>-7360.247199999998</v>
      </c>
      <c r="N265" s="4">
        <f t="shared" si="31"/>
        <v>-0.21714530729584194</v>
      </c>
      <c r="O265" s="4" t="str">
        <f t="shared" si="32"/>
        <v>Loss</v>
      </c>
      <c r="P265" t="s">
        <v>28</v>
      </c>
      <c r="Q265">
        <v>0.22</v>
      </c>
      <c r="R265" t="s">
        <v>29</v>
      </c>
      <c r="S265" t="s">
        <v>17</v>
      </c>
      <c r="T265" t="s">
        <v>45</v>
      </c>
      <c r="U265" t="str">
        <f t="shared" si="35"/>
        <v>Low-Cost</v>
      </c>
    </row>
    <row r="266" spans="1:21" x14ac:dyDescent="0.3">
      <c r="A266">
        <v>1025</v>
      </c>
      <c r="B266" s="1">
        <v>45290</v>
      </c>
      <c r="C266" s="2" t="s">
        <v>22</v>
      </c>
      <c r="D266" t="s">
        <v>19</v>
      </c>
      <c r="E266">
        <v>28</v>
      </c>
      <c r="F266" t="s">
        <v>33</v>
      </c>
      <c r="G266">
        <f>1</f>
        <v>1</v>
      </c>
      <c r="H266" s="3">
        <v>2097.84</v>
      </c>
      <c r="I266" s="3">
        <v>2270.9899999999998</v>
      </c>
      <c r="J266" s="3">
        <f t="shared" si="29"/>
        <v>1975.7612999999999</v>
      </c>
      <c r="K266" s="3">
        <f t="shared" si="30"/>
        <v>55321.316399999996</v>
      </c>
      <c r="L266" s="3">
        <f t="shared" si="33"/>
        <v>58739.520000000004</v>
      </c>
      <c r="M266" s="8">
        <f t="shared" si="34"/>
        <v>-3418.203600000008</v>
      </c>
      <c r="N266" s="4">
        <f t="shared" si="31"/>
        <v>-6.1788182610925869E-2</v>
      </c>
      <c r="O266" s="4" t="str">
        <f t="shared" si="32"/>
        <v>Loss</v>
      </c>
      <c r="P266" t="s">
        <v>28</v>
      </c>
      <c r="Q266">
        <v>0.13</v>
      </c>
      <c r="R266" t="s">
        <v>29</v>
      </c>
      <c r="S266" t="s">
        <v>20</v>
      </c>
      <c r="T266" t="s">
        <v>45</v>
      </c>
      <c r="U266" t="str">
        <f t="shared" si="35"/>
        <v>Low-Cost</v>
      </c>
    </row>
    <row r="267" spans="1:21" x14ac:dyDescent="0.3">
      <c r="A267">
        <v>1025</v>
      </c>
      <c r="B267" s="1">
        <v>45016</v>
      </c>
      <c r="C267" s="2" t="s">
        <v>22</v>
      </c>
      <c r="D267" t="s">
        <v>19</v>
      </c>
      <c r="E267">
        <v>4</v>
      </c>
      <c r="F267" t="s">
        <v>14</v>
      </c>
      <c r="G267">
        <f>1</f>
        <v>1</v>
      </c>
      <c r="H267" s="3">
        <v>2751.06</v>
      </c>
      <c r="I267" s="3">
        <v>2976.01</v>
      </c>
      <c r="J267" s="3">
        <f t="shared" si="29"/>
        <v>2142.7272000000003</v>
      </c>
      <c r="K267" s="3">
        <f t="shared" si="30"/>
        <v>8570.9088000000011</v>
      </c>
      <c r="L267" s="3">
        <f t="shared" si="33"/>
        <v>11004.24</v>
      </c>
      <c r="M267" s="8">
        <f t="shared" si="34"/>
        <v>-2433.3311999999987</v>
      </c>
      <c r="N267" s="4">
        <f t="shared" si="31"/>
        <v>-0.28390585605111074</v>
      </c>
      <c r="O267" s="4" t="str">
        <f t="shared" si="32"/>
        <v>Loss</v>
      </c>
      <c r="P267" t="s">
        <v>15</v>
      </c>
      <c r="Q267">
        <v>0.28000000000000003</v>
      </c>
      <c r="R267" t="s">
        <v>29</v>
      </c>
      <c r="S267" t="s">
        <v>17</v>
      </c>
      <c r="T267" t="s">
        <v>45</v>
      </c>
      <c r="U267" t="str">
        <f t="shared" si="35"/>
        <v>High-Cost</v>
      </c>
    </row>
    <row r="268" spans="1:21" x14ac:dyDescent="0.3">
      <c r="A268">
        <v>1026</v>
      </c>
      <c r="B268" s="1">
        <v>45231</v>
      </c>
      <c r="C268" s="2" t="s">
        <v>40</v>
      </c>
      <c r="D268" t="s">
        <v>23</v>
      </c>
      <c r="E268">
        <v>36</v>
      </c>
      <c r="F268" t="s">
        <v>27</v>
      </c>
      <c r="G268">
        <f>1</f>
        <v>1</v>
      </c>
      <c r="H268" s="3">
        <v>3067.05</v>
      </c>
      <c r="I268" s="3">
        <v>3386.33</v>
      </c>
      <c r="J268" s="3">
        <f t="shared" si="29"/>
        <v>2709.0640000000003</v>
      </c>
      <c r="K268" s="3">
        <f t="shared" si="30"/>
        <v>97526.304000000004</v>
      </c>
      <c r="L268" s="3">
        <f t="shared" si="33"/>
        <v>110413.8</v>
      </c>
      <c r="M268" s="8">
        <f t="shared" si="34"/>
        <v>-12887.495999999999</v>
      </c>
      <c r="N268" s="4">
        <f t="shared" si="31"/>
        <v>-0.13214379579072327</v>
      </c>
      <c r="O268" s="4" t="str">
        <f t="shared" si="32"/>
        <v>Loss</v>
      </c>
      <c r="P268" t="s">
        <v>28</v>
      </c>
      <c r="Q268">
        <v>0.2</v>
      </c>
      <c r="R268" t="s">
        <v>25</v>
      </c>
      <c r="S268" t="s">
        <v>17</v>
      </c>
      <c r="T268" t="s">
        <v>41</v>
      </c>
      <c r="U268" t="str">
        <f t="shared" si="35"/>
        <v>High-Cost</v>
      </c>
    </row>
    <row r="269" spans="1:21" x14ac:dyDescent="0.3">
      <c r="A269">
        <v>1026</v>
      </c>
      <c r="B269" s="1">
        <v>44961</v>
      </c>
      <c r="C269" s="2" t="s">
        <v>40</v>
      </c>
      <c r="D269" t="s">
        <v>19</v>
      </c>
      <c r="E269">
        <v>19</v>
      </c>
      <c r="F269" t="s">
        <v>33</v>
      </c>
      <c r="G269">
        <f>1</f>
        <v>1</v>
      </c>
      <c r="H269" s="3">
        <v>1265.48</v>
      </c>
      <c r="I269" s="3">
        <v>1715.83</v>
      </c>
      <c r="J269" s="3">
        <f t="shared" si="29"/>
        <v>1630.0384999999999</v>
      </c>
      <c r="K269" s="3">
        <f t="shared" si="30"/>
        <v>30970.731499999994</v>
      </c>
      <c r="L269" s="3">
        <f t="shared" si="33"/>
        <v>24044.12</v>
      </c>
      <c r="M269" s="8">
        <f t="shared" si="34"/>
        <v>6926.6114999999954</v>
      </c>
      <c r="N269" s="4">
        <f t="shared" si="31"/>
        <v>0.22365023893607411</v>
      </c>
      <c r="O269" s="4" t="str">
        <f t="shared" si="32"/>
        <v>Profit</v>
      </c>
      <c r="P269" t="s">
        <v>28</v>
      </c>
      <c r="Q269">
        <v>0.05</v>
      </c>
      <c r="R269" t="s">
        <v>29</v>
      </c>
      <c r="S269" t="s">
        <v>20</v>
      </c>
      <c r="T269" t="s">
        <v>49</v>
      </c>
      <c r="U269" t="str">
        <f t="shared" si="35"/>
        <v>Low-Cost</v>
      </c>
    </row>
    <row r="270" spans="1:21" x14ac:dyDescent="0.3">
      <c r="A270">
        <v>1026</v>
      </c>
      <c r="B270" s="1">
        <v>44963</v>
      </c>
      <c r="C270" s="2" t="s">
        <v>12</v>
      </c>
      <c r="D270" t="s">
        <v>19</v>
      </c>
      <c r="E270">
        <v>34</v>
      </c>
      <c r="F270" t="s">
        <v>33</v>
      </c>
      <c r="G270">
        <f>1</f>
        <v>1</v>
      </c>
      <c r="H270" s="3">
        <v>68.33</v>
      </c>
      <c r="I270" s="3">
        <v>219.08</v>
      </c>
      <c r="J270" s="3">
        <f t="shared" si="29"/>
        <v>214.69840000000002</v>
      </c>
      <c r="K270" s="3">
        <f t="shared" si="30"/>
        <v>7299.7456000000002</v>
      </c>
      <c r="L270" s="3">
        <f t="shared" si="33"/>
        <v>2323.2199999999998</v>
      </c>
      <c r="M270" s="8">
        <f t="shared" si="34"/>
        <v>4976.5256000000008</v>
      </c>
      <c r="N270" s="4">
        <f t="shared" si="31"/>
        <v>0.68173959377433657</v>
      </c>
      <c r="O270" s="4" t="str">
        <f t="shared" si="32"/>
        <v>Profit</v>
      </c>
      <c r="P270" t="s">
        <v>28</v>
      </c>
      <c r="Q270">
        <v>0.02</v>
      </c>
      <c r="R270" t="s">
        <v>29</v>
      </c>
      <c r="S270" t="s">
        <v>17</v>
      </c>
      <c r="T270" t="s">
        <v>21</v>
      </c>
      <c r="U270" t="str">
        <f t="shared" si="35"/>
        <v>Low-Cost</v>
      </c>
    </row>
    <row r="271" spans="1:21" x14ac:dyDescent="0.3">
      <c r="A271">
        <v>1026</v>
      </c>
      <c r="B271" s="1">
        <v>45022</v>
      </c>
      <c r="C271" s="2" t="s">
        <v>12</v>
      </c>
      <c r="D271" t="s">
        <v>23</v>
      </c>
      <c r="E271">
        <v>4</v>
      </c>
      <c r="F271" t="s">
        <v>33</v>
      </c>
      <c r="G271">
        <f>1</f>
        <v>1</v>
      </c>
      <c r="H271" s="3">
        <v>3993.39</v>
      </c>
      <c r="I271" s="3">
        <v>4288.3</v>
      </c>
      <c r="J271" s="3">
        <f t="shared" si="29"/>
        <v>3730.8209999999999</v>
      </c>
      <c r="K271" s="3">
        <f t="shared" si="30"/>
        <v>14923.284</v>
      </c>
      <c r="L271" s="3">
        <f t="shared" si="33"/>
        <v>15973.56</v>
      </c>
      <c r="M271" s="8">
        <f t="shared" si="34"/>
        <v>-1050.2759999999998</v>
      </c>
      <c r="N271" s="4">
        <f t="shared" si="31"/>
        <v>-7.0378342997426027E-2</v>
      </c>
      <c r="O271" s="4" t="str">
        <f t="shared" si="32"/>
        <v>Loss</v>
      </c>
      <c r="P271" t="s">
        <v>28</v>
      </c>
      <c r="Q271">
        <v>0.13</v>
      </c>
      <c r="R271" t="s">
        <v>29</v>
      </c>
      <c r="S271" t="s">
        <v>17</v>
      </c>
      <c r="T271" t="s">
        <v>30</v>
      </c>
      <c r="U271" t="str">
        <f t="shared" si="35"/>
        <v>High-Cost</v>
      </c>
    </row>
    <row r="272" spans="1:21" x14ac:dyDescent="0.3">
      <c r="A272">
        <v>1026</v>
      </c>
      <c r="B272" s="1">
        <v>45054</v>
      </c>
      <c r="C272" s="2" t="s">
        <v>31</v>
      </c>
      <c r="D272" t="s">
        <v>19</v>
      </c>
      <c r="E272">
        <v>20</v>
      </c>
      <c r="F272" t="s">
        <v>27</v>
      </c>
      <c r="G272">
        <f>1</f>
        <v>1</v>
      </c>
      <c r="H272" s="3">
        <v>2985.63</v>
      </c>
      <c r="I272" s="3">
        <v>3452.14</v>
      </c>
      <c r="J272" s="3">
        <f t="shared" si="29"/>
        <v>2865.2761999999998</v>
      </c>
      <c r="K272" s="3">
        <f t="shared" si="30"/>
        <v>57305.523999999998</v>
      </c>
      <c r="L272" s="3">
        <f t="shared" si="33"/>
        <v>59712.600000000006</v>
      </c>
      <c r="M272" s="8">
        <f t="shared" si="34"/>
        <v>-2407.0760000000082</v>
      </c>
      <c r="N272" s="4">
        <f t="shared" si="31"/>
        <v>-4.20042577396205E-2</v>
      </c>
      <c r="O272" s="4" t="str">
        <f t="shared" si="32"/>
        <v>Loss</v>
      </c>
      <c r="P272" t="s">
        <v>28</v>
      </c>
      <c r="Q272">
        <v>0.17</v>
      </c>
      <c r="R272" t="s">
        <v>29</v>
      </c>
      <c r="S272" t="s">
        <v>20</v>
      </c>
      <c r="T272" t="s">
        <v>35</v>
      </c>
      <c r="U272" t="str">
        <f t="shared" si="35"/>
        <v>High-Cost</v>
      </c>
    </row>
    <row r="273" spans="1:21" x14ac:dyDescent="0.3">
      <c r="A273">
        <v>1026</v>
      </c>
      <c r="B273" s="1">
        <v>45005</v>
      </c>
      <c r="C273" s="2" t="s">
        <v>12</v>
      </c>
      <c r="D273" t="s">
        <v>32</v>
      </c>
      <c r="E273">
        <v>19</v>
      </c>
      <c r="F273" t="s">
        <v>33</v>
      </c>
      <c r="G273">
        <f>1</f>
        <v>1</v>
      </c>
      <c r="H273" s="3">
        <v>4991.68</v>
      </c>
      <c r="I273" s="3">
        <v>5296.65</v>
      </c>
      <c r="J273" s="3">
        <f t="shared" si="29"/>
        <v>4661.0519999999997</v>
      </c>
      <c r="K273" s="3">
        <f t="shared" si="30"/>
        <v>88559.987999999998</v>
      </c>
      <c r="L273" s="3">
        <f t="shared" si="33"/>
        <v>94841.920000000013</v>
      </c>
      <c r="M273" s="8">
        <f t="shared" si="34"/>
        <v>-6281.9320000000153</v>
      </c>
      <c r="N273" s="4">
        <f t="shared" si="31"/>
        <v>-7.0934201120262289E-2</v>
      </c>
      <c r="O273" s="4" t="str">
        <f t="shared" si="32"/>
        <v>Loss</v>
      </c>
      <c r="P273" t="s">
        <v>28</v>
      </c>
      <c r="Q273">
        <v>0.12</v>
      </c>
      <c r="R273" t="s">
        <v>25</v>
      </c>
      <c r="S273" t="s">
        <v>17</v>
      </c>
      <c r="T273" t="s">
        <v>44</v>
      </c>
      <c r="U273" t="str">
        <f t="shared" si="35"/>
        <v>High-Cost</v>
      </c>
    </row>
    <row r="274" spans="1:21" x14ac:dyDescent="0.3">
      <c r="A274">
        <v>1026</v>
      </c>
      <c r="B274" s="1">
        <v>45223</v>
      </c>
      <c r="C274" s="2" t="s">
        <v>22</v>
      </c>
      <c r="D274" t="s">
        <v>32</v>
      </c>
      <c r="E274">
        <v>45</v>
      </c>
      <c r="F274" t="s">
        <v>24</v>
      </c>
      <c r="G274">
        <f>1</f>
        <v>1</v>
      </c>
      <c r="H274" s="3">
        <v>1741.66</v>
      </c>
      <c r="I274" s="3">
        <v>2169.86</v>
      </c>
      <c r="J274" s="3">
        <f t="shared" si="29"/>
        <v>1866.0796</v>
      </c>
      <c r="K274" s="3">
        <f t="shared" si="30"/>
        <v>83973.582000000009</v>
      </c>
      <c r="L274" s="3">
        <f t="shared" si="33"/>
        <v>78374.7</v>
      </c>
      <c r="M274" s="8">
        <f t="shared" si="34"/>
        <v>5598.8820000000123</v>
      </c>
      <c r="N274" s="4">
        <f t="shared" si="31"/>
        <v>6.6674326218452984E-2</v>
      </c>
      <c r="O274" s="4" t="str">
        <f t="shared" si="32"/>
        <v>Profit</v>
      </c>
      <c r="P274" t="s">
        <v>15</v>
      </c>
      <c r="Q274">
        <v>0.14000000000000001</v>
      </c>
      <c r="R274" t="s">
        <v>29</v>
      </c>
      <c r="S274" t="s">
        <v>17</v>
      </c>
      <c r="T274" t="s">
        <v>48</v>
      </c>
      <c r="U274" t="str">
        <f t="shared" si="35"/>
        <v>Low-Cost</v>
      </c>
    </row>
    <row r="275" spans="1:21" x14ac:dyDescent="0.3">
      <c r="A275">
        <v>1026</v>
      </c>
      <c r="B275" s="1">
        <v>44952</v>
      </c>
      <c r="C275" s="2" t="s">
        <v>22</v>
      </c>
      <c r="D275" t="s">
        <v>32</v>
      </c>
      <c r="E275">
        <v>5</v>
      </c>
      <c r="F275" t="s">
        <v>24</v>
      </c>
      <c r="G275">
        <f>1</f>
        <v>1</v>
      </c>
      <c r="H275" s="3">
        <v>4093.61</v>
      </c>
      <c r="I275" s="3">
        <v>4117.88</v>
      </c>
      <c r="J275" s="3">
        <f t="shared" si="29"/>
        <v>3623.7344000000003</v>
      </c>
      <c r="K275" s="3">
        <f t="shared" si="30"/>
        <v>18118.672000000002</v>
      </c>
      <c r="L275" s="3">
        <f t="shared" si="33"/>
        <v>20468.05</v>
      </c>
      <c r="M275" s="8">
        <f t="shared" si="34"/>
        <v>-2349.377999999997</v>
      </c>
      <c r="N275" s="4">
        <f t="shared" si="31"/>
        <v>-0.12966612564099603</v>
      </c>
      <c r="O275" s="4" t="str">
        <f t="shared" si="32"/>
        <v>Loss</v>
      </c>
      <c r="P275" t="s">
        <v>15</v>
      </c>
      <c r="Q275">
        <v>0.12</v>
      </c>
      <c r="R275" t="s">
        <v>29</v>
      </c>
      <c r="S275" t="s">
        <v>20</v>
      </c>
      <c r="T275" t="s">
        <v>48</v>
      </c>
      <c r="U275" t="str">
        <f t="shared" si="35"/>
        <v>High-Cost</v>
      </c>
    </row>
    <row r="276" spans="1:21" x14ac:dyDescent="0.3">
      <c r="A276">
        <v>1026</v>
      </c>
      <c r="B276" s="1">
        <v>45169</v>
      </c>
      <c r="C276" s="2" t="s">
        <v>40</v>
      </c>
      <c r="D276" t="s">
        <v>32</v>
      </c>
      <c r="E276">
        <v>25</v>
      </c>
      <c r="F276" t="s">
        <v>33</v>
      </c>
      <c r="G276">
        <f>1</f>
        <v>1</v>
      </c>
      <c r="H276" s="3">
        <v>1156.8800000000001</v>
      </c>
      <c r="I276" s="3">
        <v>1454.68</v>
      </c>
      <c r="J276" s="3">
        <f t="shared" si="29"/>
        <v>1367.3992000000001</v>
      </c>
      <c r="K276" s="3">
        <f t="shared" si="30"/>
        <v>34184.979999999996</v>
      </c>
      <c r="L276" s="3">
        <f t="shared" si="33"/>
        <v>28922.000000000004</v>
      </c>
      <c r="M276" s="8">
        <f t="shared" si="34"/>
        <v>5262.9799999999923</v>
      </c>
      <c r="N276" s="4">
        <f t="shared" si="31"/>
        <v>0.15395591865199257</v>
      </c>
      <c r="O276" s="4" t="str">
        <f t="shared" si="32"/>
        <v>Profit</v>
      </c>
      <c r="P276" t="s">
        <v>15</v>
      </c>
      <c r="Q276">
        <v>0.06</v>
      </c>
      <c r="R276" t="s">
        <v>29</v>
      </c>
      <c r="S276" t="s">
        <v>17</v>
      </c>
      <c r="T276" t="s">
        <v>50</v>
      </c>
      <c r="U276" t="str">
        <f t="shared" si="35"/>
        <v>Low-Cost</v>
      </c>
    </row>
    <row r="277" spans="1:21" x14ac:dyDescent="0.3">
      <c r="A277">
        <v>1027</v>
      </c>
      <c r="B277" s="1">
        <v>45108</v>
      </c>
      <c r="C277" s="2" t="s">
        <v>36</v>
      </c>
      <c r="D277" t="s">
        <v>13</v>
      </c>
      <c r="E277">
        <v>15</v>
      </c>
      <c r="F277" t="s">
        <v>27</v>
      </c>
      <c r="G277">
        <f>1</f>
        <v>1</v>
      </c>
      <c r="H277" s="3">
        <v>1615.26</v>
      </c>
      <c r="I277" s="3">
        <v>1710.95</v>
      </c>
      <c r="J277" s="3">
        <f t="shared" si="29"/>
        <v>1317.4315000000001</v>
      </c>
      <c r="K277" s="3">
        <f t="shared" si="30"/>
        <v>19761.4725</v>
      </c>
      <c r="L277" s="3">
        <f t="shared" si="33"/>
        <v>24228.9</v>
      </c>
      <c r="M277" s="8">
        <f t="shared" si="34"/>
        <v>-4467.4275000000016</v>
      </c>
      <c r="N277" s="4">
        <f t="shared" si="31"/>
        <v>-0.22606754127254441</v>
      </c>
      <c r="O277" s="4" t="str">
        <f t="shared" si="32"/>
        <v>Loss</v>
      </c>
      <c r="P277" t="s">
        <v>28</v>
      </c>
      <c r="Q277">
        <v>0.23</v>
      </c>
      <c r="R277" t="s">
        <v>29</v>
      </c>
      <c r="S277" t="s">
        <v>20</v>
      </c>
      <c r="T277" t="s">
        <v>38</v>
      </c>
      <c r="U277" t="str">
        <f t="shared" si="35"/>
        <v>Low-Cost</v>
      </c>
    </row>
    <row r="278" spans="1:21" x14ac:dyDescent="0.3">
      <c r="A278">
        <v>1027</v>
      </c>
      <c r="B278" s="1">
        <v>44929</v>
      </c>
      <c r="C278" s="2" t="s">
        <v>12</v>
      </c>
      <c r="D278" t="s">
        <v>32</v>
      </c>
      <c r="E278">
        <v>30</v>
      </c>
      <c r="F278" t="s">
        <v>14</v>
      </c>
      <c r="G278">
        <f>1</f>
        <v>1</v>
      </c>
      <c r="H278" s="3">
        <v>745.93</v>
      </c>
      <c r="I278" s="3">
        <v>1143.02</v>
      </c>
      <c r="J278" s="3">
        <f t="shared" si="29"/>
        <v>914.41600000000005</v>
      </c>
      <c r="K278" s="3">
        <f t="shared" si="30"/>
        <v>27432.48</v>
      </c>
      <c r="L278" s="3">
        <f t="shared" si="33"/>
        <v>22377.899999999998</v>
      </c>
      <c r="M278" s="8">
        <f t="shared" si="34"/>
        <v>5054.5800000000017</v>
      </c>
      <c r="N278" s="4">
        <f t="shared" si="31"/>
        <v>0.18425530611887814</v>
      </c>
      <c r="O278" s="4" t="str">
        <f t="shared" si="32"/>
        <v>Profit</v>
      </c>
      <c r="P278" t="s">
        <v>15</v>
      </c>
      <c r="Q278">
        <v>0.2</v>
      </c>
      <c r="R278" t="s">
        <v>29</v>
      </c>
      <c r="S278" t="s">
        <v>17</v>
      </c>
      <c r="T278" t="s">
        <v>44</v>
      </c>
      <c r="U278" t="str">
        <f t="shared" si="35"/>
        <v>Low-Cost</v>
      </c>
    </row>
    <row r="279" spans="1:21" x14ac:dyDescent="0.3">
      <c r="A279">
        <v>1027</v>
      </c>
      <c r="B279" s="1">
        <v>44963</v>
      </c>
      <c r="C279" s="2" t="s">
        <v>36</v>
      </c>
      <c r="D279" t="s">
        <v>19</v>
      </c>
      <c r="E279">
        <v>45</v>
      </c>
      <c r="F279" t="s">
        <v>24</v>
      </c>
      <c r="G279">
        <f>1</f>
        <v>1</v>
      </c>
      <c r="H279" s="3">
        <v>1153.9000000000001</v>
      </c>
      <c r="I279" s="3">
        <v>1485.34</v>
      </c>
      <c r="J279" s="3">
        <f t="shared" si="29"/>
        <v>1114.0049999999999</v>
      </c>
      <c r="K279" s="3">
        <f t="shared" si="30"/>
        <v>50130.225000000006</v>
      </c>
      <c r="L279" s="3">
        <f t="shared" si="33"/>
        <v>51925.500000000007</v>
      </c>
      <c r="M279" s="8">
        <f t="shared" si="34"/>
        <v>-1795.2750000000015</v>
      </c>
      <c r="N279" s="4">
        <f t="shared" si="31"/>
        <v>-3.5812227054636228E-2</v>
      </c>
      <c r="O279" s="4" t="str">
        <f t="shared" si="32"/>
        <v>Loss</v>
      </c>
      <c r="P279" t="s">
        <v>28</v>
      </c>
      <c r="Q279">
        <v>0.25</v>
      </c>
      <c r="R279" t="s">
        <v>29</v>
      </c>
      <c r="S279" t="s">
        <v>20</v>
      </c>
      <c r="T279" t="s">
        <v>39</v>
      </c>
      <c r="U279" t="str">
        <f t="shared" si="35"/>
        <v>Low-Cost</v>
      </c>
    </row>
    <row r="280" spans="1:21" x14ac:dyDescent="0.3">
      <c r="A280">
        <v>1027</v>
      </c>
      <c r="B280" s="1">
        <v>44964</v>
      </c>
      <c r="C280" s="2" t="s">
        <v>12</v>
      </c>
      <c r="D280" t="s">
        <v>19</v>
      </c>
      <c r="E280">
        <v>3</v>
      </c>
      <c r="F280" t="s">
        <v>24</v>
      </c>
      <c r="G280">
        <f>1</f>
        <v>1</v>
      </c>
      <c r="H280" s="3">
        <v>999.09</v>
      </c>
      <c r="I280" s="3">
        <v>1271.99</v>
      </c>
      <c r="J280" s="3">
        <f t="shared" si="29"/>
        <v>1081.1914999999999</v>
      </c>
      <c r="K280" s="3">
        <f t="shared" si="30"/>
        <v>3243.5745000000002</v>
      </c>
      <c r="L280" s="3">
        <f t="shared" si="33"/>
        <v>2997.27</v>
      </c>
      <c r="M280" s="8">
        <f t="shared" si="34"/>
        <v>246.30450000000019</v>
      </c>
      <c r="N280" s="4">
        <f t="shared" si="31"/>
        <v>7.5936131573361473E-2</v>
      </c>
      <c r="O280" s="4" t="str">
        <f t="shared" si="32"/>
        <v>Profit</v>
      </c>
      <c r="P280" t="s">
        <v>28</v>
      </c>
      <c r="Q280">
        <v>0.15</v>
      </c>
      <c r="R280" t="s">
        <v>29</v>
      </c>
      <c r="S280" t="s">
        <v>17</v>
      </c>
      <c r="T280" t="s">
        <v>21</v>
      </c>
      <c r="U280" t="str">
        <f t="shared" si="35"/>
        <v>Low-Cost</v>
      </c>
    </row>
    <row r="281" spans="1:21" x14ac:dyDescent="0.3">
      <c r="A281">
        <v>1027</v>
      </c>
      <c r="B281" s="1">
        <v>44965</v>
      </c>
      <c r="C281" s="2" t="s">
        <v>40</v>
      </c>
      <c r="D281" t="s">
        <v>19</v>
      </c>
      <c r="E281">
        <v>20</v>
      </c>
      <c r="F281" t="s">
        <v>33</v>
      </c>
      <c r="G281">
        <f>1</f>
        <v>1</v>
      </c>
      <c r="H281" s="3">
        <v>1748.11</v>
      </c>
      <c r="I281" s="3">
        <v>2220.9</v>
      </c>
      <c r="J281" s="3">
        <f t="shared" si="29"/>
        <v>1710.0930000000001</v>
      </c>
      <c r="K281" s="3">
        <f t="shared" si="30"/>
        <v>34201.86</v>
      </c>
      <c r="L281" s="3">
        <f t="shared" si="33"/>
        <v>34962.199999999997</v>
      </c>
      <c r="M281" s="8">
        <f t="shared" si="34"/>
        <v>-760.33999999999651</v>
      </c>
      <c r="N281" s="4">
        <f t="shared" si="31"/>
        <v>-2.2230954690768176E-2</v>
      </c>
      <c r="O281" s="4" t="str">
        <f t="shared" si="32"/>
        <v>Loss</v>
      </c>
      <c r="P281" t="s">
        <v>28</v>
      </c>
      <c r="Q281">
        <v>0.23</v>
      </c>
      <c r="R281" t="s">
        <v>29</v>
      </c>
      <c r="S281" t="s">
        <v>20</v>
      </c>
      <c r="T281" t="s">
        <v>49</v>
      </c>
      <c r="U281" t="str">
        <f t="shared" si="35"/>
        <v>Low-Cost</v>
      </c>
    </row>
    <row r="282" spans="1:21" x14ac:dyDescent="0.3">
      <c r="A282">
        <v>1027</v>
      </c>
      <c r="B282" s="1">
        <v>44995</v>
      </c>
      <c r="C282" s="2" t="s">
        <v>36</v>
      </c>
      <c r="D282" t="s">
        <v>23</v>
      </c>
      <c r="E282">
        <v>21</v>
      </c>
      <c r="F282" t="s">
        <v>24</v>
      </c>
      <c r="G282">
        <f>1</f>
        <v>1</v>
      </c>
      <c r="H282" s="3">
        <v>2511.41</v>
      </c>
      <c r="I282" s="3">
        <v>2848.4</v>
      </c>
      <c r="J282" s="3">
        <f t="shared" si="29"/>
        <v>2677.4960000000001</v>
      </c>
      <c r="K282" s="3">
        <f t="shared" si="30"/>
        <v>56227.415999999997</v>
      </c>
      <c r="L282" s="3">
        <f t="shared" si="33"/>
        <v>52739.61</v>
      </c>
      <c r="M282" s="8">
        <f t="shared" si="34"/>
        <v>3487.8059999999969</v>
      </c>
      <c r="N282" s="4">
        <f t="shared" si="31"/>
        <v>6.2030344769889424E-2</v>
      </c>
      <c r="O282" s="4" t="str">
        <f t="shared" si="32"/>
        <v>Profit</v>
      </c>
      <c r="P282" t="s">
        <v>15</v>
      </c>
      <c r="Q282">
        <v>0.06</v>
      </c>
      <c r="R282" t="s">
        <v>25</v>
      </c>
      <c r="S282" t="s">
        <v>17</v>
      </c>
      <c r="T282" t="s">
        <v>37</v>
      </c>
      <c r="U282" t="str">
        <f t="shared" si="35"/>
        <v>High-Cost</v>
      </c>
    </row>
    <row r="283" spans="1:21" x14ac:dyDescent="0.3">
      <c r="A283">
        <v>1027</v>
      </c>
      <c r="B283" s="1">
        <v>45149</v>
      </c>
      <c r="C283" s="2" t="s">
        <v>36</v>
      </c>
      <c r="D283" t="s">
        <v>13</v>
      </c>
      <c r="E283">
        <v>43</v>
      </c>
      <c r="F283" t="s">
        <v>27</v>
      </c>
      <c r="G283">
        <f>1</f>
        <v>1</v>
      </c>
      <c r="H283" s="3">
        <v>4232.6099999999997</v>
      </c>
      <c r="I283" s="3">
        <v>4572.21</v>
      </c>
      <c r="J283" s="3">
        <f t="shared" si="29"/>
        <v>4526.4879000000001</v>
      </c>
      <c r="K283" s="3">
        <f t="shared" si="30"/>
        <v>194638.9797</v>
      </c>
      <c r="L283" s="3">
        <f t="shared" si="33"/>
        <v>182002.22999999998</v>
      </c>
      <c r="M283" s="8">
        <f t="shared" si="34"/>
        <v>12636.749700000015</v>
      </c>
      <c r="N283" s="4">
        <f t="shared" si="31"/>
        <v>6.4924044091667701E-2</v>
      </c>
      <c r="O283" s="4" t="str">
        <f t="shared" si="32"/>
        <v>Profit</v>
      </c>
      <c r="P283" t="s">
        <v>28</v>
      </c>
      <c r="Q283">
        <v>0.01</v>
      </c>
      <c r="R283" t="s">
        <v>16</v>
      </c>
      <c r="S283" t="s">
        <v>20</v>
      </c>
      <c r="T283" t="s">
        <v>38</v>
      </c>
      <c r="U283" t="str">
        <f t="shared" si="35"/>
        <v>High-Cost</v>
      </c>
    </row>
    <row r="284" spans="1:21" x14ac:dyDescent="0.3">
      <c r="A284">
        <v>1027</v>
      </c>
      <c r="B284" s="1">
        <v>45121</v>
      </c>
      <c r="C284" s="2" t="s">
        <v>12</v>
      </c>
      <c r="D284" t="s">
        <v>23</v>
      </c>
      <c r="E284">
        <v>22</v>
      </c>
      <c r="F284" t="s">
        <v>24</v>
      </c>
      <c r="G284">
        <f>1</f>
        <v>1</v>
      </c>
      <c r="H284" s="3">
        <v>3240.2</v>
      </c>
      <c r="I284" s="3">
        <v>3606.09</v>
      </c>
      <c r="J284" s="3">
        <f t="shared" si="29"/>
        <v>3353.6637000000001</v>
      </c>
      <c r="K284" s="3">
        <f t="shared" si="30"/>
        <v>73780.6014</v>
      </c>
      <c r="L284" s="3">
        <f t="shared" si="33"/>
        <v>71284.399999999994</v>
      </c>
      <c r="M284" s="8">
        <f t="shared" si="34"/>
        <v>2496.2014000000054</v>
      </c>
      <c r="N284" s="4">
        <f t="shared" si="31"/>
        <v>3.3832760273488437E-2</v>
      </c>
      <c r="O284" s="4" t="str">
        <f t="shared" si="32"/>
        <v>Profit</v>
      </c>
      <c r="P284" t="s">
        <v>28</v>
      </c>
      <c r="Q284">
        <v>7.0000000000000007E-2</v>
      </c>
      <c r="R284" t="s">
        <v>16</v>
      </c>
      <c r="S284" t="s">
        <v>17</v>
      </c>
      <c r="T284" t="s">
        <v>30</v>
      </c>
      <c r="U284" t="str">
        <f t="shared" si="35"/>
        <v>High-Cost</v>
      </c>
    </row>
    <row r="285" spans="1:21" x14ac:dyDescent="0.3">
      <c r="A285">
        <v>1027</v>
      </c>
      <c r="B285" s="1">
        <v>44941</v>
      </c>
      <c r="C285" s="2" t="s">
        <v>12</v>
      </c>
      <c r="D285" t="s">
        <v>19</v>
      </c>
      <c r="E285">
        <v>26</v>
      </c>
      <c r="F285" t="s">
        <v>24</v>
      </c>
      <c r="G285">
        <f>1</f>
        <v>1</v>
      </c>
      <c r="H285" s="3">
        <v>149.11000000000001</v>
      </c>
      <c r="I285" s="3">
        <v>477.67</v>
      </c>
      <c r="J285" s="3">
        <f t="shared" si="29"/>
        <v>410.7962</v>
      </c>
      <c r="K285" s="3">
        <f t="shared" si="30"/>
        <v>10680.7012</v>
      </c>
      <c r="L285" s="3">
        <f t="shared" si="33"/>
        <v>3876.8600000000006</v>
      </c>
      <c r="M285" s="8">
        <f t="shared" si="34"/>
        <v>6803.8411999999989</v>
      </c>
      <c r="N285" s="4">
        <f t="shared" si="31"/>
        <v>0.63702195882045642</v>
      </c>
      <c r="O285" s="4" t="str">
        <f t="shared" si="32"/>
        <v>Profit</v>
      </c>
      <c r="P285" t="s">
        <v>15</v>
      </c>
      <c r="Q285">
        <v>0.14000000000000001</v>
      </c>
      <c r="R285" t="s">
        <v>16</v>
      </c>
      <c r="S285" t="s">
        <v>20</v>
      </c>
      <c r="T285" t="s">
        <v>21</v>
      </c>
      <c r="U285" t="str">
        <f t="shared" si="35"/>
        <v>Low-Cost</v>
      </c>
    </row>
    <row r="286" spans="1:21" x14ac:dyDescent="0.3">
      <c r="A286">
        <v>1027</v>
      </c>
      <c r="B286" s="1">
        <v>45032</v>
      </c>
      <c r="C286" s="2" t="s">
        <v>40</v>
      </c>
      <c r="D286" t="s">
        <v>32</v>
      </c>
      <c r="E286">
        <v>7</v>
      </c>
      <c r="F286" t="s">
        <v>24</v>
      </c>
      <c r="G286">
        <f>1</f>
        <v>1</v>
      </c>
      <c r="H286" s="3">
        <v>2371.85</v>
      </c>
      <c r="I286" s="3">
        <v>2457.29</v>
      </c>
      <c r="J286" s="3">
        <f t="shared" si="29"/>
        <v>2383.5713000000001</v>
      </c>
      <c r="K286" s="3">
        <f t="shared" si="30"/>
        <v>16684.999099999997</v>
      </c>
      <c r="L286" s="3">
        <f t="shared" si="33"/>
        <v>16602.95</v>
      </c>
      <c r="M286" s="8">
        <f t="shared" si="34"/>
        <v>82.049099999996542</v>
      </c>
      <c r="N286" s="4">
        <f t="shared" si="31"/>
        <v>4.9175369748744278E-3</v>
      </c>
      <c r="O286" s="4" t="str">
        <f t="shared" si="32"/>
        <v>Profit</v>
      </c>
      <c r="P286" t="s">
        <v>28</v>
      </c>
      <c r="Q286">
        <v>0.03</v>
      </c>
      <c r="R286" t="s">
        <v>16</v>
      </c>
      <c r="S286" t="s">
        <v>20</v>
      </c>
      <c r="T286" t="s">
        <v>50</v>
      </c>
      <c r="U286" t="str">
        <f t="shared" si="35"/>
        <v>Low-Cost</v>
      </c>
    </row>
    <row r="287" spans="1:21" x14ac:dyDescent="0.3">
      <c r="A287">
        <v>1027</v>
      </c>
      <c r="B287" s="1">
        <v>45161</v>
      </c>
      <c r="C287" s="2" t="s">
        <v>12</v>
      </c>
      <c r="D287" t="s">
        <v>32</v>
      </c>
      <c r="E287">
        <v>4</v>
      </c>
      <c r="F287" t="s">
        <v>33</v>
      </c>
      <c r="G287">
        <f>1</f>
        <v>1</v>
      </c>
      <c r="H287" s="3">
        <v>282.61</v>
      </c>
      <c r="I287" s="3">
        <v>548.25</v>
      </c>
      <c r="J287" s="3">
        <f t="shared" si="29"/>
        <v>455.04749999999996</v>
      </c>
      <c r="K287" s="3">
        <f t="shared" si="30"/>
        <v>1820.1899999999998</v>
      </c>
      <c r="L287" s="3">
        <f t="shared" si="33"/>
        <v>1130.44</v>
      </c>
      <c r="M287" s="8">
        <f t="shared" si="34"/>
        <v>689.74999999999977</v>
      </c>
      <c r="N287" s="4">
        <f t="shared" si="31"/>
        <v>0.37894395640015593</v>
      </c>
      <c r="O287" s="4" t="str">
        <f t="shared" si="32"/>
        <v>Profit</v>
      </c>
      <c r="P287" t="s">
        <v>28</v>
      </c>
      <c r="Q287">
        <v>0.17</v>
      </c>
      <c r="R287" t="s">
        <v>29</v>
      </c>
      <c r="S287" t="s">
        <v>17</v>
      </c>
      <c r="T287" t="s">
        <v>44</v>
      </c>
      <c r="U287" t="str">
        <f t="shared" si="35"/>
        <v>Low-Cost</v>
      </c>
    </row>
    <row r="288" spans="1:21" x14ac:dyDescent="0.3">
      <c r="A288">
        <v>1028</v>
      </c>
      <c r="B288" s="1">
        <v>45231</v>
      </c>
      <c r="C288" s="2" t="s">
        <v>12</v>
      </c>
      <c r="D288" t="s">
        <v>32</v>
      </c>
      <c r="E288">
        <v>24</v>
      </c>
      <c r="F288" t="s">
        <v>24</v>
      </c>
      <c r="G288">
        <f>1</f>
        <v>1</v>
      </c>
      <c r="H288" s="3">
        <v>911.11</v>
      </c>
      <c r="I288" s="3">
        <v>1214.56</v>
      </c>
      <c r="J288" s="3">
        <f t="shared" si="29"/>
        <v>947.35680000000002</v>
      </c>
      <c r="K288" s="3">
        <f t="shared" si="30"/>
        <v>22736.563200000001</v>
      </c>
      <c r="L288" s="3">
        <f t="shared" si="33"/>
        <v>21866.639999999999</v>
      </c>
      <c r="M288" s="8">
        <f t="shared" si="34"/>
        <v>869.92320000000109</v>
      </c>
      <c r="N288" s="4">
        <f t="shared" si="31"/>
        <v>3.8260980445804629E-2</v>
      </c>
      <c r="O288" s="4" t="str">
        <f t="shared" si="32"/>
        <v>Profit</v>
      </c>
      <c r="P288" t="s">
        <v>28</v>
      </c>
      <c r="Q288">
        <v>0.22</v>
      </c>
      <c r="R288" t="s">
        <v>25</v>
      </c>
      <c r="S288" t="s">
        <v>17</v>
      </c>
      <c r="T288" t="s">
        <v>44</v>
      </c>
      <c r="U288" t="str">
        <f t="shared" si="35"/>
        <v>Low-Cost</v>
      </c>
    </row>
    <row r="289" spans="1:21" x14ac:dyDescent="0.3">
      <c r="A289">
        <v>1028</v>
      </c>
      <c r="B289" s="1">
        <v>45233</v>
      </c>
      <c r="C289" s="2" t="s">
        <v>40</v>
      </c>
      <c r="D289" t="s">
        <v>13</v>
      </c>
      <c r="E289">
        <v>38</v>
      </c>
      <c r="F289" t="s">
        <v>27</v>
      </c>
      <c r="G289">
        <f>1</f>
        <v>1</v>
      </c>
      <c r="H289" s="3">
        <v>1234.69</v>
      </c>
      <c r="I289" s="3">
        <v>1511.26</v>
      </c>
      <c r="J289" s="3">
        <f t="shared" si="29"/>
        <v>1360.134</v>
      </c>
      <c r="K289" s="3">
        <f t="shared" si="30"/>
        <v>51685.091999999997</v>
      </c>
      <c r="L289" s="3">
        <f t="shared" si="33"/>
        <v>46918.22</v>
      </c>
      <c r="M289" s="8">
        <f t="shared" si="34"/>
        <v>4766.8719999999958</v>
      </c>
      <c r="N289" s="4">
        <f t="shared" si="31"/>
        <v>9.222914801041654E-2</v>
      </c>
      <c r="O289" s="4" t="str">
        <f t="shared" si="32"/>
        <v>Profit</v>
      </c>
      <c r="P289" t="s">
        <v>28</v>
      </c>
      <c r="Q289">
        <v>0.1</v>
      </c>
      <c r="R289" t="s">
        <v>25</v>
      </c>
      <c r="S289" t="s">
        <v>17</v>
      </c>
      <c r="T289" t="s">
        <v>47</v>
      </c>
      <c r="U289" t="str">
        <f t="shared" si="35"/>
        <v>Low-Cost</v>
      </c>
    </row>
    <row r="290" spans="1:21" x14ac:dyDescent="0.3">
      <c r="A290">
        <v>1028</v>
      </c>
      <c r="B290" s="1">
        <v>45142</v>
      </c>
      <c r="C290" s="2" t="s">
        <v>40</v>
      </c>
      <c r="D290" t="s">
        <v>13</v>
      </c>
      <c r="E290">
        <v>38</v>
      </c>
      <c r="F290" t="s">
        <v>27</v>
      </c>
      <c r="G290">
        <f>1</f>
        <v>1</v>
      </c>
      <c r="H290" s="3">
        <v>3350.32</v>
      </c>
      <c r="I290" s="3">
        <v>3449.94</v>
      </c>
      <c r="J290" s="3">
        <f t="shared" si="29"/>
        <v>2552.9556000000002</v>
      </c>
      <c r="K290" s="3">
        <f t="shared" si="30"/>
        <v>97012.3128</v>
      </c>
      <c r="L290" s="3">
        <f t="shared" si="33"/>
        <v>127312.16</v>
      </c>
      <c r="M290" s="8">
        <f t="shared" si="34"/>
        <v>-30299.847200000004</v>
      </c>
      <c r="N290" s="4">
        <f t="shared" si="31"/>
        <v>-0.31232991282731282</v>
      </c>
      <c r="O290" s="4" t="str">
        <f t="shared" si="32"/>
        <v>Loss</v>
      </c>
      <c r="P290" t="s">
        <v>28</v>
      </c>
      <c r="Q290">
        <v>0.26</v>
      </c>
      <c r="R290" t="s">
        <v>16</v>
      </c>
      <c r="S290" t="s">
        <v>17</v>
      </c>
      <c r="T290" t="s">
        <v>47</v>
      </c>
      <c r="U290" t="str">
        <f t="shared" si="35"/>
        <v>High-Cost</v>
      </c>
    </row>
    <row r="291" spans="1:21" x14ac:dyDescent="0.3">
      <c r="A291">
        <v>1028</v>
      </c>
      <c r="B291" s="1">
        <v>45087</v>
      </c>
      <c r="C291" s="2" t="s">
        <v>40</v>
      </c>
      <c r="D291" t="s">
        <v>13</v>
      </c>
      <c r="E291">
        <v>2</v>
      </c>
      <c r="F291" t="s">
        <v>14</v>
      </c>
      <c r="G291">
        <f>1</f>
        <v>1</v>
      </c>
      <c r="H291" s="3">
        <v>3146.12</v>
      </c>
      <c r="I291" s="3">
        <v>3255.53</v>
      </c>
      <c r="J291" s="3">
        <f t="shared" si="29"/>
        <v>3060.1981999999998</v>
      </c>
      <c r="K291" s="3">
        <f t="shared" si="30"/>
        <v>6120.3963999999996</v>
      </c>
      <c r="L291" s="3">
        <f t="shared" si="33"/>
        <v>6292.24</v>
      </c>
      <c r="M291" s="8">
        <f t="shared" si="34"/>
        <v>-171.84360000000015</v>
      </c>
      <c r="N291" s="4">
        <f t="shared" si="31"/>
        <v>-2.8077201012666461E-2</v>
      </c>
      <c r="O291" s="4" t="str">
        <f t="shared" si="32"/>
        <v>Loss</v>
      </c>
      <c r="P291" t="s">
        <v>15</v>
      </c>
      <c r="Q291">
        <v>0.06</v>
      </c>
      <c r="R291" t="s">
        <v>25</v>
      </c>
      <c r="S291" t="s">
        <v>17</v>
      </c>
      <c r="T291" t="s">
        <v>47</v>
      </c>
      <c r="U291" t="str">
        <f t="shared" si="35"/>
        <v>High-Cost</v>
      </c>
    </row>
    <row r="292" spans="1:21" x14ac:dyDescent="0.3">
      <c r="A292">
        <v>1028</v>
      </c>
      <c r="B292" s="1">
        <v>44968</v>
      </c>
      <c r="C292" s="2" t="s">
        <v>40</v>
      </c>
      <c r="D292" t="s">
        <v>32</v>
      </c>
      <c r="E292">
        <v>24</v>
      </c>
      <c r="F292" t="s">
        <v>27</v>
      </c>
      <c r="G292">
        <f>1</f>
        <v>1</v>
      </c>
      <c r="H292" s="3">
        <v>2521.0300000000002</v>
      </c>
      <c r="I292" s="3">
        <v>2766.05</v>
      </c>
      <c r="J292" s="3">
        <f t="shared" si="29"/>
        <v>2323.482</v>
      </c>
      <c r="K292" s="3">
        <f t="shared" si="30"/>
        <v>55763.568000000007</v>
      </c>
      <c r="L292" s="3">
        <f t="shared" si="33"/>
        <v>60504.72</v>
      </c>
      <c r="M292" s="8">
        <f t="shared" si="34"/>
        <v>-4741.1519999999946</v>
      </c>
      <c r="N292" s="4">
        <f t="shared" si="31"/>
        <v>-8.5022393115160674E-2</v>
      </c>
      <c r="O292" s="4" t="str">
        <f t="shared" si="32"/>
        <v>Loss</v>
      </c>
      <c r="P292" t="s">
        <v>15</v>
      </c>
      <c r="Q292">
        <v>0.16</v>
      </c>
      <c r="R292" t="s">
        <v>25</v>
      </c>
      <c r="S292" t="s">
        <v>20</v>
      </c>
      <c r="T292" t="s">
        <v>50</v>
      </c>
      <c r="U292" t="str">
        <f t="shared" si="35"/>
        <v>Low-Cost</v>
      </c>
    </row>
    <row r="293" spans="1:21" x14ac:dyDescent="0.3">
      <c r="A293">
        <v>1028</v>
      </c>
      <c r="B293" s="1">
        <v>45149</v>
      </c>
      <c r="C293" s="2" t="s">
        <v>31</v>
      </c>
      <c r="D293" t="s">
        <v>19</v>
      </c>
      <c r="E293">
        <v>45</v>
      </c>
      <c r="F293" t="s">
        <v>27</v>
      </c>
      <c r="G293">
        <f>1</f>
        <v>1</v>
      </c>
      <c r="H293" s="3">
        <v>4848.9799999999996</v>
      </c>
      <c r="I293" s="3">
        <v>4985.75</v>
      </c>
      <c r="J293" s="3">
        <f t="shared" si="29"/>
        <v>3988.6000000000004</v>
      </c>
      <c r="K293" s="3">
        <f t="shared" si="30"/>
        <v>179487</v>
      </c>
      <c r="L293" s="3">
        <f t="shared" si="33"/>
        <v>218204.09999999998</v>
      </c>
      <c r="M293" s="8">
        <f t="shared" si="34"/>
        <v>-38717.099999999977</v>
      </c>
      <c r="N293" s="4">
        <f t="shared" si="31"/>
        <v>-0.21570977285262988</v>
      </c>
      <c r="O293" s="4" t="str">
        <f t="shared" si="32"/>
        <v>Loss</v>
      </c>
      <c r="P293" t="s">
        <v>15</v>
      </c>
      <c r="Q293">
        <v>0.2</v>
      </c>
      <c r="R293" t="s">
        <v>25</v>
      </c>
      <c r="S293" t="s">
        <v>17</v>
      </c>
      <c r="T293" t="s">
        <v>35</v>
      </c>
      <c r="U293" t="str">
        <f t="shared" si="35"/>
        <v>High-Cost</v>
      </c>
    </row>
    <row r="294" spans="1:21" x14ac:dyDescent="0.3">
      <c r="A294">
        <v>1028</v>
      </c>
      <c r="B294" s="1">
        <v>45150</v>
      </c>
      <c r="C294" s="2" t="s">
        <v>31</v>
      </c>
      <c r="D294" t="s">
        <v>23</v>
      </c>
      <c r="E294">
        <v>41</v>
      </c>
      <c r="F294" t="s">
        <v>27</v>
      </c>
      <c r="G294">
        <f>1</f>
        <v>1</v>
      </c>
      <c r="H294" s="3">
        <v>3956.03</v>
      </c>
      <c r="I294" s="3">
        <v>4163.68</v>
      </c>
      <c r="J294" s="3">
        <f t="shared" si="29"/>
        <v>3664.0384000000004</v>
      </c>
      <c r="K294" s="3">
        <f t="shared" si="30"/>
        <v>150225.57440000001</v>
      </c>
      <c r="L294" s="3">
        <f t="shared" si="33"/>
        <v>162197.23000000001</v>
      </c>
      <c r="M294" s="8">
        <f t="shared" si="34"/>
        <v>-11971.655599999998</v>
      </c>
      <c r="N294" s="4">
        <f t="shared" si="31"/>
        <v>-7.969119537611831E-2</v>
      </c>
      <c r="O294" s="4" t="str">
        <f t="shared" si="32"/>
        <v>Loss</v>
      </c>
      <c r="P294" t="s">
        <v>28</v>
      </c>
      <c r="Q294">
        <v>0.12</v>
      </c>
      <c r="R294" t="s">
        <v>25</v>
      </c>
      <c r="S294" t="s">
        <v>20</v>
      </c>
      <c r="T294" t="s">
        <v>42</v>
      </c>
      <c r="U294" t="str">
        <f t="shared" si="35"/>
        <v>High-Cost</v>
      </c>
    </row>
    <row r="295" spans="1:21" x14ac:dyDescent="0.3">
      <c r="A295">
        <v>1028</v>
      </c>
      <c r="B295" s="1">
        <v>44973</v>
      </c>
      <c r="C295" s="2" t="s">
        <v>12</v>
      </c>
      <c r="D295" t="s">
        <v>32</v>
      </c>
      <c r="E295">
        <v>24</v>
      </c>
      <c r="F295" t="s">
        <v>33</v>
      </c>
      <c r="G295">
        <f>1</f>
        <v>1</v>
      </c>
      <c r="H295" s="3">
        <v>1969.09</v>
      </c>
      <c r="I295" s="3">
        <v>2241.96</v>
      </c>
      <c r="J295" s="3">
        <f t="shared" si="29"/>
        <v>2197.1208000000001</v>
      </c>
      <c r="K295" s="3">
        <f t="shared" si="30"/>
        <v>52730.8992</v>
      </c>
      <c r="L295" s="3">
        <f t="shared" si="33"/>
        <v>47258.159999999996</v>
      </c>
      <c r="M295" s="8">
        <f t="shared" si="34"/>
        <v>5472.7392000000036</v>
      </c>
      <c r="N295" s="4">
        <f t="shared" si="31"/>
        <v>0.10378619145565421</v>
      </c>
      <c r="O295" s="4" t="str">
        <f t="shared" si="32"/>
        <v>Profit</v>
      </c>
      <c r="P295" t="s">
        <v>15</v>
      </c>
      <c r="Q295">
        <v>0.02</v>
      </c>
      <c r="R295" t="s">
        <v>29</v>
      </c>
      <c r="S295" t="s">
        <v>17</v>
      </c>
      <c r="T295" t="s">
        <v>44</v>
      </c>
      <c r="U295" t="str">
        <f t="shared" si="35"/>
        <v>Low-Cost</v>
      </c>
    </row>
    <row r="296" spans="1:21" x14ac:dyDescent="0.3">
      <c r="A296">
        <v>1028</v>
      </c>
      <c r="B296" s="1">
        <v>45250</v>
      </c>
      <c r="C296" s="2" t="s">
        <v>40</v>
      </c>
      <c r="D296" t="s">
        <v>32</v>
      </c>
      <c r="E296">
        <v>5</v>
      </c>
      <c r="F296" t="s">
        <v>24</v>
      </c>
      <c r="G296">
        <f>1</f>
        <v>1</v>
      </c>
      <c r="H296" s="3">
        <v>734.92</v>
      </c>
      <c r="I296" s="3">
        <v>991.21</v>
      </c>
      <c r="J296" s="3">
        <f t="shared" si="29"/>
        <v>783.05590000000007</v>
      </c>
      <c r="K296" s="3">
        <f t="shared" si="30"/>
        <v>3915.2795000000001</v>
      </c>
      <c r="L296" s="3">
        <f t="shared" si="33"/>
        <v>3674.6</v>
      </c>
      <c r="M296" s="8">
        <f t="shared" si="34"/>
        <v>240.67950000000019</v>
      </c>
      <c r="N296" s="4">
        <f t="shared" si="31"/>
        <v>6.1471856606916613E-2</v>
      </c>
      <c r="O296" s="4" t="str">
        <f t="shared" si="32"/>
        <v>Profit</v>
      </c>
      <c r="P296" t="s">
        <v>15</v>
      </c>
      <c r="Q296">
        <v>0.21</v>
      </c>
      <c r="R296" t="s">
        <v>29</v>
      </c>
      <c r="S296" t="s">
        <v>17</v>
      </c>
      <c r="T296" t="s">
        <v>50</v>
      </c>
      <c r="U296" t="str">
        <f t="shared" si="35"/>
        <v>Low-Cost</v>
      </c>
    </row>
    <row r="297" spans="1:21" x14ac:dyDescent="0.3">
      <c r="A297">
        <v>1028</v>
      </c>
      <c r="B297" s="1">
        <v>45169</v>
      </c>
      <c r="C297" s="2" t="s">
        <v>36</v>
      </c>
      <c r="D297" t="s">
        <v>13</v>
      </c>
      <c r="E297">
        <v>28</v>
      </c>
      <c r="F297" t="s">
        <v>14</v>
      </c>
      <c r="G297">
        <f>1</f>
        <v>1</v>
      </c>
      <c r="H297" s="3">
        <v>2055.2800000000002</v>
      </c>
      <c r="I297" s="3">
        <v>2449.64</v>
      </c>
      <c r="J297" s="3">
        <f t="shared" si="29"/>
        <v>1984.2084</v>
      </c>
      <c r="K297" s="3">
        <f t="shared" si="30"/>
        <v>55557.835200000001</v>
      </c>
      <c r="L297" s="3">
        <f t="shared" si="33"/>
        <v>57547.840000000004</v>
      </c>
      <c r="M297" s="8">
        <f t="shared" si="34"/>
        <v>-1990.0048000000024</v>
      </c>
      <c r="N297" s="4">
        <f t="shared" si="31"/>
        <v>-3.5818616633212563E-2</v>
      </c>
      <c r="O297" s="4" t="str">
        <f t="shared" si="32"/>
        <v>Loss</v>
      </c>
      <c r="P297" t="s">
        <v>28</v>
      </c>
      <c r="Q297">
        <v>0.19</v>
      </c>
      <c r="R297" t="s">
        <v>29</v>
      </c>
      <c r="S297" t="s">
        <v>17</v>
      </c>
      <c r="T297" t="s">
        <v>38</v>
      </c>
      <c r="U297" t="str">
        <f t="shared" si="35"/>
        <v>Low-Cost</v>
      </c>
    </row>
    <row r="298" spans="1:21" x14ac:dyDescent="0.3">
      <c r="A298">
        <v>1029</v>
      </c>
      <c r="B298" s="1">
        <v>44986</v>
      </c>
      <c r="C298" s="2" t="s">
        <v>22</v>
      </c>
      <c r="D298" t="s">
        <v>32</v>
      </c>
      <c r="E298">
        <v>28</v>
      </c>
      <c r="F298" t="s">
        <v>27</v>
      </c>
      <c r="G298">
        <f>1</f>
        <v>1</v>
      </c>
      <c r="H298" s="3">
        <v>2873.53</v>
      </c>
      <c r="I298" s="3">
        <v>3108.3</v>
      </c>
      <c r="J298" s="3">
        <f t="shared" si="29"/>
        <v>2642.0550000000003</v>
      </c>
      <c r="K298" s="3">
        <f t="shared" si="30"/>
        <v>73977.540000000008</v>
      </c>
      <c r="L298" s="3">
        <f t="shared" si="33"/>
        <v>80458.840000000011</v>
      </c>
      <c r="M298" s="8">
        <f t="shared" si="34"/>
        <v>-6481.3000000000029</v>
      </c>
      <c r="N298" s="4">
        <f t="shared" si="31"/>
        <v>-8.7611726478063506E-2</v>
      </c>
      <c r="O298" s="4" t="str">
        <f t="shared" si="32"/>
        <v>Loss</v>
      </c>
      <c r="P298" t="s">
        <v>28</v>
      </c>
      <c r="Q298">
        <v>0.15</v>
      </c>
      <c r="R298" t="s">
        <v>29</v>
      </c>
      <c r="S298" t="s">
        <v>20</v>
      </c>
      <c r="T298" t="s">
        <v>48</v>
      </c>
      <c r="U298" t="str">
        <f t="shared" si="35"/>
        <v>High-Cost</v>
      </c>
    </row>
    <row r="299" spans="1:21" x14ac:dyDescent="0.3">
      <c r="A299">
        <v>1029</v>
      </c>
      <c r="B299" s="1">
        <v>45140</v>
      </c>
      <c r="C299" s="2" t="s">
        <v>36</v>
      </c>
      <c r="D299" t="s">
        <v>23</v>
      </c>
      <c r="E299">
        <v>46</v>
      </c>
      <c r="F299" t="s">
        <v>14</v>
      </c>
      <c r="G299">
        <f>1</f>
        <v>1</v>
      </c>
      <c r="H299" s="3">
        <v>4609.66</v>
      </c>
      <c r="I299" s="3">
        <v>4879.1499999999996</v>
      </c>
      <c r="J299" s="3">
        <f t="shared" si="29"/>
        <v>3415.4049999999997</v>
      </c>
      <c r="K299" s="3">
        <f t="shared" si="30"/>
        <v>157108.62999999998</v>
      </c>
      <c r="L299" s="3">
        <f t="shared" si="33"/>
        <v>212044.36</v>
      </c>
      <c r="M299" s="8">
        <f t="shared" si="34"/>
        <v>-54935.73000000001</v>
      </c>
      <c r="N299" s="4">
        <f t="shared" si="31"/>
        <v>-0.34966716977927959</v>
      </c>
      <c r="O299" s="4" t="str">
        <f t="shared" si="32"/>
        <v>Loss</v>
      </c>
      <c r="P299" t="s">
        <v>15</v>
      </c>
      <c r="Q299">
        <v>0.3</v>
      </c>
      <c r="R299" t="s">
        <v>16</v>
      </c>
      <c r="S299" t="s">
        <v>20</v>
      </c>
      <c r="T299" t="s">
        <v>37</v>
      </c>
      <c r="U299" t="str">
        <f t="shared" si="35"/>
        <v>High-Cost</v>
      </c>
    </row>
    <row r="300" spans="1:21" x14ac:dyDescent="0.3">
      <c r="A300">
        <v>1029</v>
      </c>
      <c r="B300" s="1">
        <v>45111</v>
      </c>
      <c r="C300" s="2" t="s">
        <v>31</v>
      </c>
      <c r="D300" t="s">
        <v>13</v>
      </c>
      <c r="E300">
        <v>31</v>
      </c>
      <c r="F300" t="s">
        <v>14</v>
      </c>
      <c r="G300">
        <f>1</f>
        <v>1</v>
      </c>
      <c r="H300" s="3">
        <v>951.21</v>
      </c>
      <c r="I300" s="3">
        <v>1320.32</v>
      </c>
      <c r="J300" s="3">
        <f t="shared" si="29"/>
        <v>1122.2719999999999</v>
      </c>
      <c r="K300" s="3">
        <f t="shared" si="30"/>
        <v>34790.432000000001</v>
      </c>
      <c r="L300" s="3">
        <f t="shared" si="33"/>
        <v>29487.510000000002</v>
      </c>
      <c r="M300" s="8">
        <f t="shared" si="34"/>
        <v>5302.9219999999987</v>
      </c>
      <c r="N300" s="4">
        <f t="shared" si="31"/>
        <v>0.15242472413104841</v>
      </c>
      <c r="O300" s="4" t="str">
        <f t="shared" si="32"/>
        <v>Profit</v>
      </c>
      <c r="P300" t="s">
        <v>28</v>
      </c>
      <c r="Q300">
        <v>0.15</v>
      </c>
      <c r="R300" t="s">
        <v>16</v>
      </c>
      <c r="S300" t="s">
        <v>17</v>
      </c>
      <c r="T300" t="s">
        <v>51</v>
      </c>
      <c r="U300" t="str">
        <f t="shared" si="35"/>
        <v>Low-Cost</v>
      </c>
    </row>
    <row r="301" spans="1:21" x14ac:dyDescent="0.3">
      <c r="A301">
        <v>1029</v>
      </c>
      <c r="B301" s="1">
        <v>45087</v>
      </c>
      <c r="C301" s="2" t="s">
        <v>36</v>
      </c>
      <c r="D301" t="s">
        <v>32</v>
      </c>
      <c r="E301">
        <v>15</v>
      </c>
      <c r="F301" t="s">
        <v>27</v>
      </c>
      <c r="G301">
        <f>1</f>
        <v>1</v>
      </c>
      <c r="H301" s="3">
        <v>498.27</v>
      </c>
      <c r="I301" s="3">
        <v>634.16</v>
      </c>
      <c r="J301" s="3">
        <f t="shared" si="29"/>
        <v>564.40239999999994</v>
      </c>
      <c r="K301" s="3">
        <f t="shared" si="30"/>
        <v>8466.0360000000001</v>
      </c>
      <c r="L301" s="3">
        <f t="shared" si="33"/>
        <v>7474.0499999999993</v>
      </c>
      <c r="M301" s="8">
        <f t="shared" si="34"/>
        <v>991.98600000000079</v>
      </c>
      <c r="N301" s="4">
        <f t="shared" si="31"/>
        <v>0.11717242874941718</v>
      </c>
      <c r="O301" s="4" t="str">
        <f t="shared" si="32"/>
        <v>Profit</v>
      </c>
      <c r="P301" t="s">
        <v>15</v>
      </c>
      <c r="Q301">
        <v>0.11</v>
      </c>
      <c r="R301" t="s">
        <v>29</v>
      </c>
      <c r="S301" t="s">
        <v>20</v>
      </c>
      <c r="T301" t="s">
        <v>46</v>
      </c>
      <c r="U301" t="str">
        <f t="shared" si="35"/>
        <v>Low-Cost</v>
      </c>
    </row>
    <row r="302" spans="1:21" x14ac:dyDescent="0.3">
      <c r="A302">
        <v>1029</v>
      </c>
      <c r="B302" s="1">
        <v>44943</v>
      </c>
      <c r="C302" s="2" t="s">
        <v>31</v>
      </c>
      <c r="D302" t="s">
        <v>13</v>
      </c>
      <c r="E302">
        <v>31</v>
      </c>
      <c r="F302" t="s">
        <v>33</v>
      </c>
      <c r="G302">
        <f>1</f>
        <v>1</v>
      </c>
      <c r="H302" s="3">
        <v>2719</v>
      </c>
      <c r="I302" s="3">
        <v>3133.55</v>
      </c>
      <c r="J302" s="3">
        <f t="shared" si="29"/>
        <v>2600.8465000000001</v>
      </c>
      <c r="K302" s="3">
        <f t="shared" si="30"/>
        <v>80626.241500000004</v>
      </c>
      <c r="L302" s="3">
        <f t="shared" si="33"/>
        <v>84289</v>
      </c>
      <c r="M302" s="8">
        <f t="shared" si="34"/>
        <v>-3662.7584999999963</v>
      </c>
      <c r="N302" s="4">
        <f t="shared" si="31"/>
        <v>-4.5428863256635817E-2</v>
      </c>
      <c r="O302" s="4" t="str">
        <f t="shared" si="32"/>
        <v>Loss</v>
      </c>
      <c r="P302" t="s">
        <v>15</v>
      </c>
      <c r="Q302">
        <v>0.17</v>
      </c>
      <c r="R302" t="s">
        <v>25</v>
      </c>
      <c r="S302" t="s">
        <v>20</v>
      </c>
      <c r="T302" t="s">
        <v>51</v>
      </c>
      <c r="U302" t="str">
        <f t="shared" si="35"/>
        <v>High-Cost</v>
      </c>
    </row>
    <row r="303" spans="1:21" x14ac:dyDescent="0.3">
      <c r="A303">
        <v>1029</v>
      </c>
      <c r="B303" s="1">
        <v>45096</v>
      </c>
      <c r="C303" s="2" t="s">
        <v>36</v>
      </c>
      <c r="D303" t="s">
        <v>23</v>
      </c>
      <c r="E303">
        <v>27</v>
      </c>
      <c r="F303" t="s">
        <v>24</v>
      </c>
      <c r="G303">
        <f>1</f>
        <v>1</v>
      </c>
      <c r="H303" s="3">
        <v>3196.38</v>
      </c>
      <c r="I303" s="3">
        <v>3596.64</v>
      </c>
      <c r="J303" s="3">
        <f t="shared" si="29"/>
        <v>3560.6735999999996</v>
      </c>
      <c r="K303" s="3">
        <f t="shared" si="30"/>
        <v>96138.1872</v>
      </c>
      <c r="L303" s="3">
        <f t="shared" si="33"/>
        <v>86302.260000000009</v>
      </c>
      <c r="M303" s="8">
        <f t="shared" si="34"/>
        <v>9835.927199999991</v>
      </c>
      <c r="N303" s="4">
        <f t="shared" si="31"/>
        <v>0.10231030443228485</v>
      </c>
      <c r="O303" s="4" t="str">
        <f t="shared" si="32"/>
        <v>Profit</v>
      </c>
      <c r="P303" t="s">
        <v>28</v>
      </c>
      <c r="Q303">
        <v>0.01</v>
      </c>
      <c r="R303" t="s">
        <v>16</v>
      </c>
      <c r="S303" t="s">
        <v>20</v>
      </c>
      <c r="T303" t="s">
        <v>37</v>
      </c>
      <c r="U303" t="str">
        <f t="shared" si="35"/>
        <v>High-Cost</v>
      </c>
    </row>
    <row r="304" spans="1:21" x14ac:dyDescent="0.3">
      <c r="A304">
        <v>1029</v>
      </c>
      <c r="B304" s="1">
        <v>45279</v>
      </c>
      <c r="C304" s="2" t="s">
        <v>36</v>
      </c>
      <c r="D304" t="s">
        <v>13</v>
      </c>
      <c r="E304">
        <v>21</v>
      </c>
      <c r="F304" t="s">
        <v>24</v>
      </c>
      <c r="G304">
        <f>1</f>
        <v>1</v>
      </c>
      <c r="H304" s="3">
        <v>3085.1</v>
      </c>
      <c r="I304" s="3">
        <v>3200.75</v>
      </c>
      <c r="J304" s="3">
        <f t="shared" si="29"/>
        <v>2528.5925000000002</v>
      </c>
      <c r="K304" s="3">
        <f t="shared" si="30"/>
        <v>53100.442500000005</v>
      </c>
      <c r="L304" s="3">
        <f t="shared" si="33"/>
        <v>64787.1</v>
      </c>
      <c r="M304" s="8">
        <f t="shared" si="34"/>
        <v>-11686.657499999994</v>
      </c>
      <c r="N304" s="4">
        <f t="shared" si="31"/>
        <v>-0.22008587781542485</v>
      </c>
      <c r="O304" s="4" t="str">
        <f t="shared" si="32"/>
        <v>Loss</v>
      </c>
      <c r="P304" t="s">
        <v>28</v>
      </c>
      <c r="Q304">
        <v>0.21</v>
      </c>
      <c r="R304" t="s">
        <v>16</v>
      </c>
      <c r="S304" t="s">
        <v>20</v>
      </c>
      <c r="T304" t="s">
        <v>38</v>
      </c>
      <c r="U304" t="str">
        <f t="shared" si="35"/>
        <v>High-Cost</v>
      </c>
    </row>
    <row r="305" spans="1:21" x14ac:dyDescent="0.3">
      <c r="A305">
        <v>1029</v>
      </c>
      <c r="B305" s="1">
        <v>45229</v>
      </c>
      <c r="C305" s="2" t="s">
        <v>36</v>
      </c>
      <c r="D305" t="s">
        <v>32</v>
      </c>
      <c r="E305">
        <v>16</v>
      </c>
      <c r="F305" t="s">
        <v>33</v>
      </c>
      <c r="G305">
        <f>1</f>
        <v>1</v>
      </c>
      <c r="H305" s="3">
        <v>2572.8000000000002</v>
      </c>
      <c r="I305" s="3">
        <v>2760.6</v>
      </c>
      <c r="J305" s="3">
        <f t="shared" si="29"/>
        <v>2346.5099999999998</v>
      </c>
      <c r="K305" s="3">
        <f t="shared" si="30"/>
        <v>37544.159999999996</v>
      </c>
      <c r="L305" s="3">
        <f t="shared" si="33"/>
        <v>41164.800000000003</v>
      </c>
      <c r="M305" s="8">
        <f t="shared" si="34"/>
        <v>-3620.6400000000067</v>
      </c>
      <c r="N305" s="4">
        <f t="shared" si="31"/>
        <v>-9.6436835981947841E-2</v>
      </c>
      <c r="O305" s="4" t="str">
        <f t="shared" si="32"/>
        <v>Loss</v>
      </c>
      <c r="P305" t="s">
        <v>15</v>
      </c>
      <c r="Q305">
        <v>0.15</v>
      </c>
      <c r="R305" t="s">
        <v>29</v>
      </c>
      <c r="S305" t="s">
        <v>20</v>
      </c>
      <c r="T305" t="s">
        <v>46</v>
      </c>
      <c r="U305" t="str">
        <f t="shared" si="35"/>
        <v>Low-Cost</v>
      </c>
    </row>
    <row r="306" spans="1:21" x14ac:dyDescent="0.3">
      <c r="A306">
        <v>1030</v>
      </c>
      <c r="B306" s="1">
        <v>44962</v>
      </c>
      <c r="C306" s="2" t="s">
        <v>22</v>
      </c>
      <c r="D306" t="s">
        <v>32</v>
      </c>
      <c r="E306">
        <v>49</v>
      </c>
      <c r="F306" t="s">
        <v>14</v>
      </c>
      <c r="G306">
        <f>1</f>
        <v>1</v>
      </c>
      <c r="H306" s="3">
        <v>2590.29</v>
      </c>
      <c r="I306" s="3">
        <v>2925.86</v>
      </c>
      <c r="J306" s="3">
        <f t="shared" si="29"/>
        <v>2165.1363999999999</v>
      </c>
      <c r="K306" s="3">
        <f t="shared" si="30"/>
        <v>106091.6836</v>
      </c>
      <c r="L306" s="3">
        <f t="shared" si="33"/>
        <v>126924.20999999999</v>
      </c>
      <c r="M306" s="8">
        <f t="shared" si="34"/>
        <v>-20832.526399999988</v>
      </c>
      <c r="N306" s="4">
        <f t="shared" si="31"/>
        <v>-0.19636342541744703</v>
      </c>
      <c r="O306" s="4" t="str">
        <f t="shared" si="32"/>
        <v>Loss</v>
      </c>
      <c r="P306" t="s">
        <v>15</v>
      </c>
      <c r="Q306">
        <v>0.26</v>
      </c>
      <c r="R306" t="s">
        <v>16</v>
      </c>
      <c r="S306" t="s">
        <v>20</v>
      </c>
      <c r="T306" t="s">
        <v>48</v>
      </c>
      <c r="U306" t="str">
        <f t="shared" si="35"/>
        <v>High-Cost</v>
      </c>
    </row>
    <row r="307" spans="1:21" x14ac:dyDescent="0.3">
      <c r="A307">
        <v>1030</v>
      </c>
      <c r="B307" s="1">
        <v>45143</v>
      </c>
      <c r="C307" s="2" t="s">
        <v>12</v>
      </c>
      <c r="D307" t="s">
        <v>19</v>
      </c>
      <c r="E307">
        <v>34</v>
      </c>
      <c r="F307" t="s">
        <v>33</v>
      </c>
      <c r="G307">
        <f>1</f>
        <v>1</v>
      </c>
      <c r="H307" s="3">
        <v>3125.07</v>
      </c>
      <c r="I307" s="3">
        <v>3564.19</v>
      </c>
      <c r="J307" s="3">
        <f t="shared" si="29"/>
        <v>3243.4129000000003</v>
      </c>
      <c r="K307" s="3">
        <f t="shared" si="30"/>
        <v>110276.03860000001</v>
      </c>
      <c r="L307" s="3">
        <f t="shared" si="33"/>
        <v>106252.38</v>
      </c>
      <c r="M307" s="8">
        <f t="shared" si="34"/>
        <v>4023.6586000000098</v>
      </c>
      <c r="N307" s="4">
        <f t="shared" si="31"/>
        <v>3.6487152159997968E-2</v>
      </c>
      <c r="O307" s="4" t="str">
        <f t="shared" si="32"/>
        <v>Profit</v>
      </c>
      <c r="P307" t="s">
        <v>15</v>
      </c>
      <c r="Q307">
        <v>0.09</v>
      </c>
      <c r="R307" t="s">
        <v>16</v>
      </c>
      <c r="S307" t="s">
        <v>17</v>
      </c>
      <c r="T307" t="s">
        <v>21</v>
      </c>
      <c r="U307" t="str">
        <f t="shared" si="35"/>
        <v>High-Cost</v>
      </c>
    </row>
    <row r="308" spans="1:21" x14ac:dyDescent="0.3">
      <c r="A308">
        <v>1030</v>
      </c>
      <c r="B308" s="1">
        <v>45056</v>
      </c>
      <c r="C308" s="2" t="s">
        <v>12</v>
      </c>
      <c r="D308" t="s">
        <v>23</v>
      </c>
      <c r="E308">
        <v>43</v>
      </c>
      <c r="F308" t="s">
        <v>27</v>
      </c>
      <c r="G308">
        <f>1</f>
        <v>1</v>
      </c>
      <c r="H308" s="3">
        <v>4696.6400000000003</v>
      </c>
      <c r="I308" s="3">
        <v>4713.68</v>
      </c>
      <c r="J308" s="3">
        <f t="shared" si="29"/>
        <v>3582.3968000000004</v>
      </c>
      <c r="K308" s="3">
        <f t="shared" si="30"/>
        <v>154043.06240000002</v>
      </c>
      <c r="L308" s="3">
        <f t="shared" si="33"/>
        <v>201955.52000000002</v>
      </c>
      <c r="M308" s="8">
        <f t="shared" si="34"/>
        <v>-47912.457599999994</v>
      </c>
      <c r="N308" s="4">
        <f t="shared" si="31"/>
        <v>-0.31103288167296256</v>
      </c>
      <c r="O308" s="4" t="str">
        <f t="shared" si="32"/>
        <v>Loss</v>
      </c>
      <c r="P308" t="s">
        <v>15</v>
      </c>
      <c r="Q308">
        <v>0.24</v>
      </c>
      <c r="R308" t="s">
        <v>25</v>
      </c>
      <c r="S308" t="s">
        <v>17</v>
      </c>
      <c r="T308" t="s">
        <v>30</v>
      </c>
      <c r="U308" t="str">
        <f t="shared" si="35"/>
        <v>High-Cost</v>
      </c>
    </row>
    <row r="309" spans="1:21" x14ac:dyDescent="0.3">
      <c r="A309">
        <v>1030</v>
      </c>
      <c r="B309" s="1">
        <v>44998</v>
      </c>
      <c r="C309" s="2" t="s">
        <v>40</v>
      </c>
      <c r="D309" t="s">
        <v>13</v>
      </c>
      <c r="E309">
        <v>39</v>
      </c>
      <c r="F309" t="s">
        <v>24</v>
      </c>
      <c r="G309">
        <f>1</f>
        <v>1</v>
      </c>
      <c r="H309" s="3">
        <v>2511.2800000000002</v>
      </c>
      <c r="I309" s="3">
        <v>2658.06</v>
      </c>
      <c r="J309" s="3">
        <f t="shared" si="29"/>
        <v>2153.0286000000001</v>
      </c>
      <c r="K309" s="3">
        <f t="shared" si="30"/>
        <v>83968.11540000001</v>
      </c>
      <c r="L309" s="3">
        <f t="shared" si="33"/>
        <v>97939.920000000013</v>
      </c>
      <c r="M309" s="8">
        <f t="shared" si="34"/>
        <v>-13971.804600000003</v>
      </c>
      <c r="N309" s="4">
        <f t="shared" si="31"/>
        <v>-0.1663941668029863</v>
      </c>
      <c r="O309" s="4" t="str">
        <f t="shared" si="32"/>
        <v>Loss</v>
      </c>
      <c r="P309" t="s">
        <v>28</v>
      </c>
      <c r="Q309">
        <v>0.19</v>
      </c>
      <c r="R309" t="s">
        <v>29</v>
      </c>
      <c r="S309" t="s">
        <v>20</v>
      </c>
      <c r="T309" t="s">
        <v>47</v>
      </c>
      <c r="U309" t="str">
        <f t="shared" si="35"/>
        <v>Low-Cost</v>
      </c>
    </row>
    <row r="310" spans="1:21" x14ac:dyDescent="0.3">
      <c r="A310">
        <v>1030</v>
      </c>
      <c r="B310" s="1">
        <v>45090</v>
      </c>
      <c r="C310" s="2" t="s">
        <v>31</v>
      </c>
      <c r="D310" t="s">
        <v>19</v>
      </c>
      <c r="E310">
        <v>5</v>
      </c>
      <c r="F310" t="s">
        <v>27</v>
      </c>
      <c r="G310">
        <f>1</f>
        <v>1</v>
      </c>
      <c r="H310" s="3">
        <v>3932.14</v>
      </c>
      <c r="I310" s="3">
        <v>4082.76</v>
      </c>
      <c r="J310" s="3">
        <f t="shared" si="29"/>
        <v>3021.2424000000001</v>
      </c>
      <c r="K310" s="3">
        <f t="shared" si="30"/>
        <v>15106.212000000001</v>
      </c>
      <c r="L310" s="3">
        <f t="shared" si="33"/>
        <v>19660.7</v>
      </c>
      <c r="M310" s="8">
        <f t="shared" si="34"/>
        <v>-4554.4879999999994</v>
      </c>
      <c r="N310" s="4">
        <f t="shared" si="31"/>
        <v>-0.30149768850059822</v>
      </c>
      <c r="O310" s="4" t="str">
        <f t="shared" si="32"/>
        <v>Loss</v>
      </c>
      <c r="P310" t="s">
        <v>28</v>
      </c>
      <c r="Q310">
        <v>0.26</v>
      </c>
      <c r="R310" t="s">
        <v>29</v>
      </c>
      <c r="S310" t="s">
        <v>17</v>
      </c>
      <c r="T310" t="s">
        <v>35</v>
      </c>
      <c r="U310" t="str">
        <f t="shared" si="35"/>
        <v>High-Cost</v>
      </c>
    </row>
    <row r="311" spans="1:21" x14ac:dyDescent="0.3">
      <c r="A311">
        <v>1030</v>
      </c>
      <c r="B311" s="1">
        <v>45121</v>
      </c>
      <c r="C311" s="2" t="s">
        <v>12</v>
      </c>
      <c r="D311" t="s">
        <v>32</v>
      </c>
      <c r="E311">
        <v>39</v>
      </c>
      <c r="F311" t="s">
        <v>27</v>
      </c>
      <c r="G311">
        <f>1</f>
        <v>1</v>
      </c>
      <c r="H311" s="3">
        <v>4929.7299999999996</v>
      </c>
      <c r="I311" s="3">
        <v>5088.0200000000004</v>
      </c>
      <c r="J311" s="3">
        <f t="shared" si="29"/>
        <v>3917.7754000000004</v>
      </c>
      <c r="K311" s="3">
        <f t="shared" si="30"/>
        <v>152793.24060000002</v>
      </c>
      <c r="L311" s="3">
        <f t="shared" si="33"/>
        <v>192259.46999999997</v>
      </c>
      <c r="M311" s="8">
        <f t="shared" si="34"/>
        <v>-39466.229399999953</v>
      </c>
      <c r="N311" s="4">
        <f t="shared" si="31"/>
        <v>-0.25829826794052529</v>
      </c>
      <c r="O311" s="4" t="str">
        <f t="shared" si="32"/>
        <v>Loss</v>
      </c>
      <c r="P311" t="s">
        <v>28</v>
      </c>
      <c r="Q311">
        <v>0.23</v>
      </c>
      <c r="R311" t="s">
        <v>25</v>
      </c>
      <c r="S311" t="s">
        <v>20</v>
      </c>
      <c r="T311" t="s">
        <v>44</v>
      </c>
      <c r="U311" t="str">
        <f t="shared" si="35"/>
        <v>High-Cost</v>
      </c>
    </row>
    <row r="312" spans="1:21" x14ac:dyDescent="0.3">
      <c r="A312">
        <v>1030</v>
      </c>
      <c r="B312" s="1">
        <v>45245</v>
      </c>
      <c r="C312" s="2" t="s">
        <v>36</v>
      </c>
      <c r="D312" t="s">
        <v>32</v>
      </c>
      <c r="E312">
        <v>24</v>
      </c>
      <c r="F312" t="s">
        <v>27</v>
      </c>
      <c r="G312">
        <f>1</f>
        <v>1</v>
      </c>
      <c r="H312" s="3">
        <v>1370.52</v>
      </c>
      <c r="I312" s="3">
        <v>1482.58</v>
      </c>
      <c r="J312" s="3">
        <f t="shared" si="29"/>
        <v>1186.0640000000001</v>
      </c>
      <c r="K312" s="3">
        <f t="shared" si="30"/>
        <v>28465.536</v>
      </c>
      <c r="L312" s="3">
        <f t="shared" si="33"/>
        <v>32892.479999999996</v>
      </c>
      <c r="M312" s="8">
        <f t="shared" si="34"/>
        <v>-4426.9439999999959</v>
      </c>
      <c r="N312" s="4">
        <f t="shared" si="31"/>
        <v>-0.15551943234091906</v>
      </c>
      <c r="O312" s="4" t="str">
        <f t="shared" si="32"/>
        <v>Loss</v>
      </c>
      <c r="P312" t="s">
        <v>15</v>
      </c>
      <c r="Q312">
        <v>0.2</v>
      </c>
      <c r="R312" t="s">
        <v>29</v>
      </c>
      <c r="S312" t="s">
        <v>20</v>
      </c>
      <c r="T312" t="s">
        <v>46</v>
      </c>
      <c r="U312" t="str">
        <f t="shared" si="35"/>
        <v>Low-Cost</v>
      </c>
    </row>
    <row r="313" spans="1:21" x14ac:dyDescent="0.3">
      <c r="A313">
        <v>1030</v>
      </c>
      <c r="B313" s="1">
        <v>45124</v>
      </c>
      <c r="C313" s="2" t="s">
        <v>22</v>
      </c>
      <c r="D313" t="s">
        <v>19</v>
      </c>
      <c r="E313">
        <v>19</v>
      </c>
      <c r="F313" t="s">
        <v>27</v>
      </c>
      <c r="G313">
        <f>1</f>
        <v>1</v>
      </c>
      <c r="H313" s="3">
        <v>3049.33</v>
      </c>
      <c r="I313" s="3">
        <v>3209.22</v>
      </c>
      <c r="J313" s="3">
        <f t="shared" si="29"/>
        <v>2374.8227999999999</v>
      </c>
      <c r="K313" s="3">
        <f t="shared" si="30"/>
        <v>45121.633199999997</v>
      </c>
      <c r="L313" s="3">
        <f t="shared" si="33"/>
        <v>57937.27</v>
      </c>
      <c r="M313" s="8">
        <f t="shared" si="34"/>
        <v>-12815.6368</v>
      </c>
      <c r="N313" s="4">
        <f t="shared" si="31"/>
        <v>-0.28402422277569511</v>
      </c>
      <c r="O313" s="4" t="str">
        <f t="shared" si="32"/>
        <v>Loss</v>
      </c>
      <c r="P313" t="s">
        <v>15</v>
      </c>
      <c r="Q313">
        <v>0.26</v>
      </c>
      <c r="R313" t="s">
        <v>16</v>
      </c>
      <c r="S313" t="s">
        <v>17</v>
      </c>
      <c r="T313" t="s">
        <v>45</v>
      </c>
      <c r="U313" t="str">
        <f t="shared" si="35"/>
        <v>High-Cost</v>
      </c>
    </row>
    <row r="314" spans="1:21" x14ac:dyDescent="0.3">
      <c r="A314">
        <v>1030</v>
      </c>
      <c r="B314" s="1">
        <v>45004</v>
      </c>
      <c r="C314" s="2" t="s">
        <v>22</v>
      </c>
      <c r="D314" t="s">
        <v>32</v>
      </c>
      <c r="E314">
        <v>2</v>
      </c>
      <c r="F314" t="s">
        <v>27</v>
      </c>
      <c r="G314">
        <f>1</f>
        <v>1</v>
      </c>
      <c r="H314" s="3">
        <v>844.94</v>
      </c>
      <c r="I314" s="3">
        <v>1225.6400000000001</v>
      </c>
      <c r="J314" s="3">
        <f t="shared" si="29"/>
        <v>943.7428000000001</v>
      </c>
      <c r="K314" s="3">
        <f t="shared" si="30"/>
        <v>1887.4856000000002</v>
      </c>
      <c r="L314" s="3">
        <f t="shared" si="33"/>
        <v>1689.88</v>
      </c>
      <c r="M314" s="8">
        <f t="shared" si="34"/>
        <v>197.60560000000009</v>
      </c>
      <c r="N314" s="4">
        <f t="shared" si="31"/>
        <v>0.10469250732296981</v>
      </c>
      <c r="O314" s="4" t="str">
        <f t="shared" si="32"/>
        <v>Profit</v>
      </c>
      <c r="P314" t="s">
        <v>15</v>
      </c>
      <c r="Q314">
        <v>0.23</v>
      </c>
      <c r="R314" t="s">
        <v>29</v>
      </c>
      <c r="S314" t="s">
        <v>17</v>
      </c>
      <c r="T314" t="s">
        <v>48</v>
      </c>
      <c r="U314" t="str">
        <f t="shared" si="35"/>
        <v>Low-Cost</v>
      </c>
    </row>
    <row r="315" spans="1:21" x14ac:dyDescent="0.3">
      <c r="A315">
        <v>1030</v>
      </c>
      <c r="B315" s="1">
        <v>45256</v>
      </c>
      <c r="C315" s="2" t="s">
        <v>40</v>
      </c>
      <c r="D315" t="s">
        <v>19</v>
      </c>
      <c r="E315">
        <v>39</v>
      </c>
      <c r="F315" t="s">
        <v>33</v>
      </c>
      <c r="G315">
        <f>1</f>
        <v>1</v>
      </c>
      <c r="H315" s="3">
        <v>2041.75</v>
      </c>
      <c r="I315" s="3">
        <v>2299.37</v>
      </c>
      <c r="J315" s="3">
        <f t="shared" si="29"/>
        <v>1747.5211999999999</v>
      </c>
      <c r="K315" s="3">
        <f t="shared" si="30"/>
        <v>68153.326799999995</v>
      </c>
      <c r="L315" s="3">
        <f t="shared" si="33"/>
        <v>79628.25</v>
      </c>
      <c r="M315" s="8">
        <f t="shared" si="34"/>
        <v>-11474.923200000005</v>
      </c>
      <c r="N315" s="4">
        <f t="shared" si="31"/>
        <v>-0.16836923065654377</v>
      </c>
      <c r="O315" s="4" t="str">
        <f t="shared" si="32"/>
        <v>Loss</v>
      </c>
      <c r="P315" t="s">
        <v>15</v>
      </c>
      <c r="Q315">
        <v>0.24</v>
      </c>
      <c r="R315" t="s">
        <v>25</v>
      </c>
      <c r="S315" t="s">
        <v>20</v>
      </c>
      <c r="T315" t="s">
        <v>49</v>
      </c>
      <c r="U315" t="str">
        <f t="shared" si="35"/>
        <v>Low-Cost</v>
      </c>
    </row>
    <row r="316" spans="1:21" x14ac:dyDescent="0.3">
      <c r="A316">
        <v>1031</v>
      </c>
      <c r="B316" s="1">
        <v>45268</v>
      </c>
      <c r="C316" s="2" t="s">
        <v>22</v>
      </c>
      <c r="D316" t="s">
        <v>13</v>
      </c>
      <c r="E316">
        <v>22</v>
      </c>
      <c r="F316" t="s">
        <v>24</v>
      </c>
      <c r="G316">
        <f>1</f>
        <v>1</v>
      </c>
      <c r="H316" s="3">
        <v>4236.05</v>
      </c>
      <c r="I316" s="3">
        <v>4382.32</v>
      </c>
      <c r="J316" s="3">
        <f t="shared" si="29"/>
        <v>3505.8559999999998</v>
      </c>
      <c r="K316" s="3">
        <f t="shared" si="30"/>
        <v>77128.831999999995</v>
      </c>
      <c r="L316" s="3">
        <f t="shared" si="33"/>
        <v>93193.1</v>
      </c>
      <c r="M316" s="8">
        <f t="shared" si="34"/>
        <v>-16064.268000000011</v>
      </c>
      <c r="N316" s="4">
        <f t="shared" si="31"/>
        <v>-0.20827837766297319</v>
      </c>
      <c r="O316" s="4" t="str">
        <f t="shared" si="32"/>
        <v>Loss</v>
      </c>
      <c r="P316" t="s">
        <v>28</v>
      </c>
      <c r="Q316">
        <v>0.2</v>
      </c>
      <c r="R316" t="s">
        <v>25</v>
      </c>
      <c r="S316" t="s">
        <v>17</v>
      </c>
      <c r="T316" t="s">
        <v>43</v>
      </c>
      <c r="U316" t="str">
        <f t="shared" si="35"/>
        <v>High-Cost</v>
      </c>
    </row>
    <row r="317" spans="1:21" x14ac:dyDescent="0.3">
      <c r="A317">
        <v>1031</v>
      </c>
      <c r="B317" s="1">
        <v>45008</v>
      </c>
      <c r="C317" s="2" t="s">
        <v>36</v>
      </c>
      <c r="D317" t="s">
        <v>32</v>
      </c>
      <c r="E317">
        <v>32</v>
      </c>
      <c r="F317" t="s">
        <v>27</v>
      </c>
      <c r="G317">
        <f>1</f>
        <v>1</v>
      </c>
      <c r="H317" s="3">
        <v>3351.33</v>
      </c>
      <c r="I317" s="3">
        <v>3711.47</v>
      </c>
      <c r="J317" s="3">
        <f t="shared" si="29"/>
        <v>3117.6347999999998</v>
      </c>
      <c r="K317" s="3">
        <f t="shared" si="30"/>
        <v>99764.313599999994</v>
      </c>
      <c r="L317" s="3">
        <f t="shared" si="33"/>
        <v>107242.56</v>
      </c>
      <c r="M317" s="8">
        <f t="shared" si="34"/>
        <v>-7478.2464000000036</v>
      </c>
      <c r="N317" s="4">
        <f t="shared" si="31"/>
        <v>-7.4959132480815302E-2</v>
      </c>
      <c r="O317" s="4" t="str">
        <f t="shared" si="32"/>
        <v>Loss</v>
      </c>
      <c r="P317" t="s">
        <v>28</v>
      </c>
      <c r="Q317">
        <v>0.16</v>
      </c>
      <c r="R317" t="s">
        <v>16</v>
      </c>
      <c r="S317" t="s">
        <v>20</v>
      </c>
      <c r="T317" t="s">
        <v>46</v>
      </c>
      <c r="U317" t="str">
        <f t="shared" si="35"/>
        <v>High-Cost</v>
      </c>
    </row>
    <row r="318" spans="1:21" x14ac:dyDescent="0.3">
      <c r="A318">
        <v>1031</v>
      </c>
      <c r="B318" s="1">
        <v>45102</v>
      </c>
      <c r="C318" s="2" t="s">
        <v>40</v>
      </c>
      <c r="D318" t="s">
        <v>19</v>
      </c>
      <c r="E318">
        <v>10</v>
      </c>
      <c r="F318" t="s">
        <v>33</v>
      </c>
      <c r="G318">
        <f>1</f>
        <v>1</v>
      </c>
      <c r="H318" s="3">
        <v>566.86</v>
      </c>
      <c r="I318" s="3">
        <v>818.14</v>
      </c>
      <c r="J318" s="3">
        <f t="shared" si="29"/>
        <v>613.60500000000002</v>
      </c>
      <c r="K318" s="3">
        <f t="shared" si="30"/>
        <v>6136.0499999999993</v>
      </c>
      <c r="L318" s="3">
        <f t="shared" si="33"/>
        <v>5668.6</v>
      </c>
      <c r="M318" s="8">
        <f t="shared" si="34"/>
        <v>467.44999999999891</v>
      </c>
      <c r="N318" s="4">
        <f t="shared" si="31"/>
        <v>7.618093072905191E-2</v>
      </c>
      <c r="O318" s="4" t="str">
        <f t="shared" si="32"/>
        <v>Profit</v>
      </c>
      <c r="P318" t="s">
        <v>15</v>
      </c>
      <c r="Q318">
        <v>0.25</v>
      </c>
      <c r="R318" t="s">
        <v>29</v>
      </c>
      <c r="S318" t="s">
        <v>20</v>
      </c>
      <c r="T318" t="s">
        <v>49</v>
      </c>
      <c r="U318" t="str">
        <f t="shared" si="35"/>
        <v>Low-Cost</v>
      </c>
    </row>
    <row r="319" spans="1:21" x14ac:dyDescent="0.3">
      <c r="A319">
        <v>1032</v>
      </c>
      <c r="B319" s="1">
        <v>45085</v>
      </c>
      <c r="C319" s="2" t="s">
        <v>36</v>
      </c>
      <c r="D319" t="s">
        <v>19</v>
      </c>
      <c r="E319">
        <v>49</v>
      </c>
      <c r="F319" t="s">
        <v>33</v>
      </c>
      <c r="G319">
        <f>1</f>
        <v>1</v>
      </c>
      <c r="H319" s="3">
        <v>4812.41</v>
      </c>
      <c r="I319" s="3">
        <v>5088</v>
      </c>
      <c r="J319" s="3">
        <f t="shared" si="29"/>
        <v>4630.08</v>
      </c>
      <c r="K319" s="3">
        <f t="shared" si="30"/>
        <v>226873.92</v>
      </c>
      <c r="L319" s="3">
        <f t="shared" si="33"/>
        <v>235808.09</v>
      </c>
      <c r="M319" s="8">
        <f t="shared" si="34"/>
        <v>-8934.1699999999837</v>
      </c>
      <c r="N319" s="4">
        <f t="shared" si="31"/>
        <v>-3.9379449167184943E-2</v>
      </c>
      <c r="O319" s="4" t="str">
        <f t="shared" si="32"/>
        <v>Loss</v>
      </c>
      <c r="P319" t="s">
        <v>15</v>
      </c>
      <c r="Q319">
        <v>0.09</v>
      </c>
      <c r="R319" t="s">
        <v>29</v>
      </c>
      <c r="S319" t="s">
        <v>17</v>
      </c>
      <c r="T319" t="s">
        <v>39</v>
      </c>
      <c r="U319" t="str">
        <f t="shared" si="35"/>
        <v>High-Cost</v>
      </c>
    </row>
    <row r="320" spans="1:21" x14ac:dyDescent="0.3">
      <c r="A320">
        <v>1032</v>
      </c>
      <c r="B320" s="1">
        <v>45207</v>
      </c>
      <c r="C320" s="2" t="s">
        <v>36</v>
      </c>
      <c r="D320" t="s">
        <v>32</v>
      </c>
      <c r="E320">
        <v>11</v>
      </c>
      <c r="F320" t="s">
        <v>24</v>
      </c>
      <c r="G320">
        <f>1</f>
        <v>1</v>
      </c>
      <c r="H320" s="3">
        <v>2025.67</v>
      </c>
      <c r="I320" s="3">
        <v>2081.5500000000002</v>
      </c>
      <c r="J320" s="3">
        <f t="shared" si="29"/>
        <v>1519.5315000000001</v>
      </c>
      <c r="K320" s="3">
        <f t="shared" si="30"/>
        <v>16714.846500000003</v>
      </c>
      <c r="L320" s="3">
        <f t="shared" si="33"/>
        <v>22282.370000000003</v>
      </c>
      <c r="M320" s="8">
        <f t="shared" si="34"/>
        <v>-5567.5234999999993</v>
      </c>
      <c r="N320" s="4">
        <f t="shared" si="31"/>
        <v>-0.33308852103427922</v>
      </c>
      <c r="O320" s="4" t="str">
        <f t="shared" si="32"/>
        <v>Loss</v>
      </c>
      <c r="P320" t="s">
        <v>28</v>
      </c>
      <c r="Q320">
        <v>0.27</v>
      </c>
      <c r="R320" t="s">
        <v>25</v>
      </c>
      <c r="S320" t="s">
        <v>17</v>
      </c>
      <c r="T320" t="s">
        <v>46</v>
      </c>
      <c r="U320" t="str">
        <f t="shared" si="35"/>
        <v>Low-Cost</v>
      </c>
    </row>
    <row r="321" spans="1:21" x14ac:dyDescent="0.3">
      <c r="A321">
        <v>1032</v>
      </c>
      <c r="B321" s="1">
        <v>45239</v>
      </c>
      <c r="C321" s="2" t="s">
        <v>12</v>
      </c>
      <c r="D321" t="s">
        <v>32</v>
      </c>
      <c r="E321">
        <v>25</v>
      </c>
      <c r="F321" t="s">
        <v>33</v>
      </c>
      <c r="G321">
        <f>1</f>
        <v>1</v>
      </c>
      <c r="H321" s="3">
        <v>2934.3</v>
      </c>
      <c r="I321" s="3">
        <v>3337.4</v>
      </c>
      <c r="J321" s="3">
        <f t="shared" si="29"/>
        <v>2503.0500000000002</v>
      </c>
      <c r="K321" s="3">
        <f t="shared" si="30"/>
        <v>62576.25</v>
      </c>
      <c r="L321" s="3">
        <f t="shared" si="33"/>
        <v>73357.5</v>
      </c>
      <c r="M321" s="8">
        <f t="shared" si="34"/>
        <v>-10781.25</v>
      </c>
      <c r="N321" s="4">
        <f t="shared" si="31"/>
        <v>-0.17228980643614791</v>
      </c>
      <c r="O321" s="4" t="str">
        <f t="shared" si="32"/>
        <v>Loss</v>
      </c>
      <c r="P321" t="s">
        <v>15</v>
      </c>
      <c r="Q321">
        <v>0.25</v>
      </c>
      <c r="R321" t="s">
        <v>29</v>
      </c>
      <c r="S321" t="s">
        <v>20</v>
      </c>
      <c r="T321" t="s">
        <v>44</v>
      </c>
      <c r="U321" t="str">
        <f t="shared" si="35"/>
        <v>High-Cost</v>
      </c>
    </row>
    <row r="322" spans="1:21" x14ac:dyDescent="0.3">
      <c r="A322">
        <v>1032</v>
      </c>
      <c r="B322" s="1">
        <v>45149</v>
      </c>
      <c r="C322" s="2" t="s">
        <v>22</v>
      </c>
      <c r="D322" t="s">
        <v>32</v>
      </c>
      <c r="E322">
        <v>5</v>
      </c>
      <c r="F322" t="s">
        <v>24</v>
      </c>
      <c r="G322">
        <f>1</f>
        <v>1</v>
      </c>
      <c r="H322" s="3">
        <v>4714.74</v>
      </c>
      <c r="I322" s="3">
        <v>5129.1099999999997</v>
      </c>
      <c r="J322" s="3">
        <f t="shared" ref="J322:J385" si="36">I322*(1-Q322)</f>
        <v>3846.8324999999995</v>
      </c>
      <c r="K322" s="3">
        <f t="shared" ref="K322:K385" si="37">E322*I322*(1-Q322)</f>
        <v>19234.162499999999</v>
      </c>
      <c r="L322" s="3">
        <f t="shared" si="33"/>
        <v>23573.699999999997</v>
      </c>
      <c r="M322" s="8">
        <f t="shared" si="34"/>
        <v>-4339.5374999999985</v>
      </c>
      <c r="N322" s="4">
        <f t="shared" ref="N322:N385" si="38">(M322/K322)</f>
        <v>-0.22561614003209127</v>
      </c>
      <c r="O322" s="4" t="str">
        <f t="shared" ref="O322:O385" si="39">IF(M322&lt;0,"Loss","Profit")</f>
        <v>Loss</v>
      </c>
      <c r="P322" t="s">
        <v>28</v>
      </c>
      <c r="Q322">
        <v>0.25</v>
      </c>
      <c r="R322" t="s">
        <v>25</v>
      </c>
      <c r="S322" t="s">
        <v>17</v>
      </c>
      <c r="T322" t="s">
        <v>48</v>
      </c>
      <c r="U322" t="str">
        <f t="shared" si="35"/>
        <v>High-Cost</v>
      </c>
    </row>
    <row r="323" spans="1:21" x14ac:dyDescent="0.3">
      <c r="A323">
        <v>1032</v>
      </c>
      <c r="B323" s="1">
        <v>45211</v>
      </c>
      <c r="C323" s="2" t="s">
        <v>40</v>
      </c>
      <c r="D323" t="s">
        <v>13</v>
      </c>
      <c r="E323">
        <v>17</v>
      </c>
      <c r="F323" t="s">
        <v>27</v>
      </c>
      <c r="G323">
        <f>1</f>
        <v>1</v>
      </c>
      <c r="H323" s="3">
        <v>1291.9100000000001</v>
      </c>
      <c r="I323" s="3">
        <v>1528.59</v>
      </c>
      <c r="J323" s="3">
        <f t="shared" si="36"/>
        <v>1360.4450999999999</v>
      </c>
      <c r="K323" s="3">
        <f t="shared" si="37"/>
        <v>23127.566699999999</v>
      </c>
      <c r="L323" s="3">
        <f t="shared" ref="L323:L386" si="40">H323*E323</f>
        <v>21962.47</v>
      </c>
      <c r="M323" s="8">
        <f t="shared" ref="M323:M386" si="41">K323-L323</f>
        <v>1165.0966999999982</v>
      </c>
      <c r="N323" s="4">
        <f t="shared" si="38"/>
        <v>5.0376968537723353E-2</v>
      </c>
      <c r="O323" s="4" t="str">
        <f t="shared" si="39"/>
        <v>Profit</v>
      </c>
      <c r="P323" t="s">
        <v>15</v>
      </c>
      <c r="Q323">
        <v>0.11</v>
      </c>
      <c r="R323" t="s">
        <v>29</v>
      </c>
      <c r="S323" t="s">
        <v>20</v>
      </c>
      <c r="T323" t="s">
        <v>47</v>
      </c>
      <c r="U323" t="str">
        <f t="shared" si="35"/>
        <v>Low-Cost</v>
      </c>
    </row>
    <row r="324" spans="1:21" x14ac:dyDescent="0.3">
      <c r="A324">
        <v>1032</v>
      </c>
      <c r="B324" s="1">
        <v>44998</v>
      </c>
      <c r="C324" s="2" t="s">
        <v>40</v>
      </c>
      <c r="D324" t="s">
        <v>13</v>
      </c>
      <c r="E324">
        <v>20</v>
      </c>
      <c r="F324" t="s">
        <v>33</v>
      </c>
      <c r="G324">
        <f>1</f>
        <v>1</v>
      </c>
      <c r="H324" s="3">
        <v>4741.59</v>
      </c>
      <c r="I324" s="3">
        <v>4975.2299999999996</v>
      </c>
      <c r="J324" s="3">
        <f t="shared" si="36"/>
        <v>4527.4592999999995</v>
      </c>
      <c r="K324" s="3">
        <f t="shared" si="37"/>
        <v>90549.186000000002</v>
      </c>
      <c r="L324" s="3">
        <f t="shared" si="40"/>
        <v>94831.8</v>
      </c>
      <c r="M324" s="8">
        <f t="shared" si="41"/>
        <v>-4282.6140000000014</v>
      </c>
      <c r="N324" s="4">
        <f t="shared" si="38"/>
        <v>-4.7295996675221372E-2</v>
      </c>
      <c r="O324" s="4" t="str">
        <f t="shared" si="39"/>
        <v>Loss</v>
      </c>
      <c r="P324" t="s">
        <v>28</v>
      </c>
      <c r="Q324">
        <v>0.09</v>
      </c>
      <c r="R324" t="s">
        <v>29</v>
      </c>
      <c r="S324" t="s">
        <v>17</v>
      </c>
      <c r="T324" t="s">
        <v>47</v>
      </c>
      <c r="U324" t="str">
        <f t="shared" si="35"/>
        <v>High-Cost</v>
      </c>
    </row>
    <row r="325" spans="1:21" x14ac:dyDescent="0.3">
      <c r="A325">
        <v>1032</v>
      </c>
      <c r="B325" s="1">
        <v>45030</v>
      </c>
      <c r="C325" s="2" t="s">
        <v>22</v>
      </c>
      <c r="D325" t="s">
        <v>13</v>
      </c>
      <c r="E325">
        <v>45</v>
      </c>
      <c r="F325" t="s">
        <v>27</v>
      </c>
      <c r="G325">
        <f>1</f>
        <v>1</v>
      </c>
      <c r="H325" s="3">
        <v>3712.35</v>
      </c>
      <c r="I325" s="3">
        <v>3780.88</v>
      </c>
      <c r="J325" s="3">
        <f t="shared" si="36"/>
        <v>3516.2183999999997</v>
      </c>
      <c r="K325" s="3">
        <f t="shared" si="37"/>
        <v>158229.82800000001</v>
      </c>
      <c r="L325" s="3">
        <f t="shared" si="40"/>
        <v>167055.75</v>
      </c>
      <c r="M325" s="8">
        <f t="shared" si="41"/>
        <v>-8825.9219999999914</v>
      </c>
      <c r="N325" s="4">
        <f t="shared" si="38"/>
        <v>-5.5779129077988952E-2</v>
      </c>
      <c r="O325" s="4" t="str">
        <f t="shared" si="39"/>
        <v>Loss</v>
      </c>
      <c r="P325" t="s">
        <v>28</v>
      </c>
      <c r="Q325">
        <v>7.0000000000000007E-2</v>
      </c>
      <c r="R325" t="s">
        <v>16</v>
      </c>
      <c r="S325" t="s">
        <v>20</v>
      </c>
      <c r="T325" t="s">
        <v>43</v>
      </c>
      <c r="U325" t="str">
        <f t="shared" si="35"/>
        <v>High-Cost</v>
      </c>
    </row>
    <row r="326" spans="1:21" x14ac:dyDescent="0.3">
      <c r="A326">
        <v>1032</v>
      </c>
      <c r="B326" s="1">
        <v>45245</v>
      </c>
      <c r="C326" s="2" t="s">
        <v>40</v>
      </c>
      <c r="D326" t="s">
        <v>19</v>
      </c>
      <c r="E326">
        <v>1</v>
      </c>
      <c r="F326" t="s">
        <v>24</v>
      </c>
      <c r="G326">
        <f>1</f>
        <v>1</v>
      </c>
      <c r="H326" s="3">
        <v>651</v>
      </c>
      <c r="I326" s="3">
        <v>865.76</v>
      </c>
      <c r="J326" s="3">
        <f t="shared" si="36"/>
        <v>787.84159999999997</v>
      </c>
      <c r="K326" s="3">
        <f t="shared" si="37"/>
        <v>787.84159999999997</v>
      </c>
      <c r="L326" s="3">
        <f t="shared" si="40"/>
        <v>651</v>
      </c>
      <c r="M326" s="8">
        <f t="shared" si="41"/>
        <v>136.84159999999997</v>
      </c>
      <c r="N326" s="4">
        <f t="shared" si="38"/>
        <v>0.17369176748219436</v>
      </c>
      <c r="O326" s="4" t="str">
        <f t="shared" si="39"/>
        <v>Profit</v>
      </c>
      <c r="P326" t="s">
        <v>15</v>
      </c>
      <c r="Q326">
        <v>0.09</v>
      </c>
      <c r="R326" t="s">
        <v>25</v>
      </c>
      <c r="S326" t="s">
        <v>20</v>
      </c>
      <c r="T326" t="s">
        <v>49</v>
      </c>
      <c r="U326" t="str">
        <f t="shared" si="35"/>
        <v>Low-Cost</v>
      </c>
    </row>
    <row r="327" spans="1:21" x14ac:dyDescent="0.3">
      <c r="A327">
        <v>1032</v>
      </c>
      <c r="B327" s="1">
        <v>45163</v>
      </c>
      <c r="C327" s="2" t="s">
        <v>12</v>
      </c>
      <c r="D327" t="s">
        <v>13</v>
      </c>
      <c r="E327">
        <v>23</v>
      </c>
      <c r="F327" t="s">
        <v>33</v>
      </c>
      <c r="G327">
        <f>1</f>
        <v>1</v>
      </c>
      <c r="H327" s="3">
        <v>4673.1899999999996</v>
      </c>
      <c r="I327" s="3">
        <v>4761.18</v>
      </c>
      <c r="J327" s="3">
        <f t="shared" si="36"/>
        <v>3951.7793999999999</v>
      </c>
      <c r="K327" s="3">
        <f t="shared" si="37"/>
        <v>90890.926200000002</v>
      </c>
      <c r="L327" s="3">
        <f t="shared" si="40"/>
        <v>107483.37</v>
      </c>
      <c r="M327" s="8">
        <f t="shared" si="41"/>
        <v>-16592.443799999994</v>
      </c>
      <c r="N327" s="4">
        <f t="shared" si="38"/>
        <v>-0.18255335811508094</v>
      </c>
      <c r="O327" s="4" t="str">
        <f t="shared" si="39"/>
        <v>Loss</v>
      </c>
      <c r="P327" t="s">
        <v>15</v>
      </c>
      <c r="Q327">
        <v>0.17</v>
      </c>
      <c r="R327" t="s">
        <v>29</v>
      </c>
      <c r="S327" t="s">
        <v>20</v>
      </c>
      <c r="T327" t="s">
        <v>18</v>
      </c>
      <c r="U327" t="str">
        <f t="shared" si="35"/>
        <v>High-Cost</v>
      </c>
    </row>
    <row r="328" spans="1:21" x14ac:dyDescent="0.3">
      <c r="A328">
        <v>1032</v>
      </c>
      <c r="B328" s="1">
        <v>45286</v>
      </c>
      <c r="C328" s="2" t="s">
        <v>22</v>
      </c>
      <c r="D328" t="s">
        <v>23</v>
      </c>
      <c r="E328">
        <v>11</v>
      </c>
      <c r="F328" t="s">
        <v>27</v>
      </c>
      <c r="G328">
        <f>1</f>
        <v>1</v>
      </c>
      <c r="H328" s="3">
        <v>4100.62</v>
      </c>
      <c r="I328" s="3">
        <v>4230</v>
      </c>
      <c r="J328" s="3">
        <f t="shared" si="36"/>
        <v>3003.2999999999997</v>
      </c>
      <c r="K328" s="3">
        <f t="shared" si="37"/>
        <v>33036.299999999996</v>
      </c>
      <c r="L328" s="3">
        <f t="shared" si="40"/>
        <v>45106.82</v>
      </c>
      <c r="M328" s="8">
        <f t="shared" si="41"/>
        <v>-12070.520000000004</v>
      </c>
      <c r="N328" s="4">
        <f t="shared" si="38"/>
        <v>-0.3653714247660908</v>
      </c>
      <c r="O328" s="4" t="str">
        <f t="shared" si="39"/>
        <v>Loss</v>
      </c>
      <c r="P328" t="s">
        <v>28</v>
      </c>
      <c r="Q328">
        <v>0.28999999999999998</v>
      </c>
      <c r="R328" t="s">
        <v>25</v>
      </c>
      <c r="S328" t="s">
        <v>17</v>
      </c>
      <c r="T328" t="s">
        <v>26</v>
      </c>
      <c r="U328" t="str">
        <f t="shared" ref="U328:U391" si="42">IF(I328 &gt;=2800, "High-Cost", "Low-Cost")</f>
        <v>High-Cost</v>
      </c>
    </row>
    <row r="329" spans="1:21" x14ac:dyDescent="0.3">
      <c r="A329">
        <v>1032</v>
      </c>
      <c r="B329" s="1">
        <v>45046</v>
      </c>
      <c r="C329" s="2" t="s">
        <v>40</v>
      </c>
      <c r="D329" t="s">
        <v>19</v>
      </c>
      <c r="E329">
        <v>18</v>
      </c>
      <c r="F329" t="s">
        <v>33</v>
      </c>
      <c r="G329">
        <f>1</f>
        <v>1</v>
      </c>
      <c r="H329" s="3">
        <v>2466.1799999999998</v>
      </c>
      <c r="I329" s="3">
        <v>2483.87</v>
      </c>
      <c r="J329" s="3">
        <f t="shared" si="36"/>
        <v>2285.1604000000002</v>
      </c>
      <c r="K329" s="3">
        <f t="shared" si="37"/>
        <v>41132.887199999997</v>
      </c>
      <c r="L329" s="3">
        <f t="shared" si="40"/>
        <v>44391.24</v>
      </c>
      <c r="M329" s="8">
        <f t="shared" si="41"/>
        <v>-3258.3528000000006</v>
      </c>
      <c r="N329" s="4">
        <f t="shared" si="38"/>
        <v>-7.9215270840506447E-2</v>
      </c>
      <c r="O329" s="4" t="str">
        <f t="shared" si="39"/>
        <v>Loss</v>
      </c>
      <c r="P329" t="s">
        <v>15</v>
      </c>
      <c r="Q329">
        <v>0.08</v>
      </c>
      <c r="R329" t="s">
        <v>16</v>
      </c>
      <c r="S329" t="s">
        <v>17</v>
      </c>
      <c r="T329" t="s">
        <v>49</v>
      </c>
      <c r="U329" t="str">
        <f t="shared" si="42"/>
        <v>Low-Cost</v>
      </c>
    </row>
    <row r="330" spans="1:21" x14ac:dyDescent="0.3">
      <c r="A330">
        <v>1032</v>
      </c>
      <c r="B330" s="1">
        <v>45107</v>
      </c>
      <c r="C330" s="2" t="s">
        <v>36</v>
      </c>
      <c r="D330" t="s">
        <v>13</v>
      </c>
      <c r="E330">
        <v>6</v>
      </c>
      <c r="F330" t="s">
        <v>27</v>
      </c>
      <c r="G330">
        <f>1</f>
        <v>1</v>
      </c>
      <c r="H330" s="3">
        <v>2522.7600000000002</v>
      </c>
      <c r="I330" s="3">
        <v>2840.14</v>
      </c>
      <c r="J330" s="3">
        <f t="shared" si="36"/>
        <v>2641.3301999999999</v>
      </c>
      <c r="K330" s="3">
        <f t="shared" si="37"/>
        <v>15847.981199999998</v>
      </c>
      <c r="L330" s="3">
        <f t="shared" si="40"/>
        <v>15136.560000000001</v>
      </c>
      <c r="M330" s="8">
        <f t="shared" si="41"/>
        <v>711.42119999999704</v>
      </c>
      <c r="N330" s="4">
        <f t="shared" si="38"/>
        <v>4.4890335937551283E-2</v>
      </c>
      <c r="O330" s="4" t="str">
        <f t="shared" si="39"/>
        <v>Profit</v>
      </c>
      <c r="P330" t="s">
        <v>15</v>
      </c>
      <c r="Q330">
        <v>7.0000000000000007E-2</v>
      </c>
      <c r="R330" t="s">
        <v>29</v>
      </c>
      <c r="S330" t="s">
        <v>20</v>
      </c>
      <c r="T330" t="s">
        <v>38</v>
      </c>
      <c r="U330" t="str">
        <f t="shared" si="42"/>
        <v>High-Cost</v>
      </c>
    </row>
    <row r="331" spans="1:21" x14ac:dyDescent="0.3">
      <c r="A331">
        <v>1033</v>
      </c>
      <c r="B331" s="1">
        <v>45141</v>
      </c>
      <c r="C331" s="2" t="s">
        <v>40</v>
      </c>
      <c r="D331" t="s">
        <v>19</v>
      </c>
      <c r="E331">
        <v>40</v>
      </c>
      <c r="F331" t="s">
        <v>24</v>
      </c>
      <c r="G331">
        <f>1</f>
        <v>1</v>
      </c>
      <c r="H331" s="3">
        <v>541.19000000000005</v>
      </c>
      <c r="I331" s="3">
        <v>595.20000000000005</v>
      </c>
      <c r="J331" s="3">
        <f t="shared" si="36"/>
        <v>482.11200000000008</v>
      </c>
      <c r="K331" s="3">
        <f t="shared" si="37"/>
        <v>19284.48</v>
      </c>
      <c r="L331" s="3">
        <f t="shared" si="40"/>
        <v>21647.600000000002</v>
      </c>
      <c r="M331" s="8">
        <f t="shared" si="41"/>
        <v>-2363.1200000000026</v>
      </c>
      <c r="N331" s="4">
        <f t="shared" si="38"/>
        <v>-0.12253999070755357</v>
      </c>
      <c r="O331" s="4" t="str">
        <f t="shared" si="39"/>
        <v>Loss</v>
      </c>
      <c r="P331" t="s">
        <v>15</v>
      </c>
      <c r="Q331">
        <v>0.19</v>
      </c>
      <c r="R331" t="s">
        <v>29</v>
      </c>
      <c r="S331" t="s">
        <v>17</v>
      </c>
      <c r="T331" t="s">
        <v>49</v>
      </c>
      <c r="U331" t="str">
        <f t="shared" si="42"/>
        <v>Low-Cost</v>
      </c>
    </row>
    <row r="332" spans="1:21" x14ac:dyDescent="0.3">
      <c r="A332">
        <v>1033</v>
      </c>
      <c r="B332" s="1">
        <v>44989</v>
      </c>
      <c r="C332" s="2" t="s">
        <v>12</v>
      </c>
      <c r="D332" t="s">
        <v>19</v>
      </c>
      <c r="E332">
        <v>14</v>
      </c>
      <c r="F332" t="s">
        <v>27</v>
      </c>
      <c r="G332">
        <f>1</f>
        <v>1</v>
      </c>
      <c r="H332" s="3">
        <v>362.38</v>
      </c>
      <c r="I332" s="3">
        <v>753.81</v>
      </c>
      <c r="J332" s="3">
        <f t="shared" si="36"/>
        <v>610.58609999999999</v>
      </c>
      <c r="K332" s="3">
        <f t="shared" si="37"/>
        <v>8548.2054000000007</v>
      </c>
      <c r="L332" s="3">
        <f t="shared" si="40"/>
        <v>5073.32</v>
      </c>
      <c r="M332" s="8">
        <f t="shared" si="41"/>
        <v>3474.885400000001</v>
      </c>
      <c r="N332" s="4">
        <f t="shared" si="38"/>
        <v>0.40650466821960091</v>
      </c>
      <c r="O332" s="4" t="str">
        <f t="shared" si="39"/>
        <v>Profit</v>
      </c>
      <c r="P332" t="s">
        <v>15</v>
      </c>
      <c r="Q332">
        <v>0.19</v>
      </c>
      <c r="R332" t="s">
        <v>16</v>
      </c>
      <c r="S332" t="s">
        <v>20</v>
      </c>
      <c r="T332" t="s">
        <v>21</v>
      </c>
      <c r="U332" t="str">
        <f t="shared" si="42"/>
        <v>Low-Cost</v>
      </c>
    </row>
    <row r="333" spans="1:21" x14ac:dyDescent="0.3">
      <c r="A333">
        <v>1033</v>
      </c>
      <c r="B333" s="1">
        <v>45083</v>
      </c>
      <c r="C333" s="2" t="s">
        <v>40</v>
      </c>
      <c r="D333" t="s">
        <v>32</v>
      </c>
      <c r="E333">
        <v>32</v>
      </c>
      <c r="F333" t="s">
        <v>24</v>
      </c>
      <c r="G333">
        <f>1</f>
        <v>1</v>
      </c>
      <c r="H333" s="3">
        <v>108.99</v>
      </c>
      <c r="I333" s="3">
        <v>351.6</v>
      </c>
      <c r="J333" s="3">
        <f t="shared" si="36"/>
        <v>256.66800000000001</v>
      </c>
      <c r="K333" s="3">
        <f t="shared" si="37"/>
        <v>8213.3760000000002</v>
      </c>
      <c r="L333" s="3">
        <f t="shared" si="40"/>
        <v>3487.68</v>
      </c>
      <c r="M333" s="8">
        <f t="shared" si="41"/>
        <v>4725.6959999999999</v>
      </c>
      <c r="N333" s="4">
        <f t="shared" si="38"/>
        <v>0.57536584225536491</v>
      </c>
      <c r="O333" s="4" t="str">
        <f t="shared" si="39"/>
        <v>Profit</v>
      </c>
      <c r="P333" t="s">
        <v>15</v>
      </c>
      <c r="Q333">
        <v>0.27</v>
      </c>
      <c r="R333" t="s">
        <v>29</v>
      </c>
      <c r="S333" t="s">
        <v>20</v>
      </c>
      <c r="T333" t="s">
        <v>50</v>
      </c>
      <c r="U333" t="str">
        <f t="shared" si="42"/>
        <v>Low-Cost</v>
      </c>
    </row>
    <row r="334" spans="1:21" x14ac:dyDescent="0.3">
      <c r="A334">
        <v>1033</v>
      </c>
      <c r="B334" s="1">
        <v>45023</v>
      </c>
      <c r="C334" s="2" t="s">
        <v>12</v>
      </c>
      <c r="D334" t="s">
        <v>32</v>
      </c>
      <c r="E334">
        <v>4</v>
      </c>
      <c r="F334" t="s">
        <v>24</v>
      </c>
      <c r="G334">
        <f>1</f>
        <v>1</v>
      </c>
      <c r="H334" s="3">
        <v>2000.75</v>
      </c>
      <c r="I334" s="3">
        <v>2426.9899999999998</v>
      </c>
      <c r="J334" s="3">
        <f t="shared" si="36"/>
        <v>2014.4016999999997</v>
      </c>
      <c r="K334" s="3">
        <f t="shared" si="37"/>
        <v>8057.6067999999987</v>
      </c>
      <c r="L334" s="3">
        <f t="shared" si="40"/>
        <v>8003</v>
      </c>
      <c r="M334" s="8">
        <f t="shared" si="41"/>
        <v>54.606799999998657</v>
      </c>
      <c r="N334" s="4">
        <f t="shared" si="38"/>
        <v>6.7770494832285269E-3</v>
      </c>
      <c r="O334" s="4" t="str">
        <f t="shared" si="39"/>
        <v>Profit</v>
      </c>
      <c r="P334" t="s">
        <v>15</v>
      </c>
      <c r="Q334">
        <v>0.17</v>
      </c>
      <c r="R334" t="s">
        <v>25</v>
      </c>
      <c r="S334" t="s">
        <v>17</v>
      </c>
      <c r="T334" t="s">
        <v>44</v>
      </c>
      <c r="U334" t="str">
        <f t="shared" si="42"/>
        <v>Low-Cost</v>
      </c>
    </row>
    <row r="335" spans="1:21" x14ac:dyDescent="0.3">
      <c r="A335">
        <v>1033</v>
      </c>
      <c r="B335" s="1">
        <v>45114</v>
      </c>
      <c r="C335" s="2" t="s">
        <v>36</v>
      </c>
      <c r="D335" t="s">
        <v>32</v>
      </c>
      <c r="E335">
        <v>13</v>
      </c>
      <c r="F335" t="s">
        <v>24</v>
      </c>
      <c r="G335">
        <f>1</f>
        <v>1</v>
      </c>
      <c r="H335" s="3">
        <v>4342.53</v>
      </c>
      <c r="I335" s="3">
        <v>4357.49</v>
      </c>
      <c r="J335" s="3">
        <f t="shared" si="36"/>
        <v>4008.8908000000001</v>
      </c>
      <c r="K335" s="3">
        <f t="shared" si="37"/>
        <v>52115.580399999999</v>
      </c>
      <c r="L335" s="3">
        <f t="shared" si="40"/>
        <v>56452.89</v>
      </c>
      <c r="M335" s="8">
        <f t="shared" si="41"/>
        <v>-4337.3096000000005</v>
      </c>
      <c r="N335" s="4">
        <f t="shared" si="38"/>
        <v>-8.3224816201029977E-2</v>
      </c>
      <c r="O335" s="4" t="str">
        <f t="shared" si="39"/>
        <v>Loss</v>
      </c>
      <c r="P335" t="s">
        <v>28</v>
      </c>
      <c r="Q335">
        <v>0.08</v>
      </c>
      <c r="R335" t="s">
        <v>25</v>
      </c>
      <c r="S335" t="s">
        <v>17</v>
      </c>
      <c r="T335" t="s">
        <v>46</v>
      </c>
      <c r="U335" t="str">
        <f t="shared" si="42"/>
        <v>High-Cost</v>
      </c>
    </row>
    <row r="336" spans="1:21" x14ac:dyDescent="0.3">
      <c r="A336">
        <v>1033</v>
      </c>
      <c r="B336" s="1">
        <v>44965</v>
      </c>
      <c r="C336" s="2" t="s">
        <v>36</v>
      </c>
      <c r="D336" t="s">
        <v>13</v>
      </c>
      <c r="E336">
        <v>39</v>
      </c>
      <c r="F336" t="s">
        <v>33</v>
      </c>
      <c r="G336">
        <f>1</f>
        <v>1</v>
      </c>
      <c r="H336" s="3">
        <v>4232.8100000000004</v>
      </c>
      <c r="I336" s="3">
        <v>4345.25</v>
      </c>
      <c r="J336" s="3">
        <f t="shared" si="36"/>
        <v>3823.82</v>
      </c>
      <c r="K336" s="3">
        <f t="shared" si="37"/>
        <v>149128.98000000001</v>
      </c>
      <c r="L336" s="3">
        <f t="shared" si="40"/>
        <v>165079.59000000003</v>
      </c>
      <c r="M336" s="8">
        <f t="shared" si="41"/>
        <v>-15950.610000000015</v>
      </c>
      <c r="N336" s="4">
        <f t="shared" si="38"/>
        <v>-0.10695848653963846</v>
      </c>
      <c r="O336" s="4" t="str">
        <f t="shared" si="39"/>
        <v>Loss</v>
      </c>
      <c r="P336" t="s">
        <v>15</v>
      </c>
      <c r="Q336">
        <v>0.12</v>
      </c>
      <c r="R336" t="s">
        <v>25</v>
      </c>
      <c r="S336" t="s">
        <v>17</v>
      </c>
      <c r="T336" t="s">
        <v>38</v>
      </c>
      <c r="U336" t="str">
        <f t="shared" si="42"/>
        <v>High-Cost</v>
      </c>
    </row>
    <row r="337" spans="1:21" x14ac:dyDescent="0.3">
      <c r="A337">
        <v>1033</v>
      </c>
      <c r="B337" s="1">
        <v>45239</v>
      </c>
      <c r="C337" s="2" t="s">
        <v>22</v>
      </c>
      <c r="D337" t="s">
        <v>32</v>
      </c>
      <c r="E337">
        <v>6</v>
      </c>
      <c r="F337" t="s">
        <v>27</v>
      </c>
      <c r="G337">
        <f>1</f>
        <v>1</v>
      </c>
      <c r="H337" s="3">
        <v>1621.07</v>
      </c>
      <c r="I337" s="3">
        <v>1687.5</v>
      </c>
      <c r="J337" s="3">
        <f t="shared" si="36"/>
        <v>1485</v>
      </c>
      <c r="K337" s="3">
        <f t="shared" si="37"/>
        <v>8910</v>
      </c>
      <c r="L337" s="3">
        <f t="shared" si="40"/>
        <v>9726.42</v>
      </c>
      <c r="M337" s="8">
        <f t="shared" si="41"/>
        <v>-816.42000000000007</v>
      </c>
      <c r="N337" s="4">
        <f t="shared" si="38"/>
        <v>-9.1629629629629644E-2</v>
      </c>
      <c r="O337" s="4" t="str">
        <f t="shared" si="39"/>
        <v>Loss</v>
      </c>
      <c r="P337" t="s">
        <v>15</v>
      </c>
      <c r="Q337">
        <v>0.12</v>
      </c>
      <c r="R337" t="s">
        <v>29</v>
      </c>
      <c r="S337" t="s">
        <v>17</v>
      </c>
      <c r="T337" t="s">
        <v>48</v>
      </c>
      <c r="U337" t="str">
        <f t="shared" si="42"/>
        <v>Low-Cost</v>
      </c>
    </row>
    <row r="338" spans="1:21" x14ac:dyDescent="0.3">
      <c r="A338">
        <v>1033</v>
      </c>
      <c r="B338" s="1">
        <v>45058</v>
      </c>
      <c r="C338" s="2" t="s">
        <v>12</v>
      </c>
      <c r="D338" t="s">
        <v>13</v>
      </c>
      <c r="E338">
        <v>16</v>
      </c>
      <c r="F338" t="s">
        <v>14</v>
      </c>
      <c r="G338">
        <f>1</f>
        <v>1</v>
      </c>
      <c r="H338" s="3">
        <v>2915.88</v>
      </c>
      <c r="I338" s="3">
        <v>3397.36</v>
      </c>
      <c r="J338" s="3">
        <f t="shared" si="36"/>
        <v>2717.8880000000004</v>
      </c>
      <c r="K338" s="3">
        <f t="shared" si="37"/>
        <v>43486.208000000006</v>
      </c>
      <c r="L338" s="3">
        <f t="shared" si="40"/>
        <v>46654.080000000002</v>
      </c>
      <c r="M338" s="8">
        <f t="shared" si="41"/>
        <v>-3167.8719999999958</v>
      </c>
      <c r="N338" s="4">
        <f t="shared" si="38"/>
        <v>-7.2847740598582317E-2</v>
      </c>
      <c r="O338" s="4" t="str">
        <f t="shared" si="39"/>
        <v>Loss</v>
      </c>
      <c r="P338" t="s">
        <v>28</v>
      </c>
      <c r="Q338">
        <v>0.2</v>
      </c>
      <c r="R338" t="s">
        <v>25</v>
      </c>
      <c r="S338" t="s">
        <v>20</v>
      </c>
      <c r="T338" t="s">
        <v>18</v>
      </c>
      <c r="U338" t="str">
        <f t="shared" si="42"/>
        <v>High-Cost</v>
      </c>
    </row>
    <row r="339" spans="1:21" x14ac:dyDescent="0.3">
      <c r="A339">
        <v>1033</v>
      </c>
      <c r="B339" s="1">
        <v>44940</v>
      </c>
      <c r="C339" s="2" t="s">
        <v>40</v>
      </c>
      <c r="D339" t="s">
        <v>19</v>
      </c>
      <c r="E339">
        <v>24</v>
      </c>
      <c r="F339" t="s">
        <v>27</v>
      </c>
      <c r="G339">
        <f>1</f>
        <v>1</v>
      </c>
      <c r="H339" s="3">
        <v>1345.67</v>
      </c>
      <c r="I339" s="3">
        <v>1367.76</v>
      </c>
      <c r="J339" s="3">
        <f t="shared" si="36"/>
        <v>1285.6943999999999</v>
      </c>
      <c r="K339" s="3">
        <f t="shared" si="37"/>
        <v>30856.665599999997</v>
      </c>
      <c r="L339" s="3">
        <f t="shared" si="40"/>
        <v>32296.080000000002</v>
      </c>
      <c r="M339" s="8">
        <f t="shared" si="41"/>
        <v>-1439.4144000000051</v>
      </c>
      <c r="N339" s="4">
        <f t="shared" si="38"/>
        <v>-4.6648410384303E-2</v>
      </c>
      <c r="O339" s="4" t="str">
        <f t="shared" si="39"/>
        <v>Loss</v>
      </c>
      <c r="P339" t="s">
        <v>28</v>
      </c>
      <c r="Q339">
        <v>0.06</v>
      </c>
      <c r="R339" t="s">
        <v>25</v>
      </c>
      <c r="S339" t="s">
        <v>17</v>
      </c>
      <c r="T339" t="s">
        <v>49</v>
      </c>
      <c r="U339" t="str">
        <f t="shared" si="42"/>
        <v>Low-Cost</v>
      </c>
    </row>
    <row r="340" spans="1:21" x14ac:dyDescent="0.3">
      <c r="A340">
        <v>1033</v>
      </c>
      <c r="B340" s="1">
        <v>45244</v>
      </c>
      <c r="C340" s="2" t="s">
        <v>22</v>
      </c>
      <c r="D340" t="s">
        <v>23</v>
      </c>
      <c r="E340">
        <v>23</v>
      </c>
      <c r="F340" t="s">
        <v>14</v>
      </c>
      <c r="G340">
        <f>1</f>
        <v>1</v>
      </c>
      <c r="H340" s="3">
        <v>2981.5</v>
      </c>
      <c r="I340" s="3">
        <v>3360.4</v>
      </c>
      <c r="J340" s="3">
        <f t="shared" si="36"/>
        <v>2621.1120000000001</v>
      </c>
      <c r="K340" s="3">
        <f t="shared" si="37"/>
        <v>60285.576000000001</v>
      </c>
      <c r="L340" s="3">
        <f t="shared" si="40"/>
        <v>68574.5</v>
      </c>
      <c r="M340" s="8">
        <f t="shared" si="41"/>
        <v>-8288.9239999999991</v>
      </c>
      <c r="N340" s="4">
        <f t="shared" si="38"/>
        <v>-0.137494315389804</v>
      </c>
      <c r="O340" s="4" t="str">
        <f t="shared" si="39"/>
        <v>Loss</v>
      </c>
      <c r="P340" t="s">
        <v>15</v>
      </c>
      <c r="Q340">
        <v>0.22</v>
      </c>
      <c r="R340" t="s">
        <v>25</v>
      </c>
      <c r="S340" t="s">
        <v>20</v>
      </c>
      <c r="T340" t="s">
        <v>26</v>
      </c>
      <c r="U340" t="str">
        <f t="shared" si="42"/>
        <v>High-Cost</v>
      </c>
    </row>
    <row r="341" spans="1:21" x14ac:dyDescent="0.3">
      <c r="A341">
        <v>1033</v>
      </c>
      <c r="B341" s="1">
        <v>45153</v>
      </c>
      <c r="C341" s="2" t="s">
        <v>36</v>
      </c>
      <c r="D341" t="s">
        <v>32</v>
      </c>
      <c r="E341">
        <v>29</v>
      </c>
      <c r="F341" t="s">
        <v>27</v>
      </c>
      <c r="G341">
        <f>1</f>
        <v>1</v>
      </c>
      <c r="H341" s="3">
        <v>1412.09</v>
      </c>
      <c r="I341" s="3">
        <v>1596.65</v>
      </c>
      <c r="J341" s="3">
        <f t="shared" si="36"/>
        <v>1484.8844999999999</v>
      </c>
      <c r="K341" s="3">
        <f t="shared" si="37"/>
        <v>43061.650500000003</v>
      </c>
      <c r="L341" s="3">
        <f t="shared" si="40"/>
        <v>40950.61</v>
      </c>
      <c r="M341" s="8">
        <f t="shared" si="41"/>
        <v>2111.0405000000028</v>
      </c>
      <c r="N341" s="4">
        <f t="shared" si="38"/>
        <v>4.9023678272619921E-2</v>
      </c>
      <c r="O341" s="4" t="str">
        <f t="shared" si="39"/>
        <v>Profit</v>
      </c>
      <c r="P341" t="s">
        <v>15</v>
      </c>
      <c r="Q341">
        <v>7.0000000000000007E-2</v>
      </c>
      <c r="R341" t="s">
        <v>16</v>
      </c>
      <c r="S341" t="s">
        <v>17</v>
      </c>
      <c r="T341" t="s">
        <v>46</v>
      </c>
      <c r="U341" t="str">
        <f t="shared" si="42"/>
        <v>Low-Cost</v>
      </c>
    </row>
    <row r="342" spans="1:21" x14ac:dyDescent="0.3">
      <c r="A342">
        <v>1033</v>
      </c>
      <c r="B342" s="1">
        <v>45035</v>
      </c>
      <c r="C342" s="2" t="s">
        <v>12</v>
      </c>
      <c r="D342" t="s">
        <v>23</v>
      </c>
      <c r="E342">
        <v>5</v>
      </c>
      <c r="F342" t="s">
        <v>14</v>
      </c>
      <c r="G342">
        <f>1</f>
        <v>1</v>
      </c>
      <c r="H342" s="3">
        <v>3162.92</v>
      </c>
      <c r="I342" s="3">
        <v>3409.93</v>
      </c>
      <c r="J342" s="3">
        <f t="shared" si="36"/>
        <v>3409.93</v>
      </c>
      <c r="K342" s="3">
        <f t="shared" si="37"/>
        <v>17049.649999999998</v>
      </c>
      <c r="L342" s="3">
        <f t="shared" si="40"/>
        <v>15814.6</v>
      </c>
      <c r="M342" s="8">
        <f t="shared" si="41"/>
        <v>1235.0499999999975</v>
      </c>
      <c r="N342" s="4">
        <f t="shared" si="38"/>
        <v>7.2438437152668678E-2</v>
      </c>
      <c r="O342" s="4" t="str">
        <f t="shared" si="39"/>
        <v>Profit</v>
      </c>
      <c r="P342" t="s">
        <v>28</v>
      </c>
      <c r="Q342">
        <v>0</v>
      </c>
      <c r="R342" t="s">
        <v>16</v>
      </c>
      <c r="S342" t="s">
        <v>17</v>
      </c>
      <c r="T342" t="s">
        <v>30</v>
      </c>
      <c r="U342" t="str">
        <f t="shared" si="42"/>
        <v>High-Cost</v>
      </c>
    </row>
    <row r="343" spans="1:21" x14ac:dyDescent="0.3">
      <c r="A343">
        <v>1033</v>
      </c>
      <c r="B343" s="1">
        <v>45249</v>
      </c>
      <c r="C343" s="2" t="s">
        <v>22</v>
      </c>
      <c r="D343" t="s">
        <v>13</v>
      </c>
      <c r="E343">
        <v>37</v>
      </c>
      <c r="F343" t="s">
        <v>33</v>
      </c>
      <c r="G343">
        <f>1</f>
        <v>1</v>
      </c>
      <c r="H343" s="3">
        <v>2600.7600000000002</v>
      </c>
      <c r="I343" s="3">
        <v>2937.57</v>
      </c>
      <c r="J343" s="3">
        <f t="shared" si="36"/>
        <v>2438.1831000000002</v>
      </c>
      <c r="K343" s="3">
        <f t="shared" si="37"/>
        <v>90212.774700000009</v>
      </c>
      <c r="L343" s="3">
        <f t="shared" si="40"/>
        <v>96228.12000000001</v>
      </c>
      <c r="M343" s="8">
        <f t="shared" si="41"/>
        <v>-6015.3453000000009</v>
      </c>
      <c r="N343" s="4">
        <f t="shared" si="38"/>
        <v>-6.6679528703156049E-2</v>
      </c>
      <c r="O343" s="4" t="str">
        <f t="shared" si="39"/>
        <v>Loss</v>
      </c>
      <c r="P343" t="s">
        <v>28</v>
      </c>
      <c r="Q343">
        <v>0.17</v>
      </c>
      <c r="R343" t="s">
        <v>29</v>
      </c>
      <c r="S343" t="s">
        <v>20</v>
      </c>
      <c r="T343" t="s">
        <v>43</v>
      </c>
      <c r="U343" t="str">
        <f t="shared" si="42"/>
        <v>High-Cost</v>
      </c>
    </row>
    <row r="344" spans="1:21" x14ac:dyDescent="0.3">
      <c r="A344">
        <v>1033</v>
      </c>
      <c r="B344" s="1">
        <v>45039</v>
      </c>
      <c r="C344" s="2" t="s">
        <v>31</v>
      </c>
      <c r="D344" t="s">
        <v>32</v>
      </c>
      <c r="E344">
        <v>44</v>
      </c>
      <c r="F344" t="s">
        <v>33</v>
      </c>
      <c r="G344">
        <f>1</f>
        <v>1</v>
      </c>
      <c r="H344" s="3">
        <v>1195.22</v>
      </c>
      <c r="I344" s="3">
        <v>1320.06</v>
      </c>
      <c r="J344" s="3">
        <f t="shared" si="36"/>
        <v>1016.4462</v>
      </c>
      <c r="K344" s="3">
        <f t="shared" si="37"/>
        <v>44723.632799999999</v>
      </c>
      <c r="L344" s="3">
        <f t="shared" si="40"/>
        <v>52589.68</v>
      </c>
      <c r="M344" s="8">
        <f t="shared" si="41"/>
        <v>-7866.0472000000009</v>
      </c>
      <c r="N344" s="4">
        <f t="shared" si="38"/>
        <v>-0.1758812222427513</v>
      </c>
      <c r="O344" s="4" t="str">
        <f t="shared" si="39"/>
        <v>Loss</v>
      </c>
      <c r="P344" t="s">
        <v>15</v>
      </c>
      <c r="Q344">
        <v>0.23</v>
      </c>
      <c r="R344" t="s">
        <v>25</v>
      </c>
      <c r="S344" t="s">
        <v>20</v>
      </c>
      <c r="T344" t="s">
        <v>34</v>
      </c>
      <c r="U344" t="str">
        <f t="shared" si="42"/>
        <v>Low-Cost</v>
      </c>
    </row>
    <row r="345" spans="1:21" x14ac:dyDescent="0.3">
      <c r="A345">
        <v>1033</v>
      </c>
      <c r="B345" s="1">
        <v>44985</v>
      </c>
      <c r="C345" s="2" t="s">
        <v>22</v>
      </c>
      <c r="D345" t="s">
        <v>19</v>
      </c>
      <c r="E345">
        <v>3</v>
      </c>
      <c r="F345" t="s">
        <v>27</v>
      </c>
      <c r="G345">
        <f>1</f>
        <v>1</v>
      </c>
      <c r="H345" s="3">
        <v>2958.75</v>
      </c>
      <c r="I345" s="3">
        <v>3177.64</v>
      </c>
      <c r="J345" s="3">
        <f t="shared" si="36"/>
        <v>2637.4411999999998</v>
      </c>
      <c r="K345" s="3">
        <f t="shared" si="37"/>
        <v>7912.3235999999997</v>
      </c>
      <c r="L345" s="3">
        <f t="shared" si="40"/>
        <v>8876.25</v>
      </c>
      <c r="M345" s="8">
        <f t="shared" si="41"/>
        <v>-963.92640000000029</v>
      </c>
      <c r="N345" s="4">
        <f t="shared" si="38"/>
        <v>-0.12182595767443084</v>
      </c>
      <c r="O345" s="4" t="str">
        <f t="shared" si="39"/>
        <v>Loss</v>
      </c>
      <c r="P345" t="s">
        <v>15</v>
      </c>
      <c r="Q345">
        <v>0.17</v>
      </c>
      <c r="R345" t="s">
        <v>16</v>
      </c>
      <c r="S345" t="s">
        <v>17</v>
      </c>
      <c r="T345" t="s">
        <v>45</v>
      </c>
      <c r="U345" t="str">
        <f t="shared" si="42"/>
        <v>High-Cost</v>
      </c>
    </row>
    <row r="346" spans="1:21" x14ac:dyDescent="0.3">
      <c r="A346">
        <v>1033</v>
      </c>
      <c r="B346" s="1">
        <v>45227</v>
      </c>
      <c r="C346" s="2" t="s">
        <v>22</v>
      </c>
      <c r="D346" t="s">
        <v>13</v>
      </c>
      <c r="E346">
        <v>43</v>
      </c>
      <c r="F346" t="s">
        <v>27</v>
      </c>
      <c r="G346">
        <f>1</f>
        <v>1</v>
      </c>
      <c r="H346" s="3">
        <v>4781.42</v>
      </c>
      <c r="I346" s="3">
        <v>4864.34</v>
      </c>
      <c r="J346" s="3">
        <f t="shared" si="36"/>
        <v>3648.2550000000001</v>
      </c>
      <c r="K346" s="3">
        <f t="shared" si="37"/>
        <v>156874.965</v>
      </c>
      <c r="L346" s="3">
        <f t="shared" si="40"/>
        <v>205601.06</v>
      </c>
      <c r="M346" s="8">
        <f t="shared" si="41"/>
        <v>-48726.095000000001</v>
      </c>
      <c r="N346" s="4">
        <f t="shared" si="38"/>
        <v>-0.31060465893968486</v>
      </c>
      <c r="O346" s="4" t="str">
        <f t="shared" si="39"/>
        <v>Loss</v>
      </c>
      <c r="P346" t="s">
        <v>15</v>
      </c>
      <c r="Q346">
        <v>0.25</v>
      </c>
      <c r="R346" t="s">
        <v>25</v>
      </c>
      <c r="S346" t="s">
        <v>17</v>
      </c>
      <c r="T346" t="s">
        <v>43</v>
      </c>
      <c r="U346" t="str">
        <f t="shared" si="42"/>
        <v>High-Cost</v>
      </c>
    </row>
    <row r="347" spans="1:21" x14ac:dyDescent="0.3">
      <c r="A347">
        <v>1033</v>
      </c>
      <c r="B347" s="1">
        <v>45168</v>
      </c>
      <c r="C347" s="2" t="s">
        <v>12</v>
      </c>
      <c r="D347" t="s">
        <v>32</v>
      </c>
      <c r="E347">
        <v>14</v>
      </c>
      <c r="F347" t="s">
        <v>24</v>
      </c>
      <c r="G347">
        <f>1</f>
        <v>1</v>
      </c>
      <c r="H347" s="3">
        <v>504.3</v>
      </c>
      <c r="I347" s="3">
        <v>735.95</v>
      </c>
      <c r="J347" s="3">
        <f t="shared" si="36"/>
        <v>581.40050000000008</v>
      </c>
      <c r="K347" s="3">
        <f t="shared" si="37"/>
        <v>8139.6070000000009</v>
      </c>
      <c r="L347" s="3">
        <f t="shared" si="40"/>
        <v>7060.2</v>
      </c>
      <c r="M347" s="8">
        <f t="shared" si="41"/>
        <v>1079.4070000000011</v>
      </c>
      <c r="N347" s="4">
        <f t="shared" si="38"/>
        <v>0.13261168506047047</v>
      </c>
      <c r="O347" s="4" t="str">
        <f t="shared" si="39"/>
        <v>Profit</v>
      </c>
      <c r="P347" t="s">
        <v>15</v>
      </c>
      <c r="Q347">
        <v>0.21</v>
      </c>
      <c r="R347" t="s">
        <v>16</v>
      </c>
      <c r="S347" t="s">
        <v>20</v>
      </c>
      <c r="T347" t="s">
        <v>44</v>
      </c>
      <c r="U347" t="str">
        <f t="shared" si="42"/>
        <v>Low-Cost</v>
      </c>
    </row>
    <row r="348" spans="1:21" x14ac:dyDescent="0.3">
      <c r="A348">
        <v>1033</v>
      </c>
      <c r="B348" s="1">
        <v>45230</v>
      </c>
      <c r="C348" s="2" t="s">
        <v>36</v>
      </c>
      <c r="D348" t="s">
        <v>32</v>
      </c>
      <c r="E348">
        <v>18</v>
      </c>
      <c r="F348" t="s">
        <v>14</v>
      </c>
      <c r="G348">
        <f>1</f>
        <v>1</v>
      </c>
      <c r="H348" s="3">
        <v>3124.48</v>
      </c>
      <c r="I348" s="3">
        <v>3553.27</v>
      </c>
      <c r="J348" s="3">
        <f t="shared" si="36"/>
        <v>3126.8775999999998</v>
      </c>
      <c r="K348" s="3">
        <f t="shared" si="37"/>
        <v>56283.796800000004</v>
      </c>
      <c r="L348" s="3">
        <f t="shared" si="40"/>
        <v>56240.639999999999</v>
      </c>
      <c r="M348" s="8">
        <f t="shared" si="41"/>
        <v>43.156800000004296</v>
      </c>
      <c r="N348" s="4">
        <f t="shared" si="38"/>
        <v>7.6677129926679523E-4</v>
      </c>
      <c r="O348" s="4" t="str">
        <f t="shared" si="39"/>
        <v>Profit</v>
      </c>
      <c r="P348" t="s">
        <v>15</v>
      </c>
      <c r="Q348">
        <v>0.12</v>
      </c>
      <c r="R348" t="s">
        <v>16</v>
      </c>
      <c r="S348" t="s">
        <v>20</v>
      </c>
      <c r="T348" t="s">
        <v>46</v>
      </c>
      <c r="U348" t="str">
        <f t="shared" si="42"/>
        <v>High-Cost</v>
      </c>
    </row>
    <row r="349" spans="1:21" x14ac:dyDescent="0.3">
      <c r="A349">
        <v>1034</v>
      </c>
      <c r="B349" s="1">
        <v>44986</v>
      </c>
      <c r="C349" s="2" t="s">
        <v>31</v>
      </c>
      <c r="D349" t="s">
        <v>19</v>
      </c>
      <c r="E349">
        <v>45</v>
      </c>
      <c r="F349" t="s">
        <v>24</v>
      </c>
      <c r="G349">
        <f>1</f>
        <v>1</v>
      </c>
      <c r="H349" s="3">
        <v>2013.12</v>
      </c>
      <c r="I349" s="3">
        <v>2321.87</v>
      </c>
      <c r="J349" s="3">
        <f t="shared" si="36"/>
        <v>1903.9334000000001</v>
      </c>
      <c r="K349" s="3">
        <f t="shared" si="37"/>
        <v>85677.002999999997</v>
      </c>
      <c r="L349" s="3">
        <f t="shared" si="40"/>
        <v>90590.399999999994</v>
      </c>
      <c r="M349" s="8">
        <f t="shared" si="41"/>
        <v>-4913.3969999999972</v>
      </c>
      <c r="N349" s="4">
        <f t="shared" si="38"/>
        <v>-5.7347909333383164E-2</v>
      </c>
      <c r="O349" s="4" t="str">
        <f t="shared" si="39"/>
        <v>Loss</v>
      </c>
      <c r="P349" t="s">
        <v>28</v>
      </c>
      <c r="Q349">
        <v>0.18</v>
      </c>
      <c r="R349" t="s">
        <v>25</v>
      </c>
      <c r="S349" t="s">
        <v>20</v>
      </c>
      <c r="T349" t="s">
        <v>35</v>
      </c>
      <c r="U349" t="str">
        <f t="shared" si="42"/>
        <v>Low-Cost</v>
      </c>
    </row>
    <row r="350" spans="1:21" x14ac:dyDescent="0.3">
      <c r="A350">
        <v>1034</v>
      </c>
      <c r="B350" s="1">
        <v>45018</v>
      </c>
      <c r="C350" s="2" t="s">
        <v>31</v>
      </c>
      <c r="D350" t="s">
        <v>19</v>
      </c>
      <c r="E350">
        <v>7</v>
      </c>
      <c r="F350" t="s">
        <v>33</v>
      </c>
      <c r="G350">
        <f>1</f>
        <v>1</v>
      </c>
      <c r="H350" s="3">
        <v>2492.36</v>
      </c>
      <c r="I350" s="3">
        <v>2738.68</v>
      </c>
      <c r="J350" s="3">
        <f t="shared" si="36"/>
        <v>2437.4251999999997</v>
      </c>
      <c r="K350" s="3">
        <f t="shared" si="37"/>
        <v>17061.9764</v>
      </c>
      <c r="L350" s="3">
        <f t="shared" si="40"/>
        <v>17446.52</v>
      </c>
      <c r="M350" s="8">
        <f t="shared" si="41"/>
        <v>-384.54360000000088</v>
      </c>
      <c r="N350" s="4">
        <f t="shared" si="38"/>
        <v>-2.2538045475200687E-2</v>
      </c>
      <c r="O350" s="4" t="str">
        <f t="shared" si="39"/>
        <v>Loss</v>
      </c>
      <c r="P350" t="s">
        <v>15</v>
      </c>
      <c r="Q350">
        <v>0.11</v>
      </c>
      <c r="R350" t="s">
        <v>16</v>
      </c>
      <c r="S350" t="s">
        <v>17</v>
      </c>
      <c r="T350" t="s">
        <v>35</v>
      </c>
      <c r="U350" t="str">
        <f t="shared" si="42"/>
        <v>Low-Cost</v>
      </c>
    </row>
    <row r="351" spans="1:21" x14ac:dyDescent="0.3">
      <c r="A351">
        <v>1034</v>
      </c>
      <c r="B351" s="1">
        <v>44933</v>
      </c>
      <c r="C351" s="2" t="s">
        <v>22</v>
      </c>
      <c r="D351" t="s">
        <v>19</v>
      </c>
      <c r="E351">
        <v>28</v>
      </c>
      <c r="F351" t="s">
        <v>14</v>
      </c>
      <c r="G351">
        <f>1</f>
        <v>1</v>
      </c>
      <c r="H351" s="3">
        <v>137.47</v>
      </c>
      <c r="I351" s="3">
        <v>234.63</v>
      </c>
      <c r="J351" s="3">
        <f t="shared" si="36"/>
        <v>171.2799</v>
      </c>
      <c r="K351" s="3">
        <f t="shared" si="37"/>
        <v>4795.837199999999</v>
      </c>
      <c r="L351" s="3">
        <f t="shared" si="40"/>
        <v>3849.16</v>
      </c>
      <c r="M351" s="8">
        <f t="shared" si="41"/>
        <v>946.67719999999917</v>
      </c>
      <c r="N351" s="4">
        <f t="shared" si="38"/>
        <v>0.19739560800771122</v>
      </c>
      <c r="O351" s="4" t="str">
        <f t="shared" si="39"/>
        <v>Profit</v>
      </c>
      <c r="P351" t="s">
        <v>28</v>
      </c>
      <c r="Q351">
        <v>0.27</v>
      </c>
      <c r="R351" t="s">
        <v>25</v>
      </c>
      <c r="S351" t="s">
        <v>20</v>
      </c>
      <c r="T351" t="s">
        <v>45</v>
      </c>
      <c r="U351" t="str">
        <f t="shared" si="42"/>
        <v>Low-Cost</v>
      </c>
    </row>
    <row r="352" spans="1:21" x14ac:dyDescent="0.3">
      <c r="A352">
        <v>1034</v>
      </c>
      <c r="B352" s="1">
        <v>45056</v>
      </c>
      <c r="C352" s="2" t="s">
        <v>36</v>
      </c>
      <c r="D352" t="s">
        <v>32</v>
      </c>
      <c r="E352">
        <v>19</v>
      </c>
      <c r="F352" t="s">
        <v>27</v>
      </c>
      <c r="G352">
        <f>1</f>
        <v>1</v>
      </c>
      <c r="H352" s="3">
        <v>1922.21</v>
      </c>
      <c r="I352" s="3">
        <v>2180.83</v>
      </c>
      <c r="J352" s="3">
        <f t="shared" si="36"/>
        <v>1810.0888999999997</v>
      </c>
      <c r="K352" s="3">
        <f t="shared" si="37"/>
        <v>34391.689099999996</v>
      </c>
      <c r="L352" s="3">
        <f t="shared" si="40"/>
        <v>36521.99</v>
      </c>
      <c r="M352" s="8">
        <f t="shared" si="41"/>
        <v>-2130.300900000002</v>
      </c>
      <c r="N352" s="4">
        <f t="shared" si="38"/>
        <v>-6.1942316755823498E-2</v>
      </c>
      <c r="O352" s="4" t="str">
        <f t="shared" si="39"/>
        <v>Loss</v>
      </c>
      <c r="P352" t="s">
        <v>15</v>
      </c>
      <c r="Q352">
        <v>0.17</v>
      </c>
      <c r="R352" t="s">
        <v>29</v>
      </c>
      <c r="S352" t="s">
        <v>20</v>
      </c>
      <c r="T352" t="s">
        <v>46</v>
      </c>
      <c r="U352" t="str">
        <f t="shared" si="42"/>
        <v>Low-Cost</v>
      </c>
    </row>
    <row r="353" spans="1:21" x14ac:dyDescent="0.3">
      <c r="A353">
        <v>1034</v>
      </c>
      <c r="B353" s="1">
        <v>44968</v>
      </c>
      <c r="C353" s="2" t="s">
        <v>36</v>
      </c>
      <c r="D353" t="s">
        <v>23</v>
      </c>
      <c r="E353">
        <v>26</v>
      </c>
      <c r="F353" t="s">
        <v>33</v>
      </c>
      <c r="G353">
        <f>1</f>
        <v>1</v>
      </c>
      <c r="H353" s="3">
        <v>667</v>
      </c>
      <c r="I353" s="3">
        <v>718.72</v>
      </c>
      <c r="J353" s="3">
        <f t="shared" si="36"/>
        <v>574.976</v>
      </c>
      <c r="K353" s="3">
        <f t="shared" si="37"/>
        <v>14949.376000000002</v>
      </c>
      <c r="L353" s="3">
        <f t="shared" si="40"/>
        <v>17342</v>
      </c>
      <c r="M353" s="8">
        <f t="shared" si="41"/>
        <v>-2392.623999999998</v>
      </c>
      <c r="N353" s="4">
        <f t="shared" si="38"/>
        <v>-0.16004841941228837</v>
      </c>
      <c r="O353" s="4" t="str">
        <f t="shared" si="39"/>
        <v>Loss</v>
      </c>
      <c r="P353" t="s">
        <v>28</v>
      </c>
      <c r="Q353">
        <v>0.2</v>
      </c>
      <c r="R353" t="s">
        <v>16</v>
      </c>
      <c r="S353" t="s">
        <v>20</v>
      </c>
      <c r="T353" t="s">
        <v>37</v>
      </c>
      <c r="U353" t="str">
        <f t="shared" si="42"/>
        <v>Low-Cost</v>
      </c>
    </row>
    <row r="354" spans="1:21" x14ac:dyDescent="0.3">
      <c r="A354">
        <v>1034</v>
      </c>
      <c r="B354" s="1">
        <v>45030</v>
      </c>
      <c r="C354" s="2" t="s">
        <v>40</v>
      </c>
      <c r="D354" t="s">
        <v>19</v>
      </c>
      <c r="E354">
        <v>3</v>
      </c>
      <c r="F354" t="s">
        <v>27</v>
      </c>
      <c r="G354">
        <f>1</f>
        <v>1</v>
      </c>
      <c r="H354" s="3">
        <v>3472.51</v>
      </c>
      <c r="I354" s="3">
        <v>3732</v>
      </c>
      <c r="J354" s="3">
        <f t="shared" si="36"/>
        <v>3508.08</v>
      </c>
      <c r="K354" s="3">
        <f t="shared" si="37"/>
        <v>10524.24</v>
      </c>
      <c r="L354" s="3">
        <f t="shared" si="40"/>
        <v>10417.530000000001</v>
      </c>
      <c r="M354" s="8">
        <f t="shared" si="41"/>
        <v>106.70999999999913</v>
      </c>
      <c r="N354" s="4">
        <f t="shared" si="38"/>
        <v>1.0139449499441207E-2</v>
      </c>
      <c r="O354" s="4" t="str">
        <f t="shared" si="39"/>
        <v>Profit</v>
      </c>
      <c r="P354" t="s">
        <v>28</v>
      </c>
      <c r="Q354">
        <v>0.06</v>
      </c>
      <c r="R354" t="s">
        <v>16</v>
      </c>
      <c r="S354" t="s">
        <v>17</v>
      </c>
      <c r="T354" t="s">
        <v>49</v>
      </c>
      <c r="U354" t="str">
        <f t="shared" si="42"/>
        <v>High-Cost</v>
      </c>
    </row>
    <row r="355" spans="1:21" x14ac:dyDescent="0.3">
      <c r="A355">
        <v>1034</v>
      </c>
      <c r="B355" s="1">
        <v>44942</v>
      </c>
      <c r="C355" s="2" t="s">
        <v>40</v>
      </c>
      <c r="D355" t="s">
        <v>13</v>
      </c>
      <c r="E355">
        <v>13</v>
      </c>
      <c r="F355" t="s">
        <v>14</v>
      </c>
      <c r="G355">
        <f>1</f>
        <v>1</v>
      </c>
      <c r="H355" s="3">
        <v>366.31</v>
      </c>
      <c r="I355" s="3">
        <v>492.68</v>
      </c>
      <c r="J355" s="3">
        <f t="shared" si="36"/>
        <v>433.55840000000001</v>
      </c>
      <c r="K355" s="3">
        <f t="shared" si="37"/>
        <v>5636.2592000000004</v>
      </c>
      <c r="L355" s="3">
        <f t="shared" si="40"/>
        <v>4762.03</v>
      </c>
      <c r="M355" s="8">
        <f t="shared" si="41"/>
        <v>874.22920000000067</v>
      </c>
      <c r="N355" s="4">
        <f t="shared" si="38"/>
        <v>0.15510805464730945</v>
      </c>
      <c r="O355" s="4" t="str">
        <f t="shared" si="39"/>
        <v>Profit</v>
      </c>
      <c r="P355" t="s">
        <v>28</v>
      </c>
      <c r="Q355">
        <v>0.12</v>
      </c>
      <c r="R355" t="s">
        <v>29</v>
      </c>
      <c r="S355" t="s">
        <v>20</v>
      </c>
      <c r="T355" t="s">
        <v>47</v>
      </c>
      <c r="U355" t="str">
        <f t="shared" si="42"/>
        <v>Low-Cost</v>
      </c>
    </row>
    <row r="356" spans="1:21" x14ac:dyDescent="0.3">
      <c r="A356">
        <v>1034</v>
      </c>
      <c r="B356" s="1">
        <v>44953</v>
      </c>
      <c r="C356" s="2" t="s">
        <v>12</v>
      </c>
      <c r="D356" t="s">
        <v>32</v>
      </c>
      <c r="E356">
        <v>38</v>
      </c>
      <c r="F356" t="s">
        <v>24</v>
      </c>
      <c r="G356">
        <f>1</f>
        <v>1</v>
      </c>
      <c r="H356" s="3">
        <v>2729.75</v>
      </c>
      <c r="I356" s="3">
        <v>3081.5</v>
      </c>
      <c r="J356" s="3">
        <f t="shared" si="36"/>
        <v>3050.6849999999999</v>
      </c>
      <c r="K356" s="3">
        <f t="shared" si="37"/>
        <v>115926.03</v>
      </c>
      <c r="L356" s="3">
        <f t="shared" si="40"/>
        <v>103730.5</v>
      </c>
      <c r="M356" s="8">
        <f t="shared" si="41"/>
        <v>12195.529999999999</v>
      </c>
      <c r="N356" s="4">
        <f t="shared" si="38"/>
        <v>0.10520096306239417</v>
      </c>
      <c r="O356" s="4" t="str">
        <f t="shared" si="39"/>
        <v>Profit</v>
      </c>
      <c r="P356" t="s">
        <v>28</v>
      </c>
      <c r="Q356">
        <v>0.01</v>
      </c>
      <c r="R356" t="s">
        <v>25</v>
      </c>
      <c r="S356" t="s">
        <v>17</v>
      </c>
      <c r="T356" t="s">
        <v>44</v>
      </c>
      <c r="U356" t="str">
        <f t="shared" si="42"/>
        <v>High-Cost</v>
      </c>
    </row>
    <row r="357" spans="1:21" x14ac:dyDescent="0.3">
      <c r="A357">
        <v>1034</v>
      </c>
      <c r="B357" s="1">
        <v>45228</v>
      </c>
      <c r="C357" s="2" t="s">
        <v>22</v>
      </c>
      <c r="D357" t="s">
        <v>13</v>
      </c>
      <c r="E357">
        <v>34</v>
      </c>
      <c r="F357" t="s">
        <v>24</v>
      </c>
      <c r="G357">
        <f>1</f>
        <v>1</v>
      </c>
      <c r="H357" s="3">
        <v>978.15</v>
      </c>
      <c r="I357" s="3">
        <v>1040.21</v>
      </c>
      <c r="J357" s="3">
        <f t="shared" si="36"/>
        <v>915.38480000000004</v>
      </c>
      <c r="K357" s="3">
        <f t="shared" si="37"/>
        <v>31123.083200000001</v>
      </c>
      <c r="L357" s="3">
        <f t="shared" si="40"/>
        <v>33257.1</v>
      </c>
      <c r="M357" s="8">
        <f t="shared" si="41"/>
        <v>-2134.0167999999976</v>
      </c>
      <c r="N357" s="4">
        <f t="shared" si="38"/>
        <v>-6.8567011381442999E-2</v>
      </c>
      <c r="O357" s="4" t="str">
        <f t="shared" si="39"/>
        <v>Loss</v>
      </c>
      <c r="P357" t="s">
        <v>28</v>
      </c>
      <c r="Q357">
        <v>0.12</v>
      </c>
      <c r="R357" t="s">
        <v>29</v>
      </c>
      <c r="S357" t="s">
        <v>20</v>
      </c>
      <c r="T357" t="s">
        <v>43</v>
      </c>
      <c r="U357" t="str">
        <f t="shared" si="42"/>
        <v>Low-Cost</v>
      </c>
    </row>
    <row r="358" spans="1:21" x14ac:dyDescent="0.3">
      <c r="A358">
        <v>1035</v>
      </c>
      <c r="B358" s="1">
        <v>44960</v>
      </c>
      <c r="C358" s="2" t="s">
        <v>31</v>
      </c>
      <c r="D358" t="s">
        <v>13</v>
      </c>
      <c r="E358">
        <v>5</v>
      </c>
      <c r="F358" t="s">
        <v>24</v>
      </c>
      <c r="G358">
        <f>1</f>
        <v>1</v>
      </c>
      <c r="H358" s="3">
        <v>4483.8500000000004</v>
      </c>
      <c r="I358" s="3">
        <v>4795.42</v>
      </c>
      <c r="J358" s="3">
        <f t="shared" si="36"/>
        <v>3692.4734000000003</v>
      </c>
      <c r="K358" s="3">
        <f t="shared" si="37"/>
        <v>18462.366999999998</v>
      </c>
      <c r="L358" s="3">
        <f t="shared" si="40"/>
        <v>22419.25</v>
      </c>
      <c r="M358" s="8">
        <f t="shared" si="41"/>
        <v>-3956.8830000000016</v>
      </c>
      <c r="N358" s="4">
        <f t="shared" si="38"/>
        <v>-0.21432154392770991</v>
      </c>
      <c r="O358" s="4" t="str">
        <f t="shared" si="39"/>
        <v>Loss</v>
      </c>
      <c r="P358" t="s">
        <v>15</v>
      </c>
      <c r="Q358">
        <v>0.23</v>
      </c>
      <c r="R358" t="s">
        <v>16</v>
      </c>
      <c r="S358" t="s">
        <v>17</v>
      </c>
      <c r="T358" t="s">
        <v>51</v>
      </c>
      <c r="U358" t="str">
        <f t="shared" si="42"/>
        <v>High-Cost</v>
      </c>
    </row>
    <row r="359" spans="1:21" x14ac:dyDescent="0.3">
      <c r="A359">
        <v>1035</v>
      </c>
      <c r="B359" s="1">
        <v>44988</v>
      </c>
      <c r="C359" s="2" t="s">
        <v>12</v>
      </c>
      <c r="D359" t="s">
        <v>19</v>
      </c>
      <c r="E359">
        <v>47</v>
      </c>
      <c r="F359" t="s">
        <v>33</v>
      </c>
      <c r="G359">
        <f>1</f>
        <v>1</v>
      </c>
      <c r="H359" s="3">
        <v>2936.48</v>
      </c>
      <c r="I359" s="3">
        <v>3096.64</v>
      </c>
      <c r="J359" s="3">
        <f t="shared" si="36"/>
        <v>2910.8415999999997</v>
      </c>
      <c r="K359" s="3">
        <f t="shared" si="37"/>
        <v>136809.55519999997</v>
      </c>
      <c r="L359" s="3">
        <f t="shared" si="40"/>
        <v>138014.56</v>
      </c>
      <c r="M359" s="8">
        <f t="shared" si="41"/>
        <v>-1205.0048000000243</v>
      </c>
      <c r="N359" s="4">
        <f t="shared" si="38"/>
        <v>-8.8078994061375655E-3</v>
      </c>
      <c r="O359" s="4" t="str">
        <f t="shared" si="39"/>
        <v>Loss</v>
      </c>
      <c r="P359" t="s">
        <v>28</v>
      </c>
      <c r="Q359">
        <v>0.06</v>
      </c>
      <c r="R359" t="s">
        <v>25</v>
      </c>
      <c r="S359" t="s">
        <v>17</v>
      </c>
      <c r="T359" t="s">
        <v>21</v>
      </c>
      <c r="U359" t="str">
        <f t="shared" si="42"/>
        <v>High-Cost</v>
      </c>
    </row>
    <row r="360" spans="1:21" x14ac:dyDescent="0.3">
      <c r="A360">
        <v>1035</v>
      </c>
      <c r="B360" s="1">
        <v>45142</v>
      </c>
      <c r="C360" s="2" t="s">
        <v>22</v>
      </c>
      <c r="D360" t="s">
        <v>23</v>
      </c>
      <c r="E360">
        <v>30</v>
      </c>
      <c r="F360" t="s">
        <v>33</v>
      </c>
      <c r="G360">
        <f>1</f>
        <v>1</v>
      </c>
      <c r="H360" s="3">
        <v>3813.62</v>
      </c>
      <c r="I360" s="3">
        <v>3839.72</v>
      </c>
      <c r="J360" s="3">
        <f t="shared" si="36"/>
        <v>3033.3788</v>
      </c>
      <c r="K360" s="3">
        <f t="shared" si="37"/>
        <v>91001.364000000001</v>
      </c>
      <c r="L360" s="3">
        <f t="shared" si="40"/>
        <v>114408.59999999999</v>
      </c>
      <c r="M360" s="8">
        <f t="shared" si="41"/>
        <v>-23407.23599999999</v>
      </c>
      <c r="N360" s="4">
        <f t="shared" si="38"/>
        <v>-0.25721851817517799</v>
      </c>
      <c r="O360" s="4" t="str">
        <f t="shared" si="39"/>
        <v>Loss</v>
      </c>
      <c r="P360" t="s">
        <v>28</v>
      </c>
      <c r="Q360">
        <v>0.21</v>
      </c>
      <c r="R360" t="s">
        <v>29</v>
      </c>
      <c r="S360" t="s">
        <v>17</v>
      </c>
      <c r="T360" t="s">
        <v>26</v>
      </c>
      <c r="U360" t="str">
        <f t="shared" si="42"/>
        <v>High-Cost</v>
      </c>
    </row>
    <row r="361" spans="1:21" x14ac:dyDescent="0.3">
      <c r="A361">
        <v>1035</v>
      </c>
      <c r="B361" s="1">
        <v>45151</v>
      </c>
      <c r="C361" s="2" t="s">
        <v>40</v>
      </c>
      <c r="D361" t="s">
        <v>19</v>
      </c>
      <c r="E361">
        <v>5</v>
      </c>
      <c r="F361" t="s">
        <v>27</v>
      </c>
      <c r="G361">
        <f>1</f>
        <v>1</v>
      </c>
      <c r="H361" s="3">
        <v>3991.69</v>
      </c>
      <c r="I361" s="3">
        <v>4454.97</v>
      </c>
      <c r="J361" s="3">
        <f t="shared" si="36"/>
        <v>3831.2742000000003</v>
      </c>
      <c r="K361" s="3">
        <f t="shared" si="37"/>
        <v>19156.371000000003</v>
      </c>
      <c r="L361" s="3">
        <f t="shared" si="40"/>
        <v>19958.45</v>
      </c>
      <c r="M361" s="8">
        <f t="shared" si="41"/>
        <v>-802.0789999999979</v>
      </c>
      <c r="N361" s="4">
        <f t="shared" si="38"/>
        <v>-4.1870091156618224E-2</v>
      </c>
      <c r="O361" s="4" t="str">
        <f t="shared" si="39"/>
        <v>Loss</v>
      </c>
      <c r="P361" t="s">
        <v>28</v>
      </c>
      <c r="Q361">
        <v>0.14000000000000001</v>
      </c>
      <c r="R361" t="s">
        <v>29</v>
      </c>
      <c r="S361" t="s">
        <v>20</v>
      </c>
      <c r="T361" t="s">
        <v>49</v>
      </c>
      <c r="U361" t="str">
        <f t="shared" si="42"/>
        <v>High-Cost</v>
      </c>
    </row>
    <row r="362" spans="1:21" x14ac:dyDescent="0.3">
      <c r="A362">
        <v>1035</v>
      </c>
      <c r="B362" s="1">
        <v>45214</v>
      </c>
      <c r="C362" s="2" t="s">
        <v>22</v>
      </c>
      <c r="D362" t="s">
        <v>13</v>
      </c>
      <c r="E362">
        <v>1</v>
      </c>
      <c r="F362" t="s">
        <v>14</v>
      </c>
      <c r="G362">
        <f>1</f>
        <v>1</v>
      </c>
      <c r="H362" s="3">
        <v>610.83000000000004</v>
      </c>
      <c r="I362" s="3">
        <v>808.69</v>
      </c>
      <c r="J362" s="3">
        <f t="shared" si="36"/>
        <v>630.77820000000008</v>
      </c>
      <c r="K362" s="3">
        <f t="shared" si="37"/>
        <v>630.77820000000008</v>
      </c>
      <c r="L362" s="3">
        <f t="shared" si="40"/>
        <v>610.83000000000004</v>
      </c>
      <c r="M362" s="8">
        <f t="shared" si="41"/>
        <v>19.948200000000043</v>
      </c>
      <c r="N362" s="4">
        <f t="shared" si="38"/>
        <v>3.1624745433497921E-2</v>
      </c>
      <c r="O362" s="4" t="str">
        <f t="shared" si="39"/>
        <v>Profit</v>
      </c>
      <c r="P362" t="s">
        <v>28</v>
      </c>
      <c r="Q362">
        <v>0.22</v>
      </c>
      <c r="R362" t="s">
        <v>29</v>
      </c>
      <c r="S362" t="s">
        <v>17</v>
      </c>
      <c r="T362" t="s">
        <v>43</v>
      </c>
      <c r="U362" t="str">
        <f t="shared" si="42"/>
        <v>Low-Cost</v>
      </c>
    </row>
    <row r="363" spans="1:21" x14ac:dyDescent="0.3">
      <c r="A363">
        <v>1035</v>
      </c>
      <c r="B363" s="1">
        <v>45034</v>
      </c>
      <c r="C363" s="2" t="s">
        <v>22</v>
      </c>
      <c r="D363" t="s">
        <v>23</v>
      </c>
      <c r="E363">
        <v>34</v>
      </c>
      <c r="F363" t="s">
        <v>24</v>
      </c>
      <c r="G363">
        <f>1</f>
        <v>1</v>
      </c>
      <c r="H363" s="3">
        <v>1105.05</v>
      </c>
      <c r="I363" s="3">
        <v>1200.96</v>
      </c>
      <c r="J363" s="3">
        <f t="shared" si="36"/>
        <v>972.77760000000012</v>
      </c>
      <c r="K363" s="3">
        <f t="shared" si="37"/>
        <v>33074.438399999999</v>
      </c>
      <c r="L363" s="3">
        <f t="shared" si="40"/>
        <v>37571.699999999997</v>
      </c>
      <c r="M363" s="8">
        <f t="shared" si="41"/>
        <v>-4497.261599999998</v>
      </c>
      <c r="N363" s="4">
        <f t="shared" si="38"/>
        <v>-0.13597393689986276</v>
      </c>
      <c r="O363" s="4" t="str">
        <f t="shared" si="39"/>
        <v>Loss</v>
      </c>
      <c r="P363" t="s">
        <v>15</v>
      </c>
      <c r="Q363">
        <v>0.19</v>
      </c>
      <c r="R363" t="s">
        <v>16</v>
      </c>
      <c r="S363" t="s">
        <v>17</v>
      </c>
      <c r="T363" t="s">
        <v>26</v>
      </c>
      <c r="U363" t="str">
        <f t="shared" si="42"/>
        <v>Low-Cost</v>
      </c>
    </row>
    <row r="364" spans="1:21" x14ac:dyDescent="0.3">
      <c r="A364">
        <v>1035</v>
      </c>
      <c r="B364" s="1">
        <v>45004</v>
      </c>
      <c r="C364" s="2" t="s">
        <v>12</v>
      </c>
      <c r="D364" t="s">
        <v>23</v>
      </c>
      <c r="E364">
        <v>9</v>
      </c>
      <c r="F364" t="s">
        <v>27</v>
      </c>
      <c r="G364">
        <f>1</f>
        <v>1</v>
      </c>
      <c r="H364" s="3">
        <v>2534.94</v>
      </c>
      <c r="I364" s="3">
        <v>2755.56</v>
      </c>
      <c r="J364" s="3">
        <f t="shared" si="36"/>
        <v>2397.3371999999999</v>
      </c>
      <c r="K364" s="3">
        <f t="shared" si="37"/>
        <v>21576.034800000001</v>
      </c>
      <c r="L364" s="3">
        <f t="shared" si="40"/>
        <v>22814.46</v>
      </c>
      <c r="M364" s="8">
        <f t="shared" si="41"/>
        <v>-1238.4251999999979</v>
      </c>
      <c r="N364" s="4">
        <f t="shared" si="38"/>
        <v>-5.7398183284353886E-2</v>
      </c>
      <c r="O364" s="4" t="str">
        <f t="shared" si="39"/>
        <v>Loss</v>
      </c>
      <c r="P364" t="s">
        <v>15</v>
      </c>
      <c r="Q364">
        <v>0.13</v>
      </c>
      <c r="R364" t="s">
        <v>29</v>
      </c>
      <c r="S364" t="s">
        <v>20</v>
      </c>
      <c r="T364" t="s">
        <v>30</v>
      </c>
      <c r="U364" t="str">
        <f t="shared" si="42"/>
        <v>Low-Cost</v>
      </c>
    </row>
    <row r="365" spans="1:21" x14ac:dyDescent="0.3">
      <c r="A365">
        <v>1035</v>
      </c>
      <c r="B365" s="1">
        <v>44948</v>
      </c>
      <c r="C365" s="2" t="s">
        <v>40</v>
      </c>
      <c r="D365" t="s">
        <v>13</v>
      </c>
      <c r="E365">
        <v>28</v>
      </c>
      <c r="F365" t="s">
        <v>14</v>
      </c>
      <c r="G365">
        <f>1</f>
        <v>1</v>
      </c>
      <c r="H365" s="3">
        <v>3771.38</v>
      </c>
      <c r="I365" s="3">
        <v>4234.92</v>
      </c>
      <c r="J365" s="3">
        <f t="shared" si="36"/>
        <v>3049.1423999999997</v>
      </c>
      <c r="K365" s="3">
        <f t="shared" si="37"/>
        <v>85375.987200000003</v>
      </c>
      <c r="L365" s="3">
        <f t="shared" si="40"/>
        <v>105598.64</v>
      </c>
      <c r="M365" s="8">
        <f t="shared" si="41"/>
        <v>-20222.652799999996</v>
      </c>
      <c r="N365" s="4">
        <f t="shared" si="38"/>
        <v>-0.23686581512231106</v>
      </c>
      <c r="O365" s="4" t="str">
        <f t="shared" si="39"/>
        <v>Loss</v>
      </c>
      <c r="P365" t="s">
        <v>28</v>
      </c>
      <c r="Q365">
        <v>0.28000000000000003</v>
      </c>
      <c r="R365" t="s">
        <v>29</v>
      </c>
      <c r="S365" t="s">
        <v>20</v>
      </c>
      <c r="T365" t="s">
        <v>47</v>
      </c>
      <c r="U365" t="str">
        <f t="shared" si="42"/>
        <v>High-Cost</v>
      </c>
    </row>
    <row r="366" spans="1:21" x14ac:dyDescent="0.3">
      <c r="A366">
        <v>1035</v>
      </c>
      <c r="B366" s="1">
        <v>45068</v>
      </c>
      <c r="C366" s="2" t="s">
        <v>40</v>
      </c>
      <c r="D366" t="s">
        <v>23</v>
      </c>
      <c r="E366">
        <v>45</v>
      </c>
      <c r="F366" t="s">
        <v>24</v>
      </c>
      <c r="G366">
        <f>1</f>
        <v>1</v>
      </c>
      <c r="H366" s="3">
        <v>4132.79</v>
      </c>
      <c r="I366" s="3">
        <v>4624.1000000000004</v>
      </c>
      <c r="J366" s="3">
        <f t="shared" si="36"/>
        <v>3930.4850000000001</v>
      </c>
      <c r="K366" s="3">
        <f t="shared" si="37"/>
        <v>176871.82500000001</v>
      </c>
      <c r="L366" s="3">
        <f t="shared" si="40"/>
        <v>185975.55</v>
      </c>
      <c r="M366" s="8">
        <f t="shared" si="41"/>
        <v>-9103.7249999999767</v>
      </c>
      <c r="N366" s="4">
        <f t="shared" si="38"/>
        <v>-5.1470747248749067E-2</v>
      </c>
      <c r="O366" s="4" t="str">
        <f t="shared" si="39"/>
        <v>Loss</v>
      </c>
      <c r="P366" t="s">
        <v>28</v>
      </c>
      <c r="Q366">
        <v>0.15</v>
      </c>
      <c r="R366" t="s">
        <v>29</v>
      </c>
      <c r="S366" t="s">
        <v>20</v>
      </c>
      <c r="T366" t="s">
        <v>41</v>
      </c>
      <c r="U366" t="str">
        <f t="shared" si="42"/>
        <v>High-Cost</v>
      </c>
    </row>
    <row r="367" spans="1:21" x14ac:dyDescent="0.3">
      <c r="A367">
        <v>1035</v>
      </c>
      <c r="B367" s="1">
        <v>45008</v>
      </c>
      <c r="C367" s="2" t="s">
        <v>22</v>
      </c>
      <c r="D367" t="s">
        <v>32</v>
      </c>
      <c r="E367">
        <v>30</v>
      </c>
      <c r="F367" t="s">
        <v>27</v>
      </c>
      <c r="G367">
        <f>1</f>
        <v>1</v>
      </c>
      <c r="H367" s="3">
        <v>1300.03</v>
      </c>
      <c r="I367" s="3">
        <v>1745.52</v>
      </c>
      <c r="J367" s="3">
        <f t="shared" si="36"/>
        <v>1588.4232</v>
      </c>
      <c r="K367" s="3">
        <f t="shared" si="37"/>
        <v>47652.696000000004</v>
      </c>
      <c r="L367" s="3">
        <f t="shared" si="40"/>
        <v>39000.9</v>
      </c>
      <c r="M367" s="8">
        <f t="shared" si="41"/>
        <v>8651.7960000000021</v>
      </c>
      <c r="N367" s="4">
        <f t="shared" si="38"/>
        <v>0.18155942320661148</v>
      </c>
      <c r="O367" s="4" t="str">
        <f t="shared" si="39"/>
        <v>Profit</v>
      </c>
      <c r="P367" t="s">
        <v>28</v>
      </c>
      <c r="Q367">
        <v>0.09</v>
      </c>
      <c r="R367" t="s">
        <v>16</v>
      </c>
      <c r="S367" t="s">
        <v>20</v>
      </c>
      <c r="T367" t="s">
        <v>48</v>
      </c>
      <c r="U367" t="str">
        <f t="shared" si="42"/>
        <v>Low-Cost</v>
      </c>
    </row>
    <row r="368" spans="1:21" x14ac:dyDescent="0.3">
      <c r="A368">
        <v>1036</v>
      </c>
      <c r="B368" s="1">
        <v>45108</v>
      </c>
      <c r="C368" s="2" t="s">
        <v>40</v>
      </c>
      <c r="D368" t="s">
        <v>19</v>
      </c>
      <c r="E368">
        <v>17</v>
      </c>
      <c r="F368" t="s">
        <v>14</v>
      </c>
      <c r="G368">
        <f>1</f>
        <v>1</v>
      </c>
      <c r="H368" s="3">
        <v>1475</v>
      </c>
      <c r="I368" s="3">
        <v>1840.77</v>
      </c>
      <c r="J368" s="3">
        <f t="shared" si="36"/>
        <v>1656.693</v>
      </c>
      <c r="K368" s="3">
        <f t="shared" si="37"/>
        <v>28163.780999999999</v>
      </c>
      <c r="L368" s="3">
        <f t="shared" si="40"/>
        <v>25075</v>
      </c>
      <c r="M368" s="8">
        <f t="shared" si="41"/>
        <v>3088.780999999999</v>
      </c>
      <c r="N368" s="4">
        <f t="shared" si="38"/>
        <v>0.10967209977950046</v>
      </c>
      <c r="O368" s="4" t="str">
        <f t="shared" si="39"/>
        <v>Profit</v>
      </c>
      <c r="P368" t="s">
        <v>15</v>
      </c>
      <c r="Q368">
        <v>0.1</v>
      </c>
      <c r="R368" t="s">
        <v>29</v>
      </c>
      <c r="S368" t="s">
        <v>17</v>
      </c>
      <c r="T368" t="s">
        <v>49</v>
      </c>
      <c r="U368" t="str">
        <f t="shared" si="42"/>
        <v>Low-Cost</v>
      </c>
    </row>
    <row r="369" spans="1:21" x14ac:dyDescent="0.3">
      <c r="A369">
        <v>1036</v>
      </c>
      <c r="B369" s="1">
        <v>45048</v>
      </c>
      <c r="C369" s="2" t="s">
        <v>22</v>
      </c>
      <c r="D369" t="s">
        <v>13</v>
      </c>
      <c r="E369">
        <v>42</v>
      </c>
      <c r="F369" t="s">
        <v>14</v>
      </c>
      <c r="G369">
        <f>1</f>
        <v>1</v>
      </c>
      <c r="H369" s="3">
        <v>4292.63</v>
      </c>
      <c r="I369" s="3">
        <v>4387.99</v>
      </c>
      <c r="J369" s="3">
        <f t="shared" si="36"/>
        <v>4080.8306999999995</v>
      </c>
      <c r="K369" s="3">
        <f t="shared" si="37"/>
        <v>171394.88939999999</v>
      </c>
      <c r="L369" s="3">
        <f t="shared" si="40"/>
        <v>180290.46</v>
      </c>
      <c r="M369" s="8">
        <f t="shared" si="41"/>
        <v>-8895.5706000000064</v>
      </c>
      <c r="N369" s="4">
        <f t="shared" si="38"/>
        <v>-5.1901025935724356E-2</v>
      </c>
      <c r="O369" s="4" t="str">
        <f t="shared" si="39"/>
        <v>Loss</v>
      </c>
      <c r="P369" t="s">
        <v>28</v>
      </c>
      <c r="Q369">
        <v>7.0000000000000007E-2</v>
      </c>
      <c r="R369" t="s">
        <v>29</v>
      </c>
      <c r="S369" t="s">
        <v>20</v>
      </c>
      <c r="T369" t="s">
        <v>43</v>
      </c>
      <c r="U369" t="str">
        <f t="shared" si="42"/>
        <v>High-Cost</v>
      </c>
    </row>
    <row r="370" spans="1:21" x14ac:dyDescent="0.3">
      <c r="A370">
        <v>1036</v>
      </c>
      <c r="B370" s="1">
        <v>44963</v>
      </c>
      <c r="C370" s="2" t="s">
        <v>31</v>
      </c>
      <c r="D370" t="s">
        <v>32</v>
      </c>
      <c r="E370">
        <v>26</v>
      </c>
      <c r="F370" t="s">
        <v>33</v>
      </c>
      <c r="G370">
        <f>1</f>
        <v>1</v>
      </c>
      <c r="H370" s="3">
        <v>4266.3599999999997</v>
      </c>
      <c r="I370" s="3">
        <v>4331.43</v>
      </c>
      <c r="J370" s="3">
        <f t="shared" si="36"/>
        <v>3725.0298000000003</v>
      </c>
      <c r="K370" s="3">
        <f t="shared" si="37"/>
        <v>96850.774799999999</v>
      </c>
      <c r="L370" s="3">
        <f t="shared" si="40"/>
        <v>110925.35999999999</v>
      </c>
      <c r="M370" s="8">
        <f t="shared" si="41"/>
        <v>-14074.585199999987</v>
      </c>
      <c r="N370" s="4">
        <f t="shared" si="38"/>
        <v>-0.14532238104511258</v>
      </c>
      <c r="O370" s="4" t="str">
        <f t="shared" si="39"/>
        <v>Loss</v>
      </c>
      <c r="P370" t="s">
        <v>15</v>
      </c>
      <c r="Q370">
        <v>0.14000000000000001</v>
      </c>
      <c r="R370" t="s">
        <v>29</v>
      </c>
      <c r="S370" t="s">
        <v>20</v>
      </c>
      <c r="T370" t="s">
        <v>34</v>
      </c>
      <c r="U370" t="str">
        <f t="shared" si="42"/>
        <v>High-Cost</v>
      </c>
    </row>
    <row r="371" spans="1:21" x14ac:dyDescent="0.3">
      <c r="A371">
        <v>1036</v>
      </c>
      <c r="B371" s="1">
        <v>45270</v>
      </c>
      <c r="C371" s="2" t="s">
        <v>22</v>
      </c>
      <c r="D371" t="s">
        <v>13</v>
      </c>
      <c r="E371">
        <v>7</v>
      </c>
      <c r="F371" t="s">
        <v>24</v>
      </c>
      <c r="G371">
        <f>1</f>
        <v>1</v>
      </c>
      <c r="H371" s="3">
        <v>2882.25</v>
      </c>
      <c r="I371" s="3">
        <v>3163.7</v>
      </c>
      <c r="J371" s="3">
        <f t="shared" si="36"/>
        <v>3005.5149999999999</v>
      </c>
      <c r="K371" s="3">
        <f t="shared" si="37"/>
        <v>21038.604999999996</v>
      </c>
      <c r="L371" s="3">
        <f t="shared" si="40"/>
        <v>20175.75</v>
      </c>
      <c r="M371" s="8">
        <f t="shared" si="41"/>
        <v>862.85499999999593</v>
      </c>
      <c r="N371" s="4">
        <f t="shared" si="38"/>
        <v>4.1012937882525774E-2</v>
      </c>
      <c r="O371" s="4" t="str">
        <f t="shared" si="39"/>
        <v>Profit</v>
      </c>
      <c r="P371" t="s">
        <v>15</v>
      </c>
      <c r="Q371">
        <v>0.05</v>
      </c>
      <c r="R371" t="s">
        <v>16</v>
      </c>
      <c r="S371" t="s">
        <v>20</v>
      </c>
      <c r="T371" t="s">
        <v>43</v>
      </c>
      <c r="U371" t="str">
        <f t="shared" si="42"/>
        <v>High-Cost</v>
      </c>
    </row>
    <row r="372" spans="1:21" x14ac:dyDescent="0.3">
      <c r="A372">
        <v>1036</v>
      </c>
      <c r="B372" s="1">
        <v>45245</v>
      </c>
      <c r="C372" s="2" t="s">
        <v>12</v>
      </c>
      <c r="D372" t="s">
        <v>19</v>
      </c>
      <c r="E372">
        <v>19</v>
      </c>
      <c r="F372" t="s">
        <v>14</v>
      </c>
      <c r="G372">
        <f>1</f>
        <v>1</v>
      </c>
      <c r="H372" s="3">
        <v>2844.97</v>
      </c>
      <c r="I372" s="3">
        <v>3215</v>
      </c>
      <c r="J372" s="3">
        <f t="shared" si="36"/>
        <v>2925.65</v>
      </c>
      <c r="K372" s="3">
        <f t="shared" si="37"/>
        <v>55587.35</v>
      </c>
      <c r="L372" s="3">
        <f t="shared" si="40"/>
        <v>54054.429999999993</v>
      </c>
      <c r="M372" s="8">
        <f t="shared" si="41"/>
        <v>1532.9200000000055</v>
      </c>
      <c r="N372" s="4">
        <f t="shared" si="38"/>
        <v>2.7576777810059402E-2</v>
      </c>
      <c r="O372" s="4" t="str">
        <f t="shared" si="39"/>
        <v>Profit</v>
      </c>
      <c r="P372" t="s">
        <v>15</v>
      </c>
      <c r="Q372">
        <v>0.09</v>
      </c>
      <c r="R372" t="s">
        <v>29</v>
      </c>
      <c r="S372" t="s">
        <v>20</v>
      </c>
      <c r="T372" t="s">
        <v>21</v>
      </c>
      <c r="U372" t="str">
        <f t="shared" si="42"/>
        <v>High-Cost</v>
      </c>
    </row>
    <row r="373" spans="1:21" x14ac:dyDescent="0.3">
      <c r="A373">
        <v>1036</v>
      </c>
      <c r="B373" s="1">
        <v>45002</v>
      </c>
      <c r="C373" s="2" t="s">
        <v>40</v>
      </c>
      <c r="D373" t="s">
        <v>32</v>
      </c>
      <c r="E373">
        <v>23</v>
      </c>
      <c r="F373" t="s">
        <v>24</v>
      </c>
      <c r="G373">
        <f>1</f>
        <v>1</v>
      </c>
      <c r="H373" s="3">
        <v>3335.53</v>
      </c>
      <c r="I373" s="3">
        <v>3742.12</v>
      </c>
      <c r="J373" s="3">
        <f t="shared" si="36"/>
        <v>3629.8563999999997</v>
      </c>
      <c r="K373" s="3">
        <f t="shared" si="37"/>
        <v>83486.697199999995</v>
      </c>
      <c r="L373" s="3">
        <f t="shared" si="40"/>
        <v>76717.19</v>
      </c>
      <c r="M373" s="8">
        <f t="shared" si="41"/>
        <v>6769.5071999999927</v>
      </c>
      <c r="N373" s="4">
        <f t="shared" si="38"/>
        <v>8.1084860547100346E-2</v>
      </c>
      <c r="O373" s="4" t="str">
        <f t="shared" si="39"/>
        <v>Profit</v>
      </c>
      <c r="P373" t="s">
        <v>28</v>
      </c>
      <c r="Q373">
        <v>0.03</v>
      </c>
      <c r="R373" t="s">
        <v>25</v>
      </c>
      <c r="S373" t="s">
        <v>20</v>
      </c>
      <c r="T373" t="s">
        <v>50</v>
      </c>
      <c r="U373" t="str">
        <f t="shared" si="42"/>
        <v>High-Cost</v>
      </c>
    </row>
    <row r="374" spans="1:21" x14ac:dyDescent="0.3">
      <c r="A374">
        <v>1036</v>
      </c>
      <c r="B374" s="1">
        <v>45219</v>
      </c>
      <c r="C374" s="2" t="s">
        <v>22</v>
      </c>
      <c r="D374" t="s">
        <v>13</v>
      </c>
      <c r="E374">
        <v>49</v>
      </c>
      <c r="F374" t="s">
        <v>27</v>
      </c>
      <c r="G374">
        <f>1</f>
        <v>1</v>
      </c>
      <c r="H374" s="3">
        <v>1247.0999999999999</v>
      </c>
      <c r="I374" s="3">
        <v>1429.44</v>
      </c>
      <c r="J374" s="3">
        <f t="shared" si="36"/>
        <v>1200.7295999999999</v>
      </c>
      <c r="K374" s="3">
        <f t="shared" si="37"/>
        <v>58835.750399999997</v>
      </c>
      <c r="L374" s="3">
        <f t="shared" si="40"/>
        <v>61107.899999999994</v>
      </c>
      <c r="M374" s="8">
        <f t="shared" si="41"/>
        <v>-2272.149599999997</v>
      </c>
      <c r="N374" s="4">
        <f t="shared" si="38"/>
        <v>-3.8618519939876507E-2</v>
      </c>
      <c r="O374" s="4" t="str">
        <f t="shared" si="39"/>
        <v>Loss</v>
      </c>
      <c r="P374" t="s">
        <v>28</v>
      </c>
      <c r="Q374">
        <v>0.16</v>
      </c>
      <c r="R374" t="s">
        <v>16</v>
      </c>
      <c r="S374" t="s">
        <v>17</v>
      </c>
      <c r="T374" t="s">
        <v>43</v>
      </c>
      <c r="U374" t="str">
        <f t="shared" si="42"/>
        <v>Low-Cost</v>
      </c>
    </row>
    <row r="375" spans="1:21" x14ac:dyDescent="0.3">
      <c r="A375">
        <v>1036</v>
      </c>
      <c r="B375" s="1">
        <v>45250</v>
      </c>
      <c r="C375" s="2" t="s">
        <v>40</v>
      </c>
      <c r="D375" t="s">
        <v>32</v>
      </c>
      <c r="E375">
        <v>32</v>
      </c>
      <c r="F375" t="s">
        <v>27</v>
      </c>
      <c r="G375">
        <f>1</f>
        <v>1</v>
      </c>
      <c r="H375" s="3">
        <v>700.49</v>
      </c>
      <c r="I375" s="3">
        <v>1126.52</v>
      </c>
      <c r="J375" s="3">
        <f t="shared" si="36"/>
        <v>799.8291999999999</v>
      </c>
      <c r="K375" s="3">
        <f t="shared" si="37"/>
        <v>25594.534399999997</v>
      </c>
      <c r="L375" s="3">
        <f t="shared" si="40"/>
        <v>22415.68</v>
      </c>
      <c r="M375" s="8">
        <f t="shared" si="41"/>
        <v>3178.8543999999965</v>
      </c>
      <c r="N375" s="4">
        <f t="shared" si="38"/>
        <v>0.12420051681033889</v>
      </c>
      <c r="O375" s="4" t="str">
        <f t="shared" si="39"/>
        <v>Profit</v>
      </c>
      <c r="P375" t="s">
        <v>28</v>
      </c>
      <c r="Q375">
        <v>0.28999999999999998</v>
      </c>
      <c r="R375" t="s">
        <v>29</v>
      </c>
      <c r="S375" t="s">
        <v>20</v>
      </c>
      <c r="T375" t="s">
        <v>50</v>
      </c>
      <c r="U375" t="str">
        <f t="shared" si="42"/>
        <v>Low-Cost</v>
      </c>
    </row>
    <row r="376" spans="1:21" x14ac:dyDescent="0.3">
      <c r="A376">
        <v>1036</v>
      </c>
      <c r="B376" s="1">
        <v>45161</v>
      </c>
      <c r="C376" s="2" t="s">
        <v>22</v>
      </c>
      <c r="D376" t="s">
        <v>32</v>
      </c>
      <c r="E376">
        <v>25</v>
      </c>
      <c r="F376" t="s">
        <v>24</v>
      </c>
      <c r="G376">
        <f>1</f>
        <v>1</v>
      </c>
      <c r="H376" s="3">
        <v>2520.9699999999998</v>
      </c>
      <c r="I376" s="3">
        <v>2707.11</v>
      </c>
      <c r="J376" s="3">
        <f t="shared" si="36"/>
        <v>2030.3325</v>
      </c>
      <c r="K376" s="3">
        <f t="shared" si="37"/>
        <v>50758.3125</v>
      </c>
      <c r="L376" s="3">
        <f t="shared" si="40"/>
        <v>63024.249999999993</v>
      </c>
      <c r="M376" s="8">
        <f t="shared" si="41"/>
        <v>-12265.937499999993</v>
      </c>
      <c r="N376" s="4">
        <f t="shared" si="38"/>
        <v>-0.24165376853298645</v>
      </c>
      <c r="O376" s="4" t="str">
        <f t="shared" si="39"/>
        <v>Loss</v>
      </c>
      <c r="P376" t="s">
        <v>28</v>
      </c>
      <c r="Q376">
        <v>0.25</v>
      </c>
      <c r="R376" t="s">
        <v>16</v>
      </c>
      <c r="S376" t="s">
        <v>20</v>
      </c>
      <c r="T376" t="s">
        <v>48</v>
      </c>
      <c r="U376" t="str">
        <f t="shared" si="42"/>
        <v>Low-Cost</v>
      </c>
    </row>
    <row r="377" spans="1:21" x14ac:dyDescent="0.3">
      <c r="A377">
        <v>1036</v>
      </c>
      <c r="B377" s="1">
        <v>45192</v>
      </c>
      <c r="C377" s="2" t="s">
        <v>12</v>
      </c>
      <c r="D377" t="s">
        <v>13</v>
      </c>
      <c r="E377">
        <v>42</v>
      </c>
      <c r="F377" t="s">
        <v>14</v>
      </c>
      <c r="G377">
        <f>1</f>
        <v>1</v>
      </c>
      <c r="H377" s="3">
        <v>3549.43</v>
      </c>
      <c r="I377" s="3">
        <v>3967.69</v>
      </c>
      <c r="J377" s="3">
        <f t="shared" si="36"/>
        <v>3412.2134000000001</v>
      </c>
      <c r="K377" s="3">
        <f t="shared" si="37"/>
        <v>143312.96280000001</v>
      </c>
      <c r="L377" s="3">
        <f t="shared" si="40"/>
        <v>149076.06</v>
      </c>
      <c r="M377" s="8">
        <f t="shared" si="41"/>
        <v>-5763.0971999999892</v>
      </c>
      <c r="N377" s="4">
        <f t="shared" si="38"/>
        <v>-4.0213370007866373E-2</v>
      </c>
      <c r="O377" s="4" t="str">
        <f t="shared" si="39"/>
        <v>Loss</v>
      </c>
      <c r="P377" t="s">
        <v>28</v>
      </c>
      <c r="Q377">
        <v>0.14000000000000001</v>
      </c>
      <c r="R377" t="s">
        <v>25</v>
      </c>
      <c r="S377" t="s">
        <v>17</v>
      </c>
      <c r="T377" t="s">
        <v>18</v>
      </c>
      <c r="U377" t="str">
        <f t="shared" si="42"/>
        <v>High-Cost</v>
      </c>
    </row>
    <row r="378" spans="1:21" x14ac:dyDescent="0.3">
      <c r="A378">
        <v>1036</v>
      </c>
      <c r="B378" s="1">
        <v>45044</v>
      </c>
      <c r="C378" s="2" t="s">
        <v>31</v>
      </c>
      <c r="D378" t="s">
        <v>19</v>
      </c>
      <c r="E378">
        <v>25</v>
      </c>
      <c r="F378" t="s">
        <v>14</v>
      </c>
      <c r="G378">
        <f>1</f>
        <v>1</v>
      </c>
      <c r="H378" s="3">
        <v>4037.73</v>
      </c>
      <c r="I378" s="3">
        <v>4446.45</v>
      </c>
      <c r="J378" s="3">
        <f t="shared" si="36"/>
        <v>4046.2694999999999</v>
      </c>
      <c r="K378" s="3">
        <f t="shared" si="37"/>
        <v>101156.7375</v>
      </c>
      <c r="L378" s="3">
        <f t="shared" si="40"/>
        <v>100943.25</v>
      </c>
      <c r="M378" s="8">
        <f t="shared" si="41"/>
        <v>213.48750000000291</v>
      </c>
      <c r="N378" s="4">
        <f t="shared" si="38"/>
        <v>2.1104624889667178E-3</v>
      </c>
      <c r="O378" s="4" t="str">
        <f t="shared" si="39"/>
        <v>Profit</v>
      </c>
      <c r="P378" t="s">
        <v>15</v>
      </c>
      <c r="Q378">
        <v>0.09</v>
      </c>
      <c r="R378" t="s">
        <v>25</v>
      </c>
      <c r="S378" t="s">
        <v>17</v>
      </c>
      <c r="T378" t="s">
        <v>35</v>
      </c>
      <c r="U378" t="str">
        <f t="shared" si="42"/>
        <v>High-Cost</v>
      </c>
    </row>
    <row r="379" spans="1:21" x14ac:dyDescent="0.3">
      <c r="A379">
        <v>1036</v>
      </c>
      <c r="B379" s="1">
        <v>45198</v>
      </c>
      <c r="C379" s="2" t="s">
        <v>12</v>
      </c>
      <c r="D379" t="s">
        <v>13</v>
      </c>
      <c r="E379">
        <v>7</v>
      </c>
      <c r="F379" t="s">
        <v>27</v>
      </c>
      <c r="G379">
        <f>1</f>
        <v>1</v>
      </c>
      <c r="H379" s="3">
        <v>2588.67</v>
      </c>
      <c r="I379" s="3">
        <v>2847.76</v>
      </c>
      <c r="J379" s="3">
        <f t="shared" si="36"/>
        <v>2221.2528000000002</v>
      </c>
      <c r="K379" s="3">
        <f t="shared" si="37"/>
        <v>15548.7696</v>
      </c>
      <c r="L379" s="3">
        <f t="shared" si="40"/>
        <v>18120.690000000002</v>
      </c>
      <c r="M379" s="8">
        <f t="shared" si="41"/>
        <v>-2571.9204000000027</v>
      </c>
      <c r="N379" s="4">
        <f t="shared" si="38"/>
        <v>-0.16540989841408435</v>
      </c>
      <c r="O379" s="4" t="str">
        <f t="shared" si="39"/>
        <v>Loss</v>
      </c>
      <c r="P379" t="s">
        <v>28</v>
      </c>
      <c r="Q379">
        <v>0.22</v>
      </c>
      <c r="R379" t="s">
        <v>16</v>
      </c>
      <c r="S379" t="s">
        <v>20</v>
      </c>
      <c r="T379" t="s">
        <v>18</v>
      </c>
      <c r="U379" t="str">
        <f t="shared" si="42"/>
        <v>High-Cost</v>
      </c>
    </row>
    <row r="380" spans="1:21" x14ac:dyDescent="0.3">
      <c r="A380">
        <v>1037</v>
      </c>
      <c r="B380" s="1">
        <v>45084</v>
      </c>
      <c r="C380" s="2" t="s">
        <v>40</v>
      </c>
      <c r="D380" t="s">
        <v>23</v>
      </c>
      <c r="E380">
        <v>4</v>
      </c>
      <c r="F380" t="s">
        <v>24</v>
      </c>
      <c r="G380">
        <f>1</f>
        <v>1</v>
      </c>
      <c r="H380" s="3">
        <v>4721.7</v>
      </c>
      <c r="I380" s="3">
        <v>5017.58</v>
      </c>
      <c r="J380" s="3">
        <f t="shared" si="36"/>
        <v>3813.3607999999999</v>
      </c>
      <c r="K380" s="3">
        <f t="shared" si="37"/>
        <v>15253.4432</v>
      </c>
      <c r="L380" s="3">
        <f t="shared" si="40"/>
        <v>18886.8</v>
      </c>
      <c r="M380" s="8">
        <f t="shared" si="41"/>
        <v>-3633.3567999999996</v>
      </c>
      <c r="N380" s="4">
        <f t="shared" si="38"/>
        <v>-0.23819912346085897</v>
      </c>
      <c r="O380" s="4" t="str">
        <f t="shared" si="39"/>
        <v>Loss</v>
      </c>
      <c r="P380" t="s">
        <v>28</v>
      </c>
      <c r="Q380">
        <v>0.24</v>
      </c>
      <c r="R380" t="s">
        <v>16</v>
      </c>
      <c r="S380" t="s">
        <v>20</v>
      </c>
      <c r="T380" t="s">
        <v>41</v>
      </c>
      <c r="U380" t="str">
        <f t="shared" si="42"/>
        <v>High-Cost</v>
      </c>
    </row>
    <row r="381" spans="1:21" x14ac:dyDescent="0.3">
      <c r="A381">
        <v>1037</v>
      </c>
      <c r="B381" s="1">
        <v>44935</v>
      </c>
      <c r="C381" s="2" t="s">
        <v>31</v>
      </c>
      <c r="D381" t="s">
        <v>13</v>
      </c>
      <c r="E381">
        <v>41</v>
      </c>
      <c r="F381" t="s">
        <v>27</v>
      </c>
      <c r="G381">
        <f>1</f>
        <v>1</v>
      </c>
      <c r="H381" s="3">
        <v>4965.07</v>
      </c>
      <c r="I381" s="3">
        <v>5243.13</v>
      </c>
      <c r="J381" s="3">
        <f t="shared" si="36"/>
        <v>5190.6986999999999</v>
      </c>
      <c r="K381" s="3">
        <f t="shared" si="37"/>
        <v>212818.64670000001</v>
      </c>
      <c r="L381" s="3">
        <f t="shared" si="40"/>
        <v>203567.87</v>
      </c>
      <c r="M381" s="8">
        <f t="shared" si="41"/>
        <v>9250.7767000000167</v>
      </c>
      <c r="N381" s="4">
        <f t="shared" si="38"/>
        <v>4.346788612484874E-2</v>
      </c>
      <c r="O381" s="4" t="str">
        <f t="shared" si="39"/>
        <v>Profit</v>
      </c>
      <c r="P381" t="s">
        <v>28</v>
      </c>
      <c r="Q381">
        <v>0.01</v>
      </c>
      <c r="R381" t="s">
        <v>29</v>
      </c>
      <c r="S381" t="s">
        <v>17</v>
      </c>
      <c r="T381" t="s">
        <v>51</v>
      </c>
      <c r="U381" t="str">
        <f t="shared" si="42"/>
        <v>High-Cost</v>
      </c>
    </row>
    <row r="382" spans="1:21" x14ac:dyDescent="0.3">
      <c r="A382">
        <v>1037</v>
      </c>
      <c r="B382" s="1">
        <v>45270</v>
      </c>
      <c r="C382" s="2" t="s">
        <v>12</v>
      </c>
      <c r="D382" t="s">
        <v>13</v>
      </c>
      <c r="E382">
        <v>32</v>
      </c>
      <c r="F382" t="s">
        <v>33</v>
      </c>
      <c r="G382">
        <f>1</f>
        <v>1</v>
      </c>
      <c r="H382" s="3">
        <v>2594.08</v>
      </c>
      <c r="I382" s="3">
        <v>3074.59</v>
      </c>
      <c r="J382" s="3">
        <f t="shared" si="36"/>
        <v>2644.1474000000003</v>
      </c>
      <c r="K382" s="3">
        <f t="shared" si="37"/>
        <v>84612.716800000009</v>
      </c>
      <c r="L382" s="3">
        <f t="shared" si="40"/>
        <v>83010.559999999998</v>
      </c>
      <c r="M382" s="8">
        <f t="shared" si="41"/>
        <v>1602.1568000000116</v>
      </c>
      <c r="N382" s="4">
        <f t="shared" si="38"/>
        <v>1.8935177365679522E-2</v>
      </c>
      <c r="O382" s="4" t="str">
        <f t="shared" si="39"/>
        <v>Profit</v>
      </c>
      <c r="P382" t="s">
        <v>28</v>
      </c>
      <c r="Q382">
        <v>0.14000000000000001</v>
      </c>
      <c r="R382" t="s">
        <v>16</v>
      </c>
      <c r="S382" t="s">
        <v>20</v>
      </c>
      <c r="T382" t="s">
        <v>18</v>
      </c>
      <c r="U382" t="str">
        <f t="shared" si="42"/>
        <v>High-Cost</v>
      </c>
    </row>
    <row r="383" spans="1:21" x14ac:dyDescent="0.3">
      <c r="A383">
        <v>1037</v>
      </c>
      <c r="B383" s="1">
        <v>45182</v>
      </c>
      <c r="C383" s="2" t="s">
        <v>12</v>
      </c>
      <c r="D383" t="s">
        <v>23</v>
      </c>
      <c r="E383">
        <v>5</v>
      </c>
      <c r="F383" t="s">
        <v>14</v>
      </c>
      <c r="G383">
        <f>1</f>
        <v>1</v>
      </c>
      <c r="H383" s="3">
        <v>1941.56</v>
      </c>
      <c r="I383" s="3">
        <v>2385.48</v>
      </c>
      <c r="J383" s="3">
        <f t="shared" si="36"/>
        <v>2027.6579999999999</v>
      </c>
      <c r="K383" s="3">
        <f t="shared" si="37"/>
        <v>10138.289999999999</v>
      </c>
      <c r="L383" s="3">
        <f t="shared" si="40"/>
        <v>9707.7999999999993</v>
      </c>
      <c r="M383" s="8">
        <f t="shared" si="41"/>
        <v>430.48999999999978</v>
      </c>
      <c r="N383" s="4">
        <f t="shared" si="38"/>
        <v>4.2461795825528746E-2</v>
      </c>
      <c r="O383" s="4" t="str">
        <f t="shared" si="39"/>
        <v>Profit</v>
      </c>
      <c r="P383" t="s">
        <v>15</v>
      </c>
      <c r="Q383">
        <v>0.15</v>
      </c>
      <c r="R383" t="s">
        <v>29</v>
      </c>
      <c r="S383" t="s">
        <v>17</v>
      </c>
      <c r="T383" t="s">
        <v>30</v>
      </c>
      <c r="U383" t="str">
        <f t="shared" si="42"/>
        <v>Low-Cost</v>
      </c>
    </row>
    <row r="384" spans="1:21" x14ac:dyDescent="0.3">
      <c r="A384">
        <v>1037</v>
      </c>
      <c r="B384" s="1">
        <v>45188</v>
      </c>
      <c r="C384" s="2" t="s">
        <v>40</v>
      </c>
      <c r="D384" t="s">
        <v>23</v>
      </c>
      <c r="E384">
        <v>17</v>
      </c>
      <c r="F384" t="s">
        <v>33</v>
      </c>
      <c r="G384">
        <f>1</f>
        <v>1</v>
      </c>
      <c r="H384" s="3">
        <v>1308.58</v>
      </c>
      <c r="I384" s="3">
        <v>1575.59</v>
      </c>
      <c r="J384" s="3">
        <f t="shared" si="36"/>
        <v>1102.9129999999998</v>
      </c>
      <c r="K384" s="3">
        <f t="shared" si="37"/>
        <v>18749.520999999997</v>
      </c>
      <c r="L384" s="3">
        <f t="shared" si="40"/>
        <v>22245.86</v>
      </c>
      <c r="M384" s="8">
        <f t="shared" si="41"/>
        <v>-3496.3390000000036</v>
      </c>
      <c r="N384" s="4">
        <f t="shared" si="38"/>
        <v>-0.18647617717807319</v>
      </c>
      <c r="O384" s="4" t="str">
        <f t="shared" si="39"/>
        <v>Loss</v>
      </c>
      <c r="P384" t="s">
        <v>28</v>
      </c>
      <c r="Q384">
        <v>0.3</v>
      </c>
      <c r="R384" t="s">
        <v>16</v>
      </c>
      <c r="S384" t="s">
        <v>17</v>
      </c>
      <c r="T384" t="s">
        <v>41</v>
      </c>
      <c r="U384" t="str">
        <f t="shared" si="42"/>
        <v>Low-Cost</v>
      </c>
    </row>
    <row r="385" spans="1:21" x14ac:dyDescent="0.3">
      <c r="A385">
        <v>1037</v>
      </c>
      <c r="B385" s="1">
        <v>44949</v>
      </c>
      <c r="C385" s="2" t="s">
        <v>12</v>
      </c>
      <c r="D385" t="s">
        <v>13</v>
      </c>
      <c r="E385">
        <v>40</v>
      </c>
      <c r="F385" t="s">
        <v>27</v>
      </c>
      <c r="G385">
        <f>1</f>
        <v>1</v>
      </c>
      <c r="H385" s="3">
        <v>2790.11</v>
      </c>
      <c r="I385" s="3">
        <v>3192.37</v>
      </c>
      <c r="J385" s="3">
        <f t="shared" si="36"/>
        <v>2362.3537999999999</v>
      </c>
      <c r="K385" s="3">
        <f t="shared" si="37"/>
        <v>94494.151999999987</v>
      </c>
      <c r="L385" s="3">
        <f t="shared" si="40"/>
        <v>111604.40000000001</v>
      </c>
      <c r="M385" s="8">
        <f t="shared" si="41"/>
        <v>-17110.248000000021</v>
      </c>
      <c r="N385" s="4">
        <f t="shared" si="38"/>
        <v>-0.18107203078556675</v>
      </c>
      <c r="O385" s="4" t="str">
        <f t="shared" si="39"/>
        <v>Loss</v>
      </c>
      <c r="P385" t="s">
        <v>15</v>
      </c>
      <c r="Q385">
        <v>0.26</v>
      </c>
      <c r="R385" t="s">
        <v>25</v>
      </c>
      <c r="S385" t="s">
        <v>17</v>
      </c>
      <c r="T385" t="s">
        <v>18</v>
      </c>
      <c r="U385" t="str">
        <f t="shared" si="42"/>
        <v>High-Cost</v>
      </c>
    </row>
    <row r="386" spans="1:21" x14ac:dyDescent="0.3">
      <c r="A386">
        <v>1037</v>
      </c>
      <c r="B386" s="1">
        <v>44949</v>
      </c>
      <c r="C386" s="2" t="s">
        <v>31</v>
      </c>
      <c r="D386" t="s">
        <v>32</v>
      </c>
      <c r="E386">
        <v>25</v>
      </c>
      <c r="F386" t="s">
        <v>24</v>
      </c>
      <c r="G386">
        <f>1</f>
        <v>1</v>
      </c>
      <c r="H386" s="3">
        <v>1074.6199999999999</v>
      </c>
      <c r="I386" s="3">
        <v>1382.43</v>
      </c>
      <c r="J386" s="3">
        <f t="shared" ref="J386:J449" si="43">I386*(1-Q386)</f>
        <v>1050.6468</v>
      </c>
      <c r="K386" s="3">
        <f t="shared" ref="K386:K449" si="44">E386*I386*(1-Q386)</f>
        <v>26266.170000000002</v>
      </c>
      <c r="L386" s="3">
        <f t="shared" si="40"/>
        <v>26865.499999999996</v>
      </c>
      <c r="M386" s="8">
        <f t="shared" si="41"/>
        <v>-599.32999999999447</v>
      </c>
      <c r="N386" s="4">
        <f t="shared" ref="N386:N449" si="45">(M386/K386)</f>
        <v>-2.281756342854685E-2</v>
      </c>
      <c r="O386" s="4" t="str">
        <f t="shared" ref="O386:O449" si="46">IF(M386&lt;0,"Loss","Profit")</f>
        <v>Loss</v>
      </c>
      <c r="P386" t="s">
        <v>15</v>
      </c>
      <c r="Q386">
        <v>0.24</v>
      </c>
      <c r="R386" t="s">
        <v>29</v>
      </c>
      <c r="S386" t="s">
        <v>20</v>
      </c>
      <c r="T386" t="s">
        <v>34</v>
      </c>
      <c r="U386" t="str">
        <f t="shared" si="42"/>
        <v>Low-Cost</v>
      </c>
    </row>
    <row r="387" spans="1:21" x14ac:dyDescent="0.3">
      <c r="A387">
        <v>1038</v>
      </c>
      <c r="B387" s="1">
        <v>45140</v>
      </c>
      <c r="C387" s="2" t="s">
        <v>40</v>
      </c>
      <c r="D387" t="s">
        <v>32</v>
      </c>
      <c r="E387">
        <v>43</v>
      </c>
      <c r="F387" t="s">
        <v>14</v>
      </c>
      <c r="G387">
        <f>1</f>
        <v>1</v>
      </c>
      <c r="H387" s="3">
        <v>3031.17</v>
      </c>
      <c r="I387" s="3">
        <v>3231.32</v>
      </c>
      <c r="J387" s="3">
        <f t="shared" si="43"/>
        <v>2520.4296000000004</v>
      </c>
      <c r="K387" s="3">
        <f t="shared" si="44"/>
        <v>108378.47280000002</v>
      </c>
      <c r="L387" s="3">
        <f t="shared" ref="L387:L450" si="47">H387*E387</f>
        <v>130340.31</v>
      </c>
      <c r="M387" s="8">
        <f t="shared" ref="M387:M450" si="48">K387-L387</f>
        <v>-21961.83719999998</v>
      </c>
      <c r="N387" s="4">
        <f t="shared" si="45"/>
        <v>-0.20264021657260312</v>
      </c>
      <c r="O387" s="4" t="str">
        <f t="shared" si="46"/>
        <v>Loss</v>
      </c>
      <c r="P387" t="s">
        <v>15</v>
      </c>
      <c r="Q387">
        <v>0.22</v>
      </c>
      <c r="R387" t="s">
        <v>16</v>
      </c>
      <c r="S387" t="s">
        <v>20</v>
      </c>
      <c r="T387" t="s">
        <v>50</v>
      </c>
      <c r="U387" t="str">
        <f t="shared" si="42"/>
        <v>High-Cost</v>
      </c>
    </row>
    <row r="388" spans="1:21" x14ac:dyDescent="0.3">
      <c r="A388">
        <v>1038</v>
      </c>
      <c r="B388" s="1">
        <v>44961</v>
      </c>
      <c r="C388" s="2" t="s">
        <v>31</v>
      </c>
      <c r="D388" t="s">
        <v>13</v>
      </c>
      <c r="E388">
        <v>7</v>
      </c>
      <c r="F388" t="s">
        <v>14</v>
      </c>
      <c r="G388">
        <f>1</f>
        <v>1</v>
      </c>
      <c r="H388" s="3">
        <v>523.02</v>
      </c>
      <c r="I388" s="3">
        <v>686.25</v>
      </c>
      <c r="J388" s="3">
        <f t="shared" si="43"/>
        <v>658.8</v>
      </c>
      <c r="K388" s="3">
        <f t="shared" si="44"/>
        <v>4611.5999999999995</v>
      </c>
      <c r="L388" s="3">
        <f t="shared" si="47"/>
        <v>3661.14</v>
      </c>
      <c r="M388" s="8">
        <f t="shared" si="48"/>
        <v>950.45999999999958</v>
      </c>
      <c r="N388" s="4">
        <f t="shared" si="45"/>
        <v>0.20610200364298717</v>
      </c>
      <c r="O388" s="4" t="str">
        <f t="shared" si="46"/>
        <v>Profit</v>
      </c>
      <c r="P388" t="s">
        <v>15</v>
      </c>
      <c r="Q388">
        <v>0.04</v>
      </c>
      <c r="R388" t="s">
        <v>16</v>
      </c>
      <c r="S388" t="s">
        <v>17</v>
      </c>
      <c r="T388" t="s">
        <v>51</v>
      </c>
      <c r="U388" t="str">
        <f t="shared" si="42"/>
        <v>Low-Cost</v>
      </c>
    </row>
    <row r="389" spans="1:21" x14ac:dyDescent="0.3">
      <c r="A389">
        <v>1038</v>
      </c>
      <c r="B389" s="1">
        <v>44966</v>
      </c>
      <c r="C389" s="2" t="s">
        <v>40</v>
      </c>
      <c r="D389" t="s">
        <v>32</v>
      </c>
      <c r="E389">
        <v>16</v>
      </c>
      <c r="F389" t="s">
        <v>14</v>
      </c>
      <c r="G389">
        <f>1</f>
        <v>1</v>
      </c>
      <c r="H389" s="3">
        <v>3899.7</v>
      </c>
      <c r="I389" s="3">
        <v>4228.18</v>
      </c>
      <c r="J389" s="3">
        <f t="shared" si="43"/>
        <v>3086.5714000000003</v>
      </c>
      <c r="K389" s="3">
        <f t="shared" si="44"/>
        <v>49385.142400000004</v>
      </c>
      <c r="L389" s="3">
        <f t="shared" si="47"/>
        <v>62395.199999999997</v>
      </c>
      <c r="M389" s="8">
        <f t="shared" si="48"/>
        <v>-13010.057599999993</v>
      </c>
      <c r="N389" s="4">
        <f t="shared" si="45"/>
        <v>-0.26344072260891144</v>
      </c>
      <c r="O389" s="4" t="str">
        <f t="shared" si="46"/>
        <v>Loss</v>
      </c>
      <c r="P389" t="s">
        <v>28</v>
      </c>
      <c r="Q389">
        <v>0.27</v>
      </c>
      <c r="R389" t="s">
        <v>16</v>
      </c>
      <c r="S389" t="s">
        <v>20</v>
      </c>
      <c r="T389" t="s">
        <v>50</v>
      </c>
      <c r="U389" t="str">
        <f t="shared" si="42"/>
        <v>High-Cost</v>
      </c>
    </row>
    <row r="390" spans="1:21" x14ac:dyDescent="0.3">
      <c r="A390">
        <v>1038</v>
      </c>
      <c r="B390" s="1">
        <v>45239</v>
      </c>
      <c r="C390" s="2" t="s">
        <v>22</v>
      </c>
      <c r="D390" t="s">
        <v>32</v>
      </c>
      <c r="E390">
        <v>1</v>
      </c>
      <c r="F390" t="s">
        <v>24</v>
      </c>
      <c r="G390">
        <f>1</f>
        <v>1</v>
      </c>
      <c r="H390" s="3">
        <v>1281.6500000000001</v>
      </c>
      <c r="I390" s="3">
        <v>1709.71</v>
      </c>
      <c r="J390" s="3">
        <f t="shared" si="43"/>
        <v>1470.3506</v>
      </c>
      <c r="K390" s="3">
        <f t="shared" si="44"/>
        <v>1470.3506</v>
      </c>
      <c r="L390" s="3">
        <f t="shared" si="47"/>
        <v>1281.6500000000001</v>
      </c>
      <c r="M390" s="8">
        <f t="shared" si="48"/>
        <v>188.70059999999989</v>
      </c>
      <c r="N390" s="4">
        <f t="shared" si="45"/>
        <v>0.12833714625613776</v>
      </c>
      <c r="O390" s="4" t="str">
        <f t="shared" si="46"/>
        <v>Profit</v>
      </c>
      <c r="P390" t="s">
        <v>15</v>
      </c>
      <c r="Q390">
        <v>0.14000000000000001</v>
      </c>
      <c r="R390" t="s">
        <v>29</v>
      </c>
      <c r="S390" t="s">
        <v>17</v>
      </c>
      <c r="T390" t="s">
        <v>48</v>
      </c>
      <c r="U390" t="str">
        <f t="shared" si="42"/>
        <v>Low-Cost</v>
      </c>
    </row>
    <row r="391" spans="1:21" x14ac:dyDescent="0.3">
      <c r="A391">
        <v>1038</v>
      </c>
      <c r="B391" s="1">
        <v>44996</v>
      </c>
      <c r="C391" s="2" t="s">
        <v>12</v>
      </c>
      <c r="D391" t="s">
        <v>23</v>
      </c>
      <c r="E391">
        <v>15</v>
      </c>
      <c r="F391" t="s">
        <v>27</v>
      </c>
      <c r="G391">
        <f>1</f>
        <v>1</v>
      </c>
      <c r="H391" s="3">
        <v>2543.36</v>
      </c>
      <c r="I391" s="3">
        <v>2790.1</v>
      </c>
      <c r="J391" s="3">
        <f t="shared" si="43"/>
        <v>2594.7929999999997</v>
      </c>
      <c r="K391" s="3">
        <f t="shared" si="44"/>
        <v>38921.894999999997</v>
      </c>
      <c r="L391" s="3">
        <f t="shared" si="47"/>
        <v>38150.400000000001</v>
      </c>
      <c r="M391" s="8">
        <f t="shared" si="48"/>
        <v>771.49499999999534</v>
      </c>
      <c r="N391" s="4">
        <f t="shared" si="45"/>
        <v>1.9821619682186476E-2</v>
      </c>
      <c r="O391" s="4" t="str">
        <f t="shared" si="46"/>
        <v>Profit</v>
      </c>
      <c r="P391" t="s">
        <v>15</v>
      </c>
      <c r="Q391">
        <v>7.0000000000000007E-2</v>
      </c>
      <c r="R391" t="s">
        <v>16</v>
      </c>
      <c r="S391" t="s">
        <v>17</v>
      </c>
      <c r="T391" t="s">
        <v>30</v>
      </c>
      <c r="U391" t="str">
        <f t="shared" si="42"/>
        <v>Low-Cost</v>
      </c>
    </row>
    <row r="392" spans="1:21" x14ac:dyDescent="0.3">
      <c r="A392">
        <v>1038</v>
      </c>
      <c r="B392" s="1">
        <v>45058</v>
      </c>
      <c r="C392" s="2" t="s">
        <v>12</v>
      </c>
      <c r="D392" t="s">
        <v>23</v>
      </c>
      <c r="E392">
        <v>20</v>
      </c>
      <c r="F392" t="s">
        <v>27</v>
      </c>
      <c r="G392">
        <f>1</f>
        <v>1</v>
      </c>
      <c r="H392" s="3">
        <v>2607.31</v>
      </c>
      <c r="I392" s="3">
        <v>2774.86</v>
      </c>
      <c r="J392" s="3">
        <f t="shared" si="43"/>
        <v>2025.6478</v>
      </c>
      <c r="K392" s="3">
        <f t="shared" si="44"/>
        <v>40512.956000000006</v>
      </c>
      <c r="L392" s="3">
        <f t="shared" si="47"/>
        <v>52146.2</v>
      </c>
      <c r="M392" s="8">
        <f t="shared" si="48"/>
        <v>-11633.243999999992</v>
      </c>
      <c r="N392" s="4">
        <f t="shared" si="45"/>
        <v>-0.28714873335828645</v>
      </c>
      <c r="O392" s="4" t="str">
        <f t="shared" si="46"/>
        <v>Loss</v>
      </c>
      <c r="P392" t="s">
        <v>28</v>
      </c>
      <c r="Q392">
        <v>0.27</v>
      </c>
      <c r="R392" t="s">
        <v>29</v>
      </c>
      <c r="S392" t="s">
        <v>20</v>
      </c>
      <c r="T392" t="s">
        <v>30</v>
      </c>
      <c r="U392" t="str">
        <f t="shared" ref="U392:U455" si="49">IF(I392 &gt;=2800, "High-Cost", "Low-Cost")</f>
        <v>Low-Cost</v>
      </c>
    </row>
    <row r="393" spans="1:21" x14ac:dyDescent="0.3">
      <c r="A393">
        <v>1038</v>
      </c>
      <c r="B393" s="1">
        <v>44998</v>
      </c>
      <c r="C393" s="2" t="s">
        <v>22</v>
      </c>
      <c r="D393" t="s">
        <v>13</v>
      </c>
      <c r="E393">
        <v>9</v>
      </c>
      <c r="F393" t="s">
        <v>27</v>
      </c>
      <c r="G393">
        <f>1</f>
        <v>1</v>
      </c>
      <c r="H393" s="3">
        <v>400.42</v>
      </c>
      <c r="I393" s="3">
        <v>446.11</v>
      </c>
      <c r="J393" s="3">
        <f t="shared" si="43"/>
        <v>441.64890000000003</v>
      </c>
      <c r="K393" s="3">
        <f t="shared" si="44"/>
        <v>3974.8401000000003</v>
      </c>
      <c r="L393" s="3">
        <f t="shared" si="47"/>
        <v>3603.78</v>
      </c>
      <c r="M393" s="8">
        <f t="shared" si="48"/>
        <v>371.06010000000015</v>
      </c>
      <c r="N393" s="4">
        <f t="shared" si="45"/>
        <v>9.33522080548599E-2</v>
      </c>
      <c r="O393" s="4" t="str">
        <f t="shared" si="46"/>
        <v>Profit</v>
      </c>
      <c r="P393" t="s">
        <v>28</v>
      </c>
      <c r="Q393">
        <v>0.01</v>
      </c>
      <c r="R393" t="s">
        <v>25</v>
      </c>
      <c r="S393" t="s">
        <v>20</v>
      </c>
      <c r="T393" t="s">
        <v>43</v>
      </c>
      <c r="U393" t="str">
        <f t="shared" si="49"/>
        <v>Low-Cost</v>
      </c>
    </row>
    <row r="394" spans="1:21" x14ac:dyDescent="0.3">
      <c r="A394">
        <v>1038</v>
      </c>
      <c r="B394" s="1">
        <v>45092</v>
      </c>
      <c r="C394" s="2" t="s">
        <v>40</v>
      </c>
      <c r="D394" t="s">
        <v>19</v>
      </c>
      <c r="E394">
        <v>42</v>
      </c>
      <c r="F394" t="s">
        <v>24</v>
      </c>
      <c r="G394">
        <f>1</f>
        <v>1</v>
      </c>
      <c r="H394" s="3">
        <v>1089.0899999999999</v>
      </c>
      <c r="I394" s="3">
        <v>1355.44</v>
      </c>
      <c r="J394" s="3">
        <f t="shared" si="43"/>
        <v>1274.1135999999999</v>
      </c>
      <c r="K394" s="3">
        <f t="shared" si="44"/>
        <v>53512.771200000003</v>
      </c>
      <c r="L394" s="3">
        <f t="shared" si="47"/>
        <v>45741.78</v>
      </c>
      <c r="M394" s="8">
        <f t="shared" si="48"/>
        <v>7770.991200000004</v>
      </c>
      <c r="N394" s="4">
        <f t="shared" si="45"/>
        <v>0.14521750650805398</v>
      </c>
      <c r="O394" s="4" t="str">
        <f t="shared" si="46"/>
        <v>Profit</v>
      </c>
      <c r="P394" t="s">
        <v>28</v>
      </c>
      <c r="Q394">
        <v>0.06</v>
      </c>
      <c r="R394" t="s">
        <v>16</v>
      </c>
      <c r="S394" t="s">
        <v>20</v>
      </c>
      <c r="T394" t="s">
        <v>49</v>
      </c>
      <c r="U394" t="str">
        <f t="shared" si="49"/>
        <v>Low-Cost</v>
      </c>
    </row>
    <row r="395" spans="1:21" x14ac:dyDescent="0.3">
      <c r="A395">
        <v>1038</v>
      </c>
      <c r="B395" s="1">
        <v>45214</v>
      </c>
      <c r="C395" s="2" t="s">
        <v>22</v>
      </c>
      <c r="D395" t="s">
        <v>19</v>
      </c>
      <c r="E395">
        <v>31</v>
      </c>
      <c r="F395" t="s">
        <v>27</v>
      </c>
      <c r="G395">
        <f>1</f>
        <v>1</v>
      </c>
      <c r="H395" s="3">
        <v>2709.84</v>
      </c>
      <c r="I395" s="3">
        <v>2766.51</v>
      </c>
      <c r="J395" s="3">
        <f t="shared" si="43"/>
        <v>2240.8731000000002</v>
      </c>
      <c r="K395" s="3">
        <f t="shared" si="44"/>
        <v>69467.066100000011</v>
      </c>
      <c r="L395" s="3">
        <f t="shared" si="47"/>
        <v>84005.040000000008</v>
      </c>
      <c r="M395" s="8">
        <f t="shared" si="48"/>
        <v>-14537.973899999997</v>
      </c>
      <c r="N395" s="4">
        <f t="shared" si="45"/>
        <v>-0.20927865125428113</v>
      </c>
      <c r="O395" s="4" t="str">
        <f t="shared" si="46"/>
        <v>Loss</v>
      </c>
      <c r="P395" t="s">
        <v>28</v>
      </c>
      <c r="Q395">
        <v>0.19</v>
      </c>
      <c r="R395" t="s">
        <v>16</v>
      </c>
      <c r="S395" t="s">
        <v>20</v>
      </c>
      <c r="T395" t="s">
        <v>45</v>
      </c>
      <c r="U395" t="str">
        <f t="shared" si="49"/>
        <v>Low-Cost</v>
      </c>
    </row>
    <row r="396" spans="1:21" x14ac:dyDescent="0.3">
      <c r="A396">
        <v>1038</v>
      </c>
      <c r="B396" s="1">
        <v>45095</v>
      </c>
      <c r="C396" s="2" t="s">
        <v>36</v>
      </c>
      <c r="D396" t="s">
        <v>19</v>
      </c>
      <c r="E396">
        <v>24</v>
      </c>
      <c r="F396" t="s">
        <v>27</v>
      </c>
      <c r="G396">
        <f>1</f>
        <v>1</v>
      </c>
      <c r="H396" s="3">
        <v>1543.91</v>
      </c>
      <c r="I396" s="3">
        <v>1862.88</v>
      </c>
      <c r="J396" s="3">
        <f t="shared" si="43"/>
        <v>1695.2208000000001</v>
      </c>
      <c r="K396" s="3">
        <f t="shared" si="44"/>
        <v>40685.299200000001</v>
      </c>
      <c r="L396" s="3">
        <f t="shared" si="47"/>
        <v>37053.840000000004</v>
      </c>
      <c r="M396" s="8">
        <f t="shared" si="48"/>
        <v>3631.4591999999975</v>
      </c>
      <c r="N396" s="4">
        <f t="shared" si="45"/>
        <v>8.9257281411365352E-2</v>
      </c>
      <c r="O396" s="4" t="str">
        <f t="shared" si="46"/>
        <v>Profit</v>
      </c>
      <c r="P396" t="s">
        <v>28</v>
      </c>
      <c r="Q396">
        <v>0.09</v>
      </c>
      <c r="R396" t="s">
        <v>25</v>
      </c>
      <c r="S396" t="s">
        <v>17</v>
      </c>
      <c r="T396" t="s">
        <v>39</v>
      </c>
      <c r="U396" t="str">
        <f t="shared" si="49"/>
        <v>Low-Cost</v>
      </c>
    </row>
    <row r="397" spans="1:21" x14ac:dyDescent="0.3">
      <c r="A397">
        <v>1039</v>
      </c>
      <c r="B397" s="1">
        <v>45139</v>
      </c>
      <c r="C397" s="2" t="s">
        <v>36</v>
      </c>
      <c r="D397" t="s">
        <v>19</v>
      </c>
      <c r="E397">
        <v>36</v>
      </c>
      <c r="F397" t="s">
        <v>27</v>
      </c>
      <c r="G397">
        <f>1</f>
        <v>1</v>
      </c>
      <c r="H397" s="3">
        <v>2919</v>
      </c>
      <c r="I397" s="3">
        <v>3125.01</v>
      </c>
      <c r="J397" s="3">
        <f t="shared" si="43"/>
        <v>2375.0076000000004</v>
      </c>
      <c r="K397" s="3">
        <f t="shared" si="44"/>
        <v>85500.273600000015</v>
      </c>
      <c r="L397" s="3">
        <f t="shared" si="47"/>
        <v>105084</v>
      </c>
      <c r="M397" s="8">
        <f t="shared" si="48"/>
        <v>-19583.726399999985</v>
      </c>
      <c r="N397" s="4">
        <f t="shared" si="45"/>
        <v>-0.22904869862311156</v>
      </c>
      <c r="O397" s="4" t="str">
        <f t="shared" si="46"/>
        <v>Loss</v>
      </c>
      <c r="P397" t="s">
        <v>28</v>
      </c>
      <c r="Q397">
        <v>0.24</v>
      </c>
      <c r="R397" t="s">
        <v>16</v>
      </c>
      <c r="S397" t="s">
        <v>17</v>
      </c>
      <c r="T397" t="s">
        <v>39</v>
      </c>
      <c r="U397" t="str">
        <f t="shared" si="49"/>
        <v>High-Cost</v>
      </c>
    </row>
    <row r="398" spans="1:21" x14ac:dyDescent="0.3">
      <c r="A398">
        <v>1039</v>
      </c>
      <c r="B398" s="1">
        <v>45080</v>
      </c>
      <c r="C398" s="2" t="s">
        <v>12</v>
      </c>
      <c r="D398" t="s">
        <v>23</v>
      </c>
      <c r="E398">
        <v>8</v>
      </c>
      <c r="F398" t="s">
        <v>27</v>
      </c>
      <c r="G398">
        <f>1</f>
        <v>1</v>
      </c>
      <c r="H398" s="3">
        <v>3380.14</v>
      </c>
      <c r="I398" s="3">
        <v>3609.34</v>
      </c>
      <c r="J398" s="3">
        <f t="shared" si="43"/>
        <v>3284.4994000000002</v>
      </c>
      <c r="K398" s="3">
        <f t="shared" si="44"/>
        <v>26275.995200000001</v>
      </c>
      <c r="L398" s="3">
        <f t="shared" si="47"/>
        <v>27041.119999999999</v>
      </c>
      <c r="M398" s="8">
        <f t="shared" si="48"/>
        <v>-765.12479999999778</v>
      </c>
      <c r="N398" s="4">
        <f t="shared" si="45"/>
        <v>-2.91187752995174E-2</v>
      </c>
      <c r="O398" s="4" t="str">
        <f t="shared" si="46"/>
        <v>Loss</v>
      </c>
      <c r="P398" t="s">
        <v>15</v>
      </c>
      <c r="Q398">
        <v>0.09</v>
      </c>
      <c r="R398" t="s">
        <v>29</v>
      </c>
      <c r="S398" t="s">
        <v>17</v>
      </c>
      <c r="T398" t="s">
        <v>30</v>
      </c>
      <c r="U398" t="str">
        <f t="shared" si="49"/>
        <v>High-Cost</v>
      </c>
    </row>
    <row r="399" spans="1:21" x14ac:dyDescent="0.3">
      <c r="A399">
        <v>1039</v>
      </c>
      <c r="B399" s="1">
        <v>44934</v>
      </c>
      <c r="C399" s="2" t="s">
        <v>36</v>
      </c>
      <c r="D399" t="s">
        <v>23</v>
      </c>
      <c r="E399">
        <v>4</v>
      </c>
      <c r="F399" t="s">
        <v>33</v>
      </c>
      <c r="G399">
        <f>1</f>
        <v>1</v>
      </c>
      <c r="H399" s="3">
        <v>1054.1199999999999</v>
      </c>
      <c r="I399" s="3">
        <v>1175.22</v>
      </c>
      <c r="J399" s="3">
        <f t="shared" si="43"/>
        <v>1034.1936000000001</v>
      </c>
      <c r="K399" s="3">
        <f t="shared" si="44"/>
        <v>4136.7744000000002</v>
      </c>
      <c r="L399" s="3">
        <f t="shared" si="47"/>
        <v>4216.4799999999996</v>
      </c>
      <c r="M399" s="8">
        <f t="shared" si="48"/>
        <v>-79.705599999999322</v>
      </c>
      <c r="N399" s="4">
        <f t="shared" si="45"/>
        <v>-1.9267572338486555E-2</v>
      </c>
      <c r="O399" s="4" t="str">
        <f t="shared" si="46"/>
        <v>Loss</v>
      </c>
      <c r="P399" t="s">
        <v>15</v>
      </c>
      <c r="Q399">
        <v>0.12</v>
      </c>
      <c r="R399" t="s">
        <v>25</v>
      </c>
      <c r="S399" t="s">
        <v>20</v>
      </c>
      <c r="T399" t="s">
        <v>37</v>
      </c>
      <c r="U399" t="str">
        <f t="shared" si="49"/>
        <v>Low-Cost</v>
      </c>
    </row>
    <row r="400" spans="1:21" x14ac:dyDescent="0.3">
      <c r="A400">
        <v>1039</v>
      </c>
      <c r="B400" s="1">
        <v>44966</v>
      </c>
      <c r="C400" s="2" t="s">
        <v>22</v>
      </c>
      <c r="D400" t="s">
        <v>23</v>
      </c>
      <c r="E400">
        <v>20</v>
      </c>
      <c r="F400" t="s">
        <v>24</v>
      </c>
      <c r="G400">
        <f>1</f>
        <v>1</v>
      </c>
      <c r="H400" s="3">
        <v>2014.11</v>
      </c>
      <c r="I400" s="3">
        <v>2056.35</v>
      </c>
      <c r="J400" s="3">
        <f t="shared" si="43"/>
        <v>1624.5165</v>
      </c>
      <c r="K400" s="3">
        <f t="shared" si="44"/>
        <v>32490.33</v>
      </c>
      <c r="L400" s="3">
        <f t="shared" si="47"/>
        <v>40282.199999999997</v>
      </c>
      <c r="M400" s="8">
        <f t="shared" si="48"/>
        <v>-7791.8699999999953</v>
      </c>
      <c r="N400" s="4">
        <f t="shared" si="45"/>
        <v>-0.23982120218538855</v>
      </c>
      <c r="O400" s="4" t="str">
        <f t="shared" si="46"/>
        <v>Loss</v>
      </c>
      <c r="P400" t="s">
        <v>15</v>
      </c>
      <c r="Q400">
        <v>0.21</v>
      </c>
      <c r="R400" t="s">
        <v>25</v>
      </c>
      <c r="S400" t="s">
        <v>20</v>
      </c>
      <c r="T400" t="s">
        <v>26</v>
      </c>
      <c r="U400" t="str">
        <f t="shared" si="49"/>
        <v>Low-Cost</v>
      </c>
    </row>
    <row r="401" spans="1:21" x14ac:dyDescent="0.3">
      <c r="A401">
        <v>1039</v>
      </c>
      <c r="B401" s="1">
        <v>45025</v>
      </c>
      <c r="C401" s="2" t="s">
        <v>40</v>
      </c>
      <c r="D401" t="s">
        <v>13</v>
      </c>
      <c r="E401">
        <v>3</v>
      </c>
      <c r="F401" t="s">
        <v>24</v>
      </c>
      <c r="G401">
        <f>1</f>
        <v>1</v>
      </c>
      <c r="H401" s="3">
        <v>391.19</v>
      </c>
      <c r="I401" s="3">
        <v>471.75</v>
      </c>
      <c r="J401" s="3">
        <f t="shared" si="43"/>
        <v>344.3775</v>
      </c>
      <c r="K401" s="3">
        <f t="shared" si="44"/>
        <v>1033.1324999999999</v>
      </c>
      <c r="L401" s="3">
        <f t="shared" si="47"/>
        <v>1173.57</v>
      </c>
      <c r="M401" s="8">
        <f t="shared" si="48"/>
        <v>-140.4375</v>
      </c>
      <c r="N401" s="4">
        <f t="shared" si="45"/>
        <v>-0.13593367743246873</v>
      </c>
      <c r="O401" s="4" t="str">
        <f t="shared" si="46"/>
        <v>Loss</v>
      </c>
      <c r="P401" t="s">
        <v>15</v>
      </c>
      <c r="Q401">
        <v>0.27</v>
      </c>
      <c r="R401" t="s">
        <v>16</v>
      </c>
      <c r="S401" t="s">
        <v>17</v>
      </c>
      <c r="T401" t="s">
        <v>47</v>
      </c>
      <c r="U401" t="str">
        <f t="shared" si="49"/>
        <v>Low-Cost</v>
      </c>
    </row>
    <row r="402" spans="1:21" x14ac:dyDescent="0.3">
      <c r="A402">
        <v>1039</v>
      </c>
      <c r="B402" s="1">
        <v>45059</v>
      </c>
      <c r="C402" s="2" t="s">
        <v>36</v>
      </c>
      <c r="D402" t="s">
        <v>19</v>
      </c>
      <c r="E402">
        <v>40</v>
      </c>
      <c r="F402" t="s">
        <v>14</v>
      </c>
      <c r="G402">
        <f>1</f>
        <v>1</v>
      </c>
      <c r="H402" s="3">
        <v>3536.46</v>
      </c>
      <c r="I402" s="3">
        <v>3945.82</v>
      </c>
      <c r="J402" s="3">
        <f t="shared" si="43"/>
        <v>2998.8232000000003</v>
      </c>
      <c r="K402" s="3">
        <f t="shared" si="44"/>
        <v>119952.92800000001</v>
      </c>
      <c r="L402" s="3">
        <f t="shared" si="47"/>
        <v>141458.4</v>
      </c>
      <c r="M402" s="8">
        <f t="shared" si="48"/>
        <v>-21505.47199999998</v>
      </c>
      <c r="N402" s="4">
        <f t="shared" si="45"/>
        <v>-0.17928259325191276</v>
      </c>
      <c r="O402" s="4" t="str">
        <f t="shared" si="46"/>
        <v>Loss</v>
      </c>
      <c r="P402" t="s">
        <v>28</v>
      </c>
      <c r="Q402">
        <v>0.24</v>
      </c>
      <c r="R402" t="s">
        <v>25</v>
      </c>
      <c r="S402" t="s">
        <v>17</v>
      </c>
      <c r="T402" t="s">
        <v>39</v>
      </c>
      <c r="U402" t="str">
        <f t="shared" si="49"/>
        <v>High-Cost</v>
      </c>
    </row>
    <row r="403" spans="1:21" x14ac:dyDescent="0.3">
      <c r="A403">
        <v>1039</v>
      </c>
      <c r="B403" s="1">
        <v>45001</v>
      </c>
      <c r="C403" s="2" t="s">
        <v>36</v>
      </c>
      <c r="D403" t="s">
        <v>13</v>
      </c>
      <c r="E403">
        <v>35</v>
      </c>
      <c r="F403" t="s">
        <v>14</v>
      </c>
      <c r="G403">
        <f>1</f>
        <v>1</v>
      </c>
      <c r="H403" s="3">
        <v>2735.74</v>
      </c>
      <c r="I403" s="3">
        <v>3181.23</v>
      </c>
      <c r="J403" s="3">
        <f t="shared" si="43"/>
        <v>2863.107</v>
      </c>
      <c r="K403" s="3">
        <f t="shared" si="44"/>
        <v>100208.74500000001</v>
      </c>
      <c r="L403" s="3">
        <f t="shared" si="47"/>
        <v>95750.9</v>
      </c>
      <c r="M403" s="8">
        <f t="shared" si="48"/>
        <v>4457.8450000000157</v>
      </c>
      <c r="N403" s="4">
        <f t="shared" si="45"/>
        <v>4.448558855816441E-2</v>
      </c>
      <c r="O403" s="4" t="str">
        <f t="shared" si="46"/>
        <v>Profit</v>
      </c>
      <c r="P403" t="s">
        <v>28</v>
      </c>
      <c r="Q403">
        <v>0.1</v>
      </c>
      <c r="R403" t="s">
        <v>29</v>
      </c>
      <c r="S403" t="s">
        <v>20</v>
      </c>
      <c r="T403" t="s">
        <v>38</v>
      </c>
      <c r="U403" t="str">
        <f t="shared" si="49"/>
        <v>High-Cost</v>
      </c>
    </row>
    <row r="404" spans="1:21" x14ac:dyDescent="0.3">
      <c r="A404">
        <v>1039</v>
      </c>
      <c r="B404" s="1">
        <v>45188</v>
      </c>
      <c r="C404" s="2" t="s">
        <v>12</v>
      </c>
      <c r="D404" t="s">
        <v>23</v>
      </c>
      <c r="E404">
        <v>28</v>
      </c>
      <c r="F404" t="s">
        <v>27</v>
      </c>
      <c r="G404">
        <f>1</f>
        <v>1</v>
      </c>
      <c r="H404" s="3">
        <v>666.84</v>
      </c>
      <c r="I404" s="3">
        <v>817.36</v>
      </c>
      <c r="J404" s="3">
        <f t="shared" si="43"/>
        <v>801.01279999999997</v>
      </c>
      <c r="K404" s="3">
        <f t="shared" si="44"/>
        <v>22428.358400000001</v>
      </c>
      <c r="L404" s="3">
        <f t="shared" si="47"/>
        <v>18671.52</v>
      </c>
      <c r="M404" s="8">
        <f t="shared" si="48"/>
        <v>3756.8384000000005</v>
      </c>
      <c r="N404" s="4">
        <f t="shared" si="45"/>
        <v>0.16750394001194491</v>
      </c>
      <c r="O404" s="4" t="str">
        <f t="shared" si="46"/>
        <v>Profit</v>
      </c>
      <c r="P404" t="s">
        <v>15</v>
      </c>
      <c r="Q404">
        <v>0.02</v>
      </c>
      <c r="R404" t="s">
        <v>16</v>
      </c>
      <c r="S404" t="s">
        <v>20</v>
      </c>
      <c r="T404" t="s">
        <v>30</v>
      </c>
      <c r="U404" t="str">
        <f t="shared" si="49"/>
        <v>Low-Cost</v>
      </c>
    </row>
    <row r="405" spans="1:21" x14ac:dyDescent="0.3">
      <c r="A405">
        <v>1039</v>
      </c>
      <c r="B405" s="1">
        <v>45129</v>
      </c>
      <c r="C405" s="2" t="s">
        <v>40</v>
      </c>
      <c r="D405" t="s">
        <v>32</v>
      </c>
      <c r="E405">
        <v>42</v>
      </c>
      <c r="F405" t="s">
        <v>27</v>
      </c>
      <c r="G405">
        <f>1</f>
        <v>1</v>
      </c>
      <c r="H405" s="3">
        <v>3120.19</v>
      </c>
      <c r="I405" s="3">
        <v>3600.14</v>
      </c>
      <c r="J405" s="3">
        <f t="shared" si="43"/>
        <v>2916.1134000000002</v>
      </c>
      <c r="K405" s="3">
        <f t="shared" si="44"/>
        <v>122476.76280000001</v>
      </c>
      <c r="L405" s="3">
        <f t="shared" si="47"/>
        <v>131047.98</v>
      </c>
      <c r="M405" s="8">
        <f t="shared" si="48"/>
        <v>-8571.2171999999846</v>
      </c>
      <c r="N405" s="4">
        <f t="shared" si="45"/>
        <v>-6.9982395060493738E-2</v>
      </c>
      <c r="O405" s="4" t="str">
        <f t="shared" si="46"/>
        <v>Loss</v>
      </c>
      <c r="P405" t="s">
        <v>15</v>
      </c>
      <c r="Q405">
        <v>0.19</v>
      </c>
      <c r="R405" t="s">
        <v>29</v>
      </c>
      <c r="S405" t="s">
        <v>20</v>
      </c>
      <c r="T405" t="s">
        <v>50</v>
      </c>
      <c r="U405" t="str">
        <f t="shared" si="49"/>
        <v>High-Cost</v>
      </c>
    </row>
    <row r="406" spans="1:21" x14ac:dyDescent="0.3">
      <c r="A406">
        <v>1039</v>
      </c>
      <c r="B406" s="1">
        <v>45041</v>
      </c>
      <c r="C406" s="2" t="s">
        <v>40</v>
      </c>
      <c r="D406" t="s">
        <v>32</v>
      </c>
      <c r="E406">
        <v>24</v>
      </c>
      <c r="F406" t="s">
        <v>27</v>
      </c>
      <c r="G406">
        <f>1</f>
        <v>1</v>
      </c>
      <c r="H406" s="3">
        <v>2615.48</v>
      </c>
      <c r="I406" s="3">
        <v>3062.22</v>
      </c>
      <c r="J406" s="3">
        <f t="shared" si="43"/>
        <v>2480.3982000000001</v>
      </c>
      <c r="K406" s="3">
        <f t="shared" si="44"/>
        <v>59529.556800000006</v>
      </c>
      <c r="L406" s="3">
        <f t="shared" si="47"/>
        <v>62771.520000000004</v>
      </c>
      <c r="M406" s="8">
        <f t="shared" si="48"/>
        <v>-3241.9631999999983</v>
      </c>
      <c r="N406" s="4">
        <f t="shared" si="45"/>
        <v>-5.4459723442792339E-2</v>
      </c>
      <c r="O406" s="4" t="str">
        <f t="shared" si="46"/>
        <v>Loss</v>
      </c>
      <c r="P406" t="s">
        <v>28</v>
      </c>
      <c r="Q406">
        <v>0.19</v>
      </c>
      <c r="R406" t="s">
        <v>25</v>
      </c>
      <c r="S406" t="s">
        <v>20</v>
      </c>
      <c r="T406" t="s">
        <v>50</v>
      </c>
      <c r="U406" t="str">
        <f t="shared" si="49"/>
        <v>High-Cost</v>
      </c>
    </row>
    <row r="407" spans="1:21" x14ac:dyDescent="0.3">
      <c r="A407">
        <v>1039</v>
      </c>
      <c r="B407" s="1">
        <v>45194</v>
      </c>
      <c r="C407" s="2" t="s">
        <v>36</v>
      </c>
      <c r="D407" t="s">
        <v>19</v>
      </c>
      <c r="E407">
        <v>37</v>
      </c>
      <c r="F407" t="s">
        <v>33</v>
      </c>
      <c r="G407">
        <f>1</f>
        <v>1</v>
      </c>
      <c r="H407" s="3">
        <v>4127.05</v>
      </c>
      <c r="I407" s="3">
        <v>4313.45</v>
      </c>
      <c r="J407" s="3">
        <f t="shared" si="43"/>
        <v>3623.2979999999998</v>
      </c>
      <c r="K407" s="3">
        <f t="shared" si="44"/>
        <v>134062.02599999998</v>
      </c>
      <c r="L407" s="3">
        <f t="shared" si="47"/>
        <v>152700.85</v>
      </c>
      <c r="M407" s="8">
        <f t="shared" si="48"/>
        <v>-18638.824000000022</v>
      </c>
      <c r="N407" s="4">
        <f t="shared" si="45"/>
        <v>-0.13903134657982882</v>
      </c>
      <c r="O407" s="4" t="str">
        <f t="shared" si="46"/>
        <v>Loss</v>
      </c>
      <c r="P407" t="s">
        <v>28</v>
      </c>
      <c r="Q407">
        <v>0.16</v>
      </c>
      <c r="R407" t="s">
        <v>16</v>
      </c>
      <c r="S407" t="s">
        <v>17</v>
      </c>
      <c r="T407" t="s">
        <v>39</v>
      </c>
      <c r="U407" t="str">
        <f t="shared" si="49"/>
        <v>High-Cost</v>
      </c>
    </row>
    <row r="408" spans="1:21" x14ac:dyDescent="0.3">
      <c r="A408">
        <v>1039</v>
      </c>
      <c r="B408" s="1">
        <v>45104</v>
      </c>
      <c r="C408" s="2" t="s">
        <v>12</v>
      </c>
      <c r="D408" t="s">
        <v>32</v>
      </c>
      <c r="E408">
        <v>2</v>
      </c>
      <c r="F408" t="s">
        <v>33</v>
      </c>
      <c r="G408">
        <f>1</f>
        <v>1</v>
      </c>
      <c r="H408" s="3">
        <v>4394.58</v>
      </c>
      <c r="I408" s="3">
        <v>4545.78</v>
      </c>
      <c r="J408" s="3">
        <f t="shared" si="43"/>
        <v>3636.6239999999998</v>
      </c>
      <c r="K408" s="3">
        <f t="shared" si="44"/>
        <v>7273.2479999999996</v>
      </c>
      <c r="L408" s="3">
        <f t="shared" si="47"/>
        <v>8789.16</v>
      </c>
      <c r="M408" s="8">
        <f t="shared" si="48"/>
        <v>-1515.9120000000003</v>
      </c>
      <c r="N408" s="4">
        <f t="shared" si="45"/>
        <v>-0.20842297691485295</v>
      </c>
      <c r="O408" s="4" t="str">
        <f t="shared" si="46"/>
        <v>Loss</v>
      </c>
      <c r="P408" t="s">
        <v>15</v>
      </c>
      <c r="Q408">
        <v>0.2</v>
      </c>
      <c r="R408" t="s">
        <v>29</v>
      </c>
      <c r="S408" t="s">
        <v>20</v>
      </c>
      <c r="T408" t="s">
        <v>44</v>
      </c>
      <c r="U408" t="str">
        <f t="shared" si="49"/>
        <v>High-Cost</v>
      </c>
    </row>
    <row r="409" spans="1:21" x14ac:dyDescent="0.3">
      <c r="A409">
        <v>1040</v>
      </c>
      <c r="B409" s="1">
        <v>44995</v>
      </c>
      <c r="C409" s="2" t="s">
        <v>31</v>
      </c>
      <c r="D409" t="s">
        <v>32</v>
      </c>
      <c r="E409">
        <v>13</v>
      </c>
      <c r="F409" t="s">
        <v>27</v>
      </c>
      <c r="G409">
        <f>1</f>
        <v>1</v>
      </c>
      <c r="H409" s="3">
        <v>2750.18</v>
      </c>
      <c r="I409" s="3">
        <v>2882.85</v>
      </c>
      <c r="J409" s="3">
        <f t="shared" si="43"/>
        <v>2190.9659999999999</v>
      </c>
      <c r="K409" s="3">
        <f t="shared" si="44"/>
        <v>28482.557999999997</v>
      </c>
      <c r="L409" s="3">
        <f t="shared" si="47"/>
        <v>35752.339999999997</v>
      </c>
      <c r="M409" s="8">
        <f t="shared" si="48"/>
        <v>-7269.7819999999992</v>
      </c>
      <c r="N409" s="4">
        <f t="shared" si="45"/>
        <v>-0.25523627477560124</v>
      </c>
      <c r="O409" s="4" t="str">
        <f t="shared" si="46"/>
        <v>Loss</v>
      </c>
      <c r="P409" t="s">
        <v>15</v>
      </c>
      <c r="Q409">
        <v>0.24</v>
      </c>
      <c r="R409" t="s">
        <v>29</v>
      </c>
      <c r="S409" t="s">
        <v>17</v>
      </c>
      <c r="T409" t="s">
        <v>34</v>
      </c>
      <c r="U409" t="str">
        <f t="shared" si="49"/>
        <v>High-Cost</v>
      </c>
    </row>
    <row r="410" spans="1:21" x14ac:dyDescent="0.3">
      <c r="A410">
        <v>1040</v>
      </c>
      <c r="B410" s="1">
        <v>44995</v>
      </c>
      <c r="C410" s="2" t="s">
        <v>40</v>
      </c>
      <c r="D410" t="s">
        <v>32</v>
      </c>
      <c r="E410">
        <v>42</v>
      </c>
      <c r="F410" t="s">
        <v>33</v>
      </c>
      <c r="G410">
        <f>1</f>
        <v>1</v>
      </c>
      <c r="H410" s="3">
        <v>4205.29</v>
      </c>
      <c r="I410" s="3">
        <v>4382.3500000000004</v>
      </c>
      <c r="J410" s="3">
        <f t="shared" si="43"/>
        <v>3286.7625000000003</v>
      </c>
      <c r="K410" s="3">
        <f t="shared" si="44"/>
        <v>138044.02500000002</v>
      </c>
      <c r="L410" s="3">
        <f t="shared" si="47"/>
        <v>176622.18</v>
      </c>
      <c r="M410" s="8">
        <f t="shared" si="48"/>
        <v>-38578.15499999997</v>
      </c>
      <c r="N410" s="4">
        <f t="shared" si="45"/>
        <v>-0.27946269315169536</v>
      </c>
      <c r="O410" s="4" t="str">
        <f t="shared" si="46"/>
        <v>Loss</v>
      </c>
      <c r="P410" t="s">
        <v>28</v>
      </c>
      <c r="Q410">
        <v>0.25</v>
      </c>
      <c r="R410" t="s">
        <v>16</v>
      </c>
      <c r="S410" t="s">
        <v>20</v>
      </c>
      <c r="T410" t="s">
        <v>50</v>
      </c>
      <c r="U410" t="str">
        <f t="shared" si="49"/>
        <v>High-Cost</v>
      </c>
    </row>
    <row r="411" spans="1:21" x14ac:dyDescent="0.3">
      <c r="A411">
        <v>1040</v>
      </c>
      <c r="B411" s="1">
        <v>44941</v>
      </c>
      <c r="C411" s="2" t="s">
        <v>31</v>
      </c>
      <c r="D411" t="s">
        <v>13</v>
      </c>
      <c r="E411">
        <v>19</v>
      </c>
      <c r="F411" t="s">
        <v>14</v>
      </c>
      <c r="G411">
        <f>1</f>
        <v>1</v>
      </c>
      <c r="H411" s="3">
        <v>342.3</v>
      </c>
      <c r="I411" s="3">
        <v>768.06</v>
      </c>
      <c r="J411" s="3">
        <f t="shared" si="43"/>
        <v>698.93459999999993</v>
      </c>
      <c r="K411" s="3">
        <f t="shared" si="44"/>
        <v>13279.7574</v>
      </c>
      <c r="L411" s="3">
        <f t="shared" si="47"/>
        <v>6503.7</v>
      </c>
      <c r="M411" s="8">
        <f t="shared" si="48"/>
        <v>6776.0574000000006</v>
      </c>
      <c r="N411" s="4">
        <f t="shared" si="45"/>
        <v>0.5102546075126343</v>
      </c>
      <c r="O411" s="4" t="str">
        <f t="shared" si="46"/>
        <v>Profit</v>
      </c>
      <c r="P411" t="s">
        <v>15</v>
      </c>
      <c r="Q411">
        <v>0.09</v>
      </c>
      <c r="R411" t="s">
        <v>29</v>
      </c>
      <c r="S411" t="s">
        <v>17</v>
      </c>
      <c r="T411" t="s">
        <v>51</v>
      </c>
      <c r="U411" t="str">
        <f t="shared" si="49"/>
        <v>Low-Cost</v>
      </c>
    </row>
    <row r="412" spans="1:21" x14ac:dyDescent="0.3">
      <c r="A412">
        <v>1040</v>
      </c>
      <c r="B412" s="1">
        <v>45249</v>
      </c>
      <c r="C412" s="2" t="s">
        <v>22</v>
      </c>
      <c r="D412" t="s">
        <v>13</v>
      </c>
      <c r="E412">
        <v>47</v>
      </c>
      <c r="F412" t="s">
        <v>33</v>
      </c>
      <c r="G412">
        <f>1</f>
        <v>1</v>
      </c>
      <c r="H412" s="3">
        <v>2189.54</v>
      </c>
      <c r="I412" s="3">
        <v>2617</v>
      </c>
      <c r="J412" s="3">
        <f t="shared" si="43"/>
        <v>2590.83</v>
      </c>
      <c r="K412" s="3">
        <f t="shared" si="44"/>
        <v>121769.01</v>
      </c>
      <c r="L412" s="3">
        <f t="shared" si="47"/>
        <v>102908.38</v>
      </c>
      <c r="M412" s="8">
        <f t="shared" si="48"/>
        <v>18860.62999999999</v>
      </c>
      <c r="N412" s="4">
        <f t="shared" si="45"/>
        <v>0.15488858782706694</v>
      </c>
      <c r="O412" s="4" t="str">
        <f t="shared" si="46"/>
        <v>Profit</v>
      </c>
      <c r="P412" t="s">
        <v>28</v>
      </c>
      <c r="Q412">
        <v>0.01</v>
      </c>
      <c r="R412" t="s">
        <v>25</v>
      </c>
      <c r="S412" t="s">
        <v>17</v>
      </c>
      <c r="T412" t="s">
        <v>43</v>
      </c>
      <c r="U412" t="str">
        <f t="shared" si="49"/>
        <v>Low-Cost</v>
      </c>
    </row>
    <row r="413" spans="1:21" x14ac:dyDescent="0.3">
      <c r="A413">
        <v>1040</v>
      </c>
      <c r="B413" s="1">
        <v>45076</v>
      </c>
      <c r="C413" s="2" t="s">
        <v>40</v>
      </c>
      <c r="D413" t="s">
        <v>23</v>
      </c>
      <c r="E413">
        <v>47</v>
      </c>
      <c r="F413" t="s">
        <v>27</v>
      </c>
      <c r="G413">
        <f>1</f>
        <v>1</v>
      </c>
      <c r="H413" s="3">
        <v>1656.82</v>
      </c>
      <c r="I413" s="3">
        <v>1750.38</v>
      </c>
      <c r="J413" s="3">
        <f t="shared" si="43"/>
        <v>1382.8002000000001</v>
      </c>
      <c r="K413" s="3">
        <f t="shared" si="44"/>
        <v>64991.609400000001</v>
      </c>
      <c r="L413" s="3">
        <f t="shared" si="47"/>
        <v>77870.539999999994</v>
      </c>
      <c r="M413" s="8">
        <f t="shared" si="48"/>
        <v>-12878.930599999992</v>
      </c>
      <c r="N413" s="4">
        <f t="shared" si="45"/>
        <v>-0.19816297394229465</v>
      </c>
      <c r="O413" s="4" t="str">
        <f t="shared" si="46"/>
        <v>Loss</v>
      </c>
      <c r="P413" t="s">
        <v>28</v>
      </c>
      <c r="Q413">
        <v>0.21</v>
      </c>
      <c r="R413" t="s">
        <v>29</v>
      </c>
      <c r="S413" t="s">
        <v>17</v>
      </c>
      <c r="T413" t="s">
        <v>41</v>
      </c>
      <c r="U413" t="str">
        <f t="shared" si="49"/>
        <v>Low-Cost</v>
      </c>
    </row>
    <row r="414" spans="1:21" x14ac:dyDescent="0.3">
      <c r="A414">
        <v>1041</v>
      </c>
      <c r="B414" s="1">
        <v>44986</v>
      </c>
      <c r="C414" s="2" t="s">
        <v>31</v>
      </c>
      <c r="D414" t="s">
        <v>32</v>
      </c>
      <c r="E414">
        <v>44</v>
      </c>
      <c r="F414" t="s">
        <v>33</v>
      </c>
      <c r="G414">
        <f>1</f>
        <v>1</v>
      </c>
      <c r="H414" s="3">
        <v>3288.39</v>
      </c>
      <c r="I414" s="3">
        <v>3391.46</v>
      </c>
      <c r="J414" s="3">
        <f t="shared" si="43"/>
        <v>3221.8869999999997</v>
      </c>
      <c r="K414" s="3">
        <f t="shared" si="44"/>
        <v>141763.02799999999</v>
      </c>
      <c r="L414" s="3">
        <f t="shared" si="47"/>
        <v>144689.16</v>
      </c>
      <c r="M414" s="8">
        <f t="shared" si="48"/>
        <v>-2926.1320000000123</v>
      </c>
      <c r="N414" s="4">
        <f t="shared" si="45"/>
        <v>-2.0641009445706904E-2</v>
      </c>
      <c r="O414" s="4" t="str">
        <f t="shared" si="46"/>
        <v>Loss</v>
      </c>
      <c r="P414" t="s">
        <v>28</v>
      </c>
      <c r="Q414">
        <v>0.05</v>
      </c>
      <c r="R414" t="s">
        <v>29</v>
      </c>
      <c r="S414" t="s">
        <v>20</v>
      </c>
      <c r="T414" t="s">
        <v>34</v>
      </c>
      <c r="U414" t="str">
        <f t="shared" si="49"/>
        <v>High-Cost</v>
      </c>
    </row>
    <row r="415" spans="1:21" x14ac:dyDescent="0.3">
      <c r="A415">
        <v>1041</v>
      </c>
      <c r="B415" s="1">
        <v>44934</v>
      </c>
      <c r="C415" s="2" t="s">
        <v>22</v>
      </c>
      <c r="D415" t="s">
        <v>32</v>
      </c>
      <c r="E415">
        <v>36</v>
      </c>
      <c r="F415" t="s">
        <v>24</v>
      </c>
      <c r="G415">
        <f>1</f>
        <v>1</v>
      </c>
      <c r="H415" s="3">
        <v>864.77</v>
      </c>
      <c r="I415" s="3">
        <v>1170.1600000000001</v>
      </c>
      <c r="J415" s="3">
        <f t="shared" si="43"/>
        <v>1041.4424000000001</v>
      </c>
      <c r="K415" s="3">
        <f t="shared" si="44"/>
        <v>37491.926400000004</v>
      </c>
      <c r="L415" s="3">
        <f t="shared" si="47"/>
        <v>31131.72</v>
      </c>
      <c r="M415" s="8">
        <f t="shared" si="48"/>
        <v>6360.2064000000028</v>
      </c>
      <c r="N415" s="4">
        <f t="shared" si="45"/>
        <v>0.16964202724989885</v>
      </c>
      <c r="O415" s="4" t="str">
        <f t="shared" si="46"/>
        <v>Profit</v>
      </c>
      <c r="P415" t="s">
        <v>15</v>
      </c>
      <c r="Q415">
        <v>0.11</v>
      </c>
      <c r="R415" t="s">
        <v>16</v>
      </c>
      <c r="S415" t="s">
        <v>20</v>
      </c>
      <c r="T415" t="s">
        <v>48</v>
      </c>
      <c r="U415" t="str">
        <f t="shared" si="49"/>
        <v>Low-Cost</v>
      </c>
    </row>
    <row r="416" spans="1:21" x14ac:dyDescent="0.3">
      <c r="A416">
        <v>1041</v>
      </c>
      <c r="B416" s="1">
        <v>45246</v>
      </c>
      <c r="C416" s="2" t="s">
        <v>22</v>
      </c>
      <c r="D416" t="s">
        <v>23</v>
      </c>
      <c r="E416">
        <v>40</v>
      </c>
      <c r="F416" t="s">
        <v>24</v>
      </c>
      <c r="G416">
        <f>1</f>
        <v>1</v>
      </c>
      <c r="H416" s="3">
        <v>601.86</v>
      </c>
      <c r="I416" s="3">
        <v>1067.53</v>
      </c>
      <c r="J416" s="3">
        <f t="shared" si="43"/>
        <v>875.3746000000001</v>
      </c>
      <c r="K416" s="3">
        <f t="shared" si="44"/>
        <v>35014.983999999997</v>
      </c>
      <c r="L416" s="3">
        <f t="shared" si="47"/>
        <v>24074.400000000001</v>
      </c>
      <c r="M416" s="8">
        <f t="shared" si="48"/>
        <v>10940.583999999995</v>
      </c>
      <c r="N416" s="4">
        <f t="shared" si="45"/>
        <v>0.31245434811565231</v>
      </c>
      <c r="O416" s="4" t="str">
        <f t="shared" si="46"/>
        <v>Profit</v>
      </c>
      <c r="P416" t="s">
        <v>28</v>
      </c>
      <c r="Q416">
        <v>0.18</v>
      </c>
      <c r="R416" t="s">
        <v>16</v>
      </c>
      <c r="S416" t="s">
        <v>17</v>
      </c>
      <c r="T416" t="s">
        <v>26</v>
      </c>
      <c r="U416" t="str">
        <f t="shared" si="49"/>
        <v>Low-Cost</v>
      </c>
    </row>
    <row r="417" spans="1:21" x14ac:dyDescent="0.3">
      <c r="A417">
        <v>1041</v>
      </c>
      <c r="B417" s="1">
        <v>45163</v>
      </c>
      <c r="C417" s="2" t="s">
        <v>12</v>
      </c>
      <c r="D417" t="s">
        <v>23</v>
      </c>
      <c r="E417">
        <v>31</v>
      </c>
      <c r="F417" t="s">
        <v>24</v>
      </c>
      <c r="G417">
        <f>1</f>
        <v>1</v>
      </c>
      <c r="H417" s="3">
        <v>1604.52</v>
      </c>
      <c r="I417" s="3">
        <v>1756.34</v>
      </c>
      <c r="J417" s="3">
        <f t="shared" si="43"/>
        <v>1457.7621999999999</v>
      </c>
      <c r="K417" s="3">
        <f t="shared" si="44"/>
        <v>45190.628199999999</v>
      </c>
      <c r="L417" s="3">
        <f t="shared" si="47"/>
        <v>49740.12</v>
      </c>
      <c r="M417" s="8">
        <f t="shared" si="48"/>
        <v>-4549.4918000000034</v>
      </c>
      <c r="N417" s="4">
        <f t="shared" si="45"/>
        <v>-0.10067334713439552</v>
      </c>
      <c r="O417" s="4" t="str">
        <f t="shared" si="46"/>
        <v>Loss</v>
      </c>
      <c r="P417" t="s">
        <v>15</v>
      </c>
      <c r="Q417">
        <v>0.17</v>
      </c>
      <c r="R417" t="s">
        <v>16</v>
      </c>
      <c r="S417" t="s">
        <v>20</v>
      </c>
      <c r="T417" t="s">
        <v>30</v>
      </c>
      <c r="U417" t="str">
        <f t="shared" si="49"/>
        <v>Low-Cost</v>
      </c>
    </row>
    <row r="418" spans="1:21" x14ac:dyDescent="0.3">
      <c r="A418">
        <v>1042</v>
      </c>
      <c r="B418" s="1">
        <v>45049</v>
      </c>
      <c r="C418" s="2" t="s">
        <v>40</v>
      </c>
      <c r="D418" t="s">
        <v>19</v>
      </c>
      <c r="E418">
        <v>37</v>
      </c>
      <c r="F418" t="s">
        <v>14</v>
      </c>
      <c r="G418">
        <f>1</f>
        <v>1</v>
      </c>
      <c r="H418" s="3">
        <v>502.86</v>
      </c>
      <c r="I418" s="3">
        <v>687.6</v>
      </c>
      <c r="J418" s="3">
        <f t="shared" si="43"/>
        <v>543.20400000000006</v>
      </c>
      <c r="K418" s="3">
        <f t="shared" si="44"/>
        <v>20098.548000000003</v>
      </c>
      <c r="L418" s="3">
        <f t="shared" si="47"/>
        <v>18605.82</v>
      </c>
      <c r="M418" s="8">
        <f t="shared" si="48"/>
        <v>1492.7280000000028</v>
      </c>
      <c r="N418" s="4">
        <f t="shared" si="45"/>
        <v>7.4270439834758339E-2</v>
      </c>
      <c r="O418" s="4" t="str">
        <f t="shared" si="46"/>
        <v>Profit</v>
      </c>
      <c r="P418" t="s">
        <v>15</v>
      </c>
      <c r="Q418">
        <v>0.21</v>
      </c>
      <c r="R418" t="s">
        <v>16</v>
      </c>
      <c r="S418" t="s">
        <v>17</v>
      </c>
      <c r="T418" t="s">
        <v>49</v>
      </c>
      <c r="U418" t="str">
        <f t="shared" si="49"/>
        <v>Low-Cost</v>
      </c>
    </row>
    <row r="419" spans="1:21" x14ac:dyDescent="0.3">
      <c r="A419">
        <v>1042</v>
      </c>
      <c r="B419" s="1">
        <v>45083</v>
      </c>
      <c r="C419" s="2" t="s">
        <v>12</v>
      </c>
      <c r="D419" t="s">
        <v>13</v>
      </c>
      <c r="E419">
        <v>20</v>
      </c>
      <c r="F419" t="s">
        <v>24</v>
      </c>
      <c r="G419">
        <f>1</f>
        <v>1</v>
      </c>
      <c r="H419" s="3">
        <v>3115.06</v>
      </c>
      <c r="I419" s="3">
        <v>3565.58</v>
      </c>
      <c r="J419" s="3">
        <f t="shared" si="43"/>
        <v>2495.9059999999999</v>
      </c>
      <c r="K419" s="3">
        <f t="shared" si="44"/>
        <v>49918.12</v>
      </c>
      <c r="L419" s="3">
        <f t="shared" si="47"/>
        <v>62301.2</v>
      </c>
      <c r="M419" s="8">
        <f t="shared" si="48"/>
        <v>-12383.079999999994</v>
      </c>
      <c r="N419" s="4">
        <f t="shared" si="45"/>
        <v>-0.24806783588805015</v>
      </c>
      <c r="O419" s="4" t="str">
        <f t="shared" si="46"/>
        <v>Loss</v>
      </c>
      <c r="P419" t="s">
        <v>15</v>
      </c>
      <c r="Q419">
        <v>0.3</v>
      </c>
      <c r="R419" t="s">
        <v>29</v>
      </c>
      <c r="S419" t="s">
        <v>20</v>
      </c>
      <c r="T419" t="s">
        <v>18</v>
      </c>
      <c r="U419" t="str">
        <f t="shared" si="49"/>
        <v>High-Cost</v>
      </c>
    </row>
    <row r="420" spans="1:21" x14ac:dyDescent="0.3">
      <c r="A420">
        <v>1042</v>
      </c>
      <c r="B420" s="1">
        <v>45115</v>
      </c>
      <c r="C420" s="2" t="s">
        <v>40</v>
      </c>
      <c r="D420" t="s">
        <v>32</v>
      </c>
      <c r="E420">
        <v>23</v>
      </c>
      <c r="F420" t="s">
        <v>33</v>
      </c>
      <c r="G420">
        <f>1</f>
        <v>1</v>
      </c>
      <c r="H420" s="3">
        <v>1314</v>
      </c>
      <c r="I420" s="3">
        <v>1567.78</v>
      </c>
      <c r="J420" s="3">
        <f t="shared" si="43"/>
        <v>1332.6129999999998</v>
      </c>
      <c r="K420" s="3">
        <f t="shared" si="44"/>
        <v>30650.099000000002</v>
      </c>
      <c r="L420" s="3">
        <f t="shared" si="47"/>
        <v>30222</v>
      </c>
      <c r="M420" s="8">
        <f t="shared" si="48"/>
        <v>428.09900000000198</v>
      </c>
      <c r="N420" s="4">
        <f t="shared" si="45"/>
        <v>1.396729583157307E-2</v>
      </c>
      <c r="O420" s="4" t="str">
        <f t="shared" si="46"/>
        <v>Profit</v>
      </c>
      <c r="P420" t="s">
        <v>15</v>
      </c>
      <c r="Q420">
        <v>0.15</v>
      </c>
      <c r="R420" t="s">
        <v>29</v>
      </c>
      <c r="S420" t="s">
        <v>20</v>
      </c>
      <c r="T420" t="s">
        <v>50</v>
      </c>
      <c r="U420" t="str">
        <f t="shared" si="49"/>
        <v>Low-Cost</v>
      </c>
    </row>
    <row r="421" spans="1:21" x14ac:dyDescent="0.3">
      <c r="A421">
        <v>1042</v>
      </c>
      <c r="B421" s="1">
        <v>44941</v>
      </c>
      <c r="C421" s="2" t="s">
        <v>22</v>
      </c>
      <c r="D421" t="s">
        <v>23</v>
      </c>
      <c r="E421">
        <v>46</v>
      </c>
      <c r="F421" t="s">
        <v>14</v>
      </c>
      <c r="G421">
        <f>1</f>
        <v>1</v>
      </c>
      <c r="H421" s="3">
        <v>2172.38</v>
      </c>
      <c r="I421" s="3">
        <v>2367.11</v>
      </c>
      <c r="J421" s="3">
        <f t="shared" si="43"/>
        <v>1988.3724</v>
      </c>
      <c r="K421" s="3">
        <f t="shared" si="44"/>
        <v>91465.130400000009</v>
      </c>
      <c r="L421" s="3">
        <f t="shared" si="47"/>
        <v>99929.48000000001</v>
      </c>
      <c r="M421" s="8">
        <f t="shared" si="48"/>
        <v>-8464.3496000000014</v>
      </c>
      <c r="N421" s="4">
        <f t="shared" si="45"/>
        <v>-9.2541819630970537E-2</v>
      </c>
      <c r="O421" s="4" t="str">
        <f t="shared" si="46"/>
        <v>Loss</v>
      </c>
      <c r="P421" t="s">
        <v>28</v>
      </c>
      <c r="Q421">
        <v>0.16</v>
      </c>
      <c r="R421" t="s">
        <v>16</v>
      </c>
      <c r="S421" t="s">
        <v>20</v>
      </c>
      <c r="T421" t="s">
        <v>26</v>
      </c>
      <c r="U421" t="str">
        <f t="shared" si="49"/>
        <v>Low-Cost</v>
      </c>
    </row>
    <row r="422" spans="1:21" x14ac:dyDescent="0.3">
      <c r="A422">
        <v>1042</v>
      </c>
      <c r="B422" s="1">
        <v>45130</v>
      </c>
      <c r="C422" s="2" t="s">
        <v>31</v>
      </c>
      <c r="D422" t="s">
        <v>19</v>
      </c>
      <c r="E422">
        <v>26</v>
      </c>
      <c r="F422" t="s">
        <v>33</v>
      </c>
      <c r="G422">
        <f>1</f>
        <v>1</v>
      </c>
      <c r="H422" s="3">
        <v>4208.09</v>
      </c>
      <c r="I422" s="3">
        <v>4226.5600000000004</v>
      </c>
      <c r="J422" s="3">
        <f t="shared" si="43"/>
        <v>3000.8576000000003</v>
      </c>
      <c r="K422" s="3">
        <f t="shared" si="44"/>
        <v>78022.297600000005</v>
      </c>
      <c r="L422" s="3">
        <f t="shared" si="47"/>
        <v>109410.34</v>
      </c>
      <c r="M422" s="8">
        <f t="shared" si="48"/>
        <v>-31388.042399999991</v>
      </c>
      <c r="N422" s="4">
        <f t="shared" si="45"/>
        <v>-0.4022957970414856</v>
      </c>
      <c r="O422" s="4" t="str">
        <f t="shared" si="46"/>
        <v>Loss</v>
      </c>
      <c r="P422" t="s">
        <v>15</v>
      </c>
      <c r="Q422">
        <v>0.28999999999999998</v>
      </c>
      <c r="R422" t="s">
        <v>16</v>
      </c>
      <c r="S422" t="s">
        <v>20</v>
      </c>
      <c r="T422" t="s">
        <v>35</v>
      </c>
      <c r="U422" t="str">
        <f t="shared" si="49"/>
        <v>High-Cost</v>
      </c>
    </row>
    <row r="423" spans="1:21" x14ac:dyDescent="0.3">
      <c r="A423">
        <v>1042</v>
      </c>
      <c r="B423" s="1">
        <v>45072</v>
      </c>
      <c r="C423" s="2" t="s">
        <v>12</v>
      </c>
      <c r="D423" t="s">
        <v>32</v>
      </c>
      <c r="E423">
        <v>1</v>
      </c>
      <c r="F423" t="s">
        <v>33</v>
      </c>
      <c r="G423">
        <f>1</f>
        <v>1</v>
      </c>
      <c r="H423" s="3">
        <v>1406.24</v>
      </c>
      <c r="I423" s="3">
        <v>1535.57</v>
      </c>
      <c r="J423" s="3">
        <f t="shared" si="43"/>
        <v>1412.7244000000001</v>
      </c>
      <c r="K423" s="3">
        <f t="shared" si="44"/>
        <v>1412.7244000000001</v>
      </c>
      <c r="L423" s="3">
        <f t="shared" si="47"/>
        <v>1406.24</v>
      </c>
      <c r="M423" s="8">
        <f t="shared" si="48"/>
        <v>6.4844000000000506</v>
      </c>
      <c r="N423" s="4">
        <f t="shared" si="45"/>
        <v>4.5899964635707077E-3</v>
      </c>
      <c r="O423" s="4" t="str">
        <f t="shared" si="46"/>
        <v>Profit</v>
      </c>
      <c r="P423" t="s">
        <v>28</v>
      </c>
      <c r="Q423">
        <v>0.08</v>
      </c>
      <c r="R423" t="s">
        <v>29</v>
      </c>
      <c r="S423" t="s">
        <v>20</v>
      </c>
      <c r="T423" t="s">
        <v>44</v>
      </c>
      <c r="U423" t="str">
        <f t="shared" si="49"/>
        <v>Low-Cost</v>
      </c>
    </row>
    <row r="424" spans="1:21" x14ac:dyDescent="0.3">
      <c r="A424">
        <v>1042</v>
      </c>
      <c r="B424" s="1">
        <v>44955</v>
      </c>
      <c r="C424" s="2" t="s">
        <v>36</v>
      </c>
      <c r="D424" t="s">
        <v>13</v>
      </c>
      <c r="E424">
        <v>25</v>
      </c>
      <c r="F424" t="s">
        <v>24</v>
      </c>
      <c r="G424">
        <f>1</f>
        <v>1</v>
      </c>
      <c r="H424" s="3">
        <v>2403.54</v>
      </c>
      <c r="I424" s="3">
        <v>2850.56</v>
      </c>
      <c r="J424" s="3">
        <f t="shared" si="43"/>
        <v>2479.9872</v>
      </c>
      <c r="K424" s="3">
        <f t="shared" si="44"/>
        <v>61999.68</v>
      </c>
      <c r="L424" s="3">
        <f t="shared" si="47"/>
        <v>60088.5</v>
      </c>
      <c r="M424" s="8">
        <f t="shared" si="48"/>
        <v>1911.1800000000003</v>
      </c>
      <c r="N424" s="4">
        <f t="shared" si="45"/>
        <v>3.08256429710605E-2</v>
      </c>
      <c r="O424" s="4" t="str">
        <f t="shared" si="46"/>
        <v>Profit</v>
      </c>
      <c r="P424" t="s">
        <v>28</v>
      </c>
      <c r="Q424">
        <v>0.13</v>
      </c>
      <c r="R424" t="s">
        <v>25</v>
      </c>
      <c r="S424" t="s">
        <v>17</v>
      </c>
      <c r="T424" t="s">
        <v>38</v>
      </c>
      <c r="U424" t="str">
        <f t="shared" si="49"/>
        <v>High-Cost</v>
      </c>
    </row>
    <row r="425" spans="1:21" x14ac:dyDescent="0.3">
      <c r="A425">
        <v>1042</v>
      </c>
      <c r="B425" s="1">
        <v>45167</v>
      </c>
      <c r="C425" s="2" t="s">
        <v>36</v>
      </c>
      <c r="D425" t="s">
        <v>23</v>
      </c>
      <c r="E425">
        <v>27</v>
      </c>
      <c r="F425" t="s">
        <v>27</v>
      </c>
      <c r="G425">
        <f>1</f>
        <v>1</v>
      </c>
      <c r="H425" s="3">
        <v>1139.45</v>
      </c>
      <c r="I425" s="3">
        <v>1454.41</v>
      </c>
      <c r="J425" s="3">
        <f t="shared" si="43"/>
        <v>1018.087</v>
      </c>
      <c r="K425" s="3">
        <f t="shared" si="44"/>
        <v>27488.348999999998</v>
      </c>
      <c r="L425" s="3">
        <f t="shared" si="47"/>
        <v>30765.15</v>
      </c>
      <c r="M425" s="8">
        <f t="shared" si="48"/>
        <v>-3276.8010000000031</v>
      </c>
      <c r="N425" s="4">
        <f t="shared" si="45"/>
        <v>-0.11920690471443023</v>
      </c>
      <c r="O425" s="4" t="str">
        <f t="shared" si="46"/>
        <v>Loss</v>
      </c>
      <c r="P425" t="s">
        <v>15</v>
      </c>
      <c r="Q425">
        <v>0.3</v>
      </c>
      <c r="R425" t="s">
        <v>25</v>
      </c>
      <c r="S425" t="s">
        <v>17</v>
      </c>
      <c r="T425" t="s">
        <v>37</v>
      </c>
      <c r="U425" t="str">
        <f t="shared" si="49"/>
        <v>Low-Cost</v>
      </c>
    </row>
    <row r="426" spans="1:21" x14ac:dyDescent="0.3">
      <c r="A426">
        <v>1042</v>
      </c>
      <c r="B426" s="1">
        <v>44957</v>
      </c>
      <c r="C426" s="2" t="s">
        <v>40</v>
      </c>
      <c r="D426" t="s">
        <v>13</v>
      </c>
      <c r="E426">
        <v>11</v>
      </c>
      <c r="F426" t="s">
        <v>24</v>
      </c>
      <c r="G426">
        <f>1</f>
        <v>1</v>
      </c>
      <c r="H426" s="3">
        <v>635.20000000000005</v>
      </c>
      <c r="I426" s="3">
        <v>814.14</v>
      </c>
      <c r="J426" s="3">
        <f t="shared" si="43"/>
        <v>797.85719999999992</v>
      </c>
      <c r="K426" s="3">
        <f t="shared" si="44"/>
        <v>8776.4291999999987</v>
      </c>
      <c r="L426" s="3">
        <f t="shared" si="47"/>
        <v>6987.2000000000007</v>
      </c>
      <c r="M426" s="8">
        <f t="shared" si="48"/>
        <v>1789.2291999999979</v>
      </c>
      <c r="N426" s="4">
        <f t="shared" si="45"/>
        <v>0.20386755925747094</v>
      </c>
      <c r="O426" s="4" t="str">
        <f t="shared" si="46"/>
        <v>Profit</v>
      </c>
      <c r="P426" t="s">
        <v>15</v>
      </c>
      <c r="Q426">
        <v>0.02</v>
      </c>
      <c r="R426" t="s">
        <v>16</v>
      </c>
      <c r="S426" t="s">
        <v>17</v>
      </c>
      <c r="T426" t="s">
        <v>47</v>
      </c>
      <c r="U426" t="str">
        <f t="shared" si="49"/>
        <v>Low-Cost</v>
      </c>
    </row>
    <row r="427" spans="1:21" x14ac:dyDescent="0.3">
      <c r="A427">
        <v>1043</v>
      </c>
      <c r="B427" s="1">
        <v>45141</v>
      </c>
      <c r="C427" s="2" t="s">
        <v>22</v>
      </c>
      <c r="D427" t="s">
        <v>32</v>
      </c>
      <c r="E427">
        <v>22</v>
      </c>
      <c r="F427" t="s">
        <v>33</v>
      </c>
      <c r="G427">
        <f>1</f>
        <v>1</v>
      </c>
      <c r="H427" s="3">
        <v>4260</v>
      </c>
      <c r="I427" s="3">
        <v>4656.58</v>
      </c>
      <c r="J427" s="3">
        <f t="shared" si="43"/>
        <v>4656.58</v>
      </c>
      <c r="K427" s="3">
        <f t="shared" si="44"/>
        <v>102444.76</v>
      </c>
      <c r="L427" s="3">
        <f t="shared" si="47"/>
        <v>93720</v>
      </c>
      <c r="M427" s="8">
        <f t="shared" si="48"/>
        <v>8724.7599999999948</v>
      </c>
      <c r="N427" s="4">
        <f t="shared" si="45"/>
        <v>8.5165507733143159E-2</v>
      </c>
      <c r="O427" s="4" t="str">
        <f t="shared" si="46"/>
        <v>Profit</v>
      </c>
      <c r="P427" t="s">
        <v>28</v>
      </c>
      <c r="Q427">
        <v>0</v>
      </c>
      <c r="R427" t="s">
        <v>25</v>
      </c>
      <c r="S427" t="s">
        <v>17</v>
      </c>
      <c r="T427" t="s">
        <v>48</v>
      </c>
      <c r="U427" t="str">
        <f t="shared" si="49"/>
        <v>High-Cost</v>
      </c>
    </row>
    <row r="428" spans="1:21" x14ac:dyDescent="0.3">
      <c r="A428">
        <v>1043</v>
      </c>
      <c r="B428" s="1">
        <v>45275</v>
      </c>
      <c r="C428" s="2" t="s">
        <v>22</v>
      </c>
      <c r="D428" t="s">
        <v>19</v>
      </c>
      <c r="E428">
        <v>6</v>
      </c>
      <c r="F428" t="s">
        <v>27</v>
      </c>
      <c r="G428">
        <f>1</f>
        <v>1</v>
      </c>
      <c r="H428" s="3">
        <v>563.59</v>
      </c>
      <c r="I428" s="3">
        <v>838.97</v>
      </c>
      <c r="J428" s="3">
        <f t="shared" si="43"/>
        <v>696.3451</v>
      </c>
      <c r="K428" s="3">
        <f t="shared" si="44"/>
        <v>4178.0705999999991</v>
      </c>
      <c r="L428" s="3">
        <f t="shared" si="47"/>
        <v>3381.54</v>
      </c>
      <c r="M428" s="8">
        <f t="shared" si="48"/>
        <v>796.53059999999914</v>
      </c>
      <c r="N428" s="4">
        <f t="shared" si="45"/>
        <v>0.19064555778449491</v>
      </c>
      <c r="O428" s="4" t="str">
        <f t="shared" si="46"/>
        <v>Profit</v>
      </c>
      <c r="P428" t="s">
        <v>28</v>
      </c>
      <c r="Q428">
        <v>0.17</v>
      </c>
      <c r="R428" t="s">
        <v>29</v>
      </c>
      <c r="S428" t="s">
        <v>17</v>
      </c>
      <c r="T428" t="s">
        <v>45</v>
      </c>
      <c r="U428" t="str">
        <f t="shared" si="49"/>
        <v>Low-Cost</v>
      </c>
    </row>
    <row r="429" spans="1:21" x14ac:dyDescent="0.3">
      <c r="A429">
        <v>1043</v>
      </c>
      <c r="B429" s="1">
        <v>45279</v>
      </c>
      <c r="C429" s="2" t="s">
        <v>36</v>
      </c>
      <c r="D429" t="s">
        <v>23</v>
      </c>
      <c r="E429">
        <v>12</v>
      </c>
      <c r="F429" t="s">
        <v>33</v>
      </c>
      <c r="G429">
        <f>1</f>
        <v>1</v>
      </c>
      <c r="H429" s="3">
        <v>4920.46</v>
      </c>
      <c r="I429" s="3">
        <v>5079.68</v>
      </c>
      <c r="J429" s="3">
        <f t="shared" si="43"/>
        <v>4012.9472000000005</v>
      </c>
      <c r="K429" s="3">
        <f t="shared" si="44"/>
        <v>48155.366400000006</v>
      </c>
      <c r="L429" s="3">
        <f t="shared" si="47"/>
        <v>59045.520000000004</v>
      </c>
      <c r="M429" s="8">
        <f t="shared" si="48"/>
        <v>-10890.153599999998</v>
      </c>
      <c r="N429" s="4">
        <f t="shared" si="45"/>
        <v>-0.2261462099476414</v>
      </c>
      <c r="O429" s="4" t="str">
        <f t="shared" si="46"/>
        <v>Loss</v>
      </c>
      <c r="P429" t="s">
        <v>28</v>
      </c>
      <c r="Q429">
        <v>0.21</v>
      </c>
      <c r="R429" t="s">
        <v>29</v>
      </c>
      <c r="S429" t="s">
        <v>20</v>
      </c>
      <c r="T429" t="s">
        <v>37</v>
      </c>
      <c r="U429" t="str">
        <f t="shared" si="49"/>
        <v>High-Cost</v>
      </c>
    </row>
    <row r="430" spans="1:21" x14ac:dyDescent="0.3">
      <c r="A430">
        <v>1043</v>
      </c>
      <c r="B430" s="1">
        <v>45219</v>
      </c>
      <c r="C430" s="2" t="s">
        <v>31</v>
      </c>
      <c r="D430" t="s">
        <v>23</v>
      </c>
      <c r="E430">
        <v>22</v>
      </c>
      <c r="F430" t="s">
        <v>24</v>
      </c>
      <c r="G430">
        <f>1</f>
        <v>1</v>
      </c>
      <c r="H430" s="3">
        <v>530.04</v>
      </c>
      <c r="I430" s="3">
        <v>759.32</v>
      </c>
      <c r="J430" s="3">
        <f t="shared" si="43"/>
        <v>630.23559999999998</v>
      </c>
      <c r="K430" s="3">
        <f t="shared" si="44"/>
        <v>13865.183199999999</v>
      </c>
      <c r="L430" s="3">
        <f t="shared" si="47"/>
        <v>11660.88</v>
      </c>
      <c r="M430" s="8">
        <f t="shared" si="48"/>
        <v>2204.3032000000003</v>
      </c>
      <c r="N430" s="4">
        <f t="shared" si="45"/>
        <v>0.15898118100596034</v>
      </c>
      <c r="O430" s="4" t="str">
        <f t="shared" si="46"/>
        <v>Profit</v>
      </c>
      <c r="P430" t="s">
        <v>15</v>
      </c>
      <c r="Q430">
        <v>0.17</v>
      </c>
      <c r="R430" t="s">
        <v>25</v>
      </c>
      <c r="S430" t="s">
        <v>20</v>
      </c>
      <c r="T430" t="s">
        <v>42</v>
      </c>
      <c r="U430" t="str">
        <f t="shared" si="49"/>
        <v>Low-Cost</v>
      </c>
    </row>
    <row r="431" spans="1:21" x14ac:dyDescent="0.3">
      <c r="A431">
        <v>1043</v>
      </c>
      <c r="B431" s="1">
        <v>45256</v>
      </c>
      <c r="C431" s="2" t="s">
        <v>12</v>
      </c>
      <c r="D431" t="s">
        <v>23</v>
      </c>
      <c r="E431">
        <v>3</v>
      </c>
      <c r="F431" t="s">
        <v>33</v>
      </c>
      <c r="G431">
        <f>1</f>
        <v>1</v>
      </c>
      <c r="H431" s="3">
        <v>2009.1</v>
      </c>
      <c r="I431" s="3">
        <v>2186.42</v>
      </c>
      <c r="J431" s="3">
        <f t="shared" si="43"/>
        <v>1639.8150000000001</v>
      </c>
      <c r="K431" s="3">
        <f t="shared" si="44"/>
        <v>4919.4449999999997</v>
      </c>
      <c r="L431" s="3">
        <f t="shared" si="47"/>
        <v>6027.2999999999993</v>
      </c>
      <c r="M431" s="8">
        <f t="shared" si="48"/>
        <v>-1107.8549999999996</v>
      </c>
      <c r="N431" s="4">
        <f t="shared" si="45"/>
        <v>-0.22519918405429873</v>
      </c>
      <c r="O431" s="4" t="str">
        <f t="shared" si="46"/>
        <v>Loss</v>
      </c>
      <c r="P431" t="s">
        <v>28</v>
      </c>
      <c r="Q431">
        <v>0.25</v>
      </c>
      <c r="R431" t="s">
        <v>25</v>
      </c>
      <c r="S431" t="s">
        <v>17</v>
      </c>
      <c r="T431" t="s">
        <v>30</v>
      </c>
      <c r="U431" t="str">
        <f t="shared" si="49"/>
        <v>Low-Cost</v>
      </c>
    </row>
    <row r="432" spans="1:21" x14ac:dyDescent="0.3">
      <c r="A432">
        <v>1044</v>
      </c>
      <c r="B432" s="1">
        <v>45146</v>
      </c>
      <c r="C432" s="2" t="s">
        <v>40</v>
      </c>
      <c r="D432" t="s">
        <v>13</v>
      </c>
      <c r="E432">
        <v>18</v>
      </c>
      <c r="F432" t="s">
        <v>27</v>
      </c>
      <c r="G432">
        <f>1</f>
        <v>1</v>
      </c>
      <c r="H432" s="3">
        <v>430.14</v>
      </c>
      <c r="I432" s="3">
        <v>641.17999999999995</v>
      </c>
      <c r="J432" s="3">
        <f t="shared" si="43"/>
        <v>557.82659999999998</v>
      </c>
      <c r="K432" s="3">
        <f t="shared" si="44"/>
        <v>10040.8788</v>
      </c>
      <c r="L432" s="3">
        <f t="shared" si="47"/>
        <v>7742.5199999999995</v>
      </c>
      <c r="M432" s="8">
        <f t="shared" si="48"/>
        <v>2298.3588000000009</v>
      </c>
      <c r="N432" s="4">
        <f t="shared" si="45"/>
        <v>0.22890016359922608</v>
      </c>
      <c r="O432" s="4" t="str">
        <f t="shared" si="46"/>
        <v>Profit</v>
      </c>
      <c r="P432" t="s">
        <v>28</v>
      </c>
      <c r="Q432">
        <v>0.13</v>
      </c>
      <c r="R432" t="s">
        <v>16</v>
      </c>
      <c r="S432" t="s">
        <v>17</v>
      </c>
      <c r="T432" t="s">
        <v>47</v>
      </c>
      <c r="U432" t="str">
        <f t="shared" si="49"/>
        <v>Low-Cost</v>
      </c>
    </row>
    <row r="433" spans="1:21" x14ac:dyDescent="0.3">
      <c r="A433">
        <v>1044</v>
      </c>
      <c r="B433" s="1">
        <v>44937</v>
      </c>
      <c r="C433" s="2" t="s">
        <v>36</v>
      </c>
      <c r="D433" t="s">
        <v>13</v>
      </c>
      <c r="E433">
        <v>5</v>
      </c>
      <c r="F433" t="s">
        <v>24</v>
      </c>
      <c r="G433">
        <f>1</f>
        <v>1</v>
      </c>
      <c r="H433" s="3">
        <v>4762.87</v>
      </c>
      <c r="I433" s="3">
        <v>5050.46</v>
      </c>
      <c r="J433" s="3">
        <f t="shared" si="43"/>
        <v>3787.8450000000003</v>
      </c>
      <c r="K433" s="3">
        <f t="shared" si="44"/>
        <v>18939.224999999999</v>
      </c>
      <c r="L433" s="3">
        <f t="shared" si="47"/>
        <v>23814.35</v>
      </c>
      <c r="M433" s="8">
        <f t="shared" si="48"/>
        <v>-4875.125</v>
      </c>
      <c r="N433" s="4">
        <f t="shared" si="45"/>
        <v>-0.25740889608735312</v>
      </c>
      <c r="O433" s="4" t="str">
        <f t="shared" si="46"/>
        <v>Loss</v>
      </c>
      <c r="P433" t="s">
        <v>28</v>
      </c>
      <c r="Q433">
        <v>0.25</v>
      </c>
      <c r="R433" t="s">
        <v>16</v>
      </c>
      <c r="S433" t="s">
        <v>20</v>
      </c>
      <c r="T433" t="s">
        <v>38</v>
      </c>
      <c r="U433" t="str">
        <f t="shared" si="49"/>
        <v>High-Cost</v>
      </c>
    </row>
    <row r="434" spans="1:21" x14ac:dyDescent="0.3">
      <c r="A434">
        <v>1044</v>
      </c>
      <c r="B434" s="1">
        <v>44971</v>
      </c>
      <c r="C434" s="2" t="s">
        <v>22</v>
      </c>
      <c r="D434" t="s">
        <v>19</v>
      </c>
      <c r="E434">
        <v>12</v>
      </c>
      <c r="F434" t="s">
        <v>33</v>
      </c>
      <c r="G434">
        <f>1</f>
        <v>1</v>
      </c>
      <c r="H434" s="3">
        <v>2221.31</v>
      </c>
      <c r="I434" s="3">
        <v>2494.48</v>
      </c>
      <c r="J434" s="3">
        <f t="shared" si="43"/>
        <v>1945.6944000000001</v>
      </c>
      <c r="K434" s="3">
        <f t="shared" si="44"/>
        <v>23348.332800000004</v>
      </c>
      <c r="L434" s="3">
        <f t="shared" si="47"/>
        <v>26655.72</v>
      </c>
      <c r="M434" s="8">
        <f t="shared" si="48"/>
        <v>-3307.3871999999974</v>
      </c>
      <c r="N434" s="4">
        <f t="shared" si="45"/>
        <v>-0.14165410559849467</v>
      </c>
      <c r="O434" s="4" t="str">
        <f t="shared" si="46"/>
        <v>Loss</v>
      </c>
      <c r="P434" t="s">
        <v>15</v>
      </c>
      <c r="Q434">
        <v>0.22</v>
      </c>
      <c r="R434" t="s">
        <v>25</v>
      </c>
      <c r="S434" t="s">
        <v>17</v>
      </c>
      <c r="T434" t="s">
        <v>45</v>
      </c>
      <c r="U434" t="str">
        <f t="shared" si="49"/>
        <v>Low-Cost</v>
      </c>
    </row>
    <row r="435" spans="1:21" x14ac:dyDescent="0.3">
      <c r="A435">
        <v>1044</v>
      </c>
      <c r="B435" s="1">
        <v>44973</v>
      </c>
      <c r="C435" s="2" t="s">
        <v>22</v>
      </c>
      <c r="D435" t="s">
        <v>23</v>
      </c>
      <c r="E435">
        <v>22</v>
      </c>
      <c r="F435" t="s">
        <v>24</v>
      </c>
      <c r="G435">
        <f>1</f>
        <v>1</v>
      </c>
      <c r="H435" s="3">
        <v>3373.46</v>
      </c>
      <c r="I435" s="3">
        <v>3454.76</v>
      </c>
      <c r="J435" s="3">
        <f t="shared" si="43"/>
        <v>2694.7128000000002</v>
      </c>
      <c r="K435" s="3">
        <f t="shared" si="44"/>
        <v>59283.681600000004</v>
      </c>
      <c r="L435" s="3">
        <f t="shared" si="47"/>
        <v>74216.12</v>
      </c>
      <c r="M435" s="8">
        <f t="shared" si="48"/>
        <v>-14932.438399999992</v>
      </c>
      <c r="N435" s="4">
        <f t="shared" si="45"/>
        <v>-0.2518810910016086</v>
      </c>
      <c r="O435" s="4" t="str">
        <f t="shared" si="46"/>
        <v>Loss</v>
      </c>
      <c r="P435" t="s">
        <v>15</v>
      </c>
      <c r="Q435">
        <v>0.22</v>
      </c>
      <c r="R435" t="s">
        <v>25</v>
      </c>
      <c r="S435" t="s">
        <v>20</v>
      </c>
      <c r="T435" t="s">
        <v>26</v>
      </c>
      <c r="U435" t="str">
        <f t="shared" si="49"/>
        <v>High-Cost</v>
      </c>
    </row>
    <row r="436" spans="1:21" x14ac:dyDescent="0.3">
      <c r="A436">
        <v>1044</v>
      </c>
      <c r="B436" s="1">
        <v>45094</v>
      </c>
      <c r="C436" s="2" t="s">
        <v>31</v>
      </c>
      <c r="D436" t="s">
        <v>13</v>
      </c>
      <c r="E436">
        <v>6</v>
      </c>
      <c r="F436" t="s">
        <v>14</v>
      </c>
      <c r="G436">
        <f>1</f>
        <v>1</v>
      </c>
      <c r="H436" s="3">
        <v>2388.9499999999998</v>
      </c>
      <c r="I436" s="3">
        <v>2742.97</v>
      </c>
      <c r="J436" s="3">
        <f t="shared" si="43"/>
        <v>2057.2275</v>
      </c>
      <c r="K436" s="3">
        <f t="shared" si="44"/>
        <v>12343.365</v>
      </c>
      <c r="L436" s="3">
        <f t="shared" si="47"/>
        <v>14333.699999999999</v>
      </c>
      <c r="M436" s="8">
        <f t="shared" si="48"/>
        <v>-1990.3349999999991</v>
      </c>
      <c r="N436" s="4">
        <f t="shared" si="45"/>
        <v>-0.16124735839862137</v>
      </c>
      <c r="O436" s="4" t="str">
        <f t="shared" si="46"/>
        <v>Loss</v>
      </c>
      <c r="P436" t="s">
        <v>15</v>
      </c>
      <c r="Q436">
        <v>0.25</v>
      </c>
      <c r="R436" t="s">
        <v>29</v>
      </c>
      <c r="S436" t="s">
        <v>20</v>
      </c>
      <c r="T436" t="s">
        <v>51</v>
      </c>
      <c r="U436" t="str">
        <f t="shared" si="49"/>
        <v>Low-Cost</v>
      </c>
    </row>
    <row r="437" spans="1:21" x14ac:dyDescent="0.3">
      <c r="A437">
        <v>1044</v>
      </c>
      <c r="B437" s="1">
        <v>45036</v>
      </c>
      <c r="C437" s="2" t="s">
        <v>31</v>
      </c>
      <c r="D437" t="s">
        <v>19</v>
      </c>
      <c r="E437">
        <v>34</v>
      </c>
      <c r="F437" t="s">
        <v>24</v>
      </c>
      <c r="G437">
        <f>1</f>
        <v>1</v>
      </c>
      <c r="H437" s="3">
        <v>3573.3</v>
      </c>
      <c r="I437" s="3">
        <v>3740.13</v>
      </c>
      <c r="J437" s="3">
        <f t="shared" si="43"/>
        <v>3702.7287000000001</v>
      </c>
      <c r="K437" s="3">
        <f t="shared" si="44"/>
        <v>125892.7758</v>
      </c>
      <c r="L437" s="3">
        <f t="shared" si="47"/>
        <v>121492.20000000001</v>
      </c>
      <c r="M437" s="8">
        <f t="shared" si="48"/>
        <v>4400.5757999999914</v>
      </c>
      <c r="N437" s="4">
        <f t="shared" si="45"/>
        <v>3.4954950925786092E-2</v>
      </c>
      <c r="O437" s="4" t="str">
        <f t="shared" si="46"/>
        <v>Profit</v>
      </c>
      <c r="P437" t="s">
        <v>15</v>
      </c>
      <c r="Q437">
        <v>0.01</v>
      </c>
      <c r="R437" t="s">
        <v>29</v>
      </c>
      <c r="S437" t="s">
        <v>17</v>
      </c>
      <c r="T437" t="s">
        <v>35</v>
      </c>
      <c r="U437" t="str">
        <f t="shared" si="49"/>
        <v>High-Cost</v>
      </c>
    </row>
    <row r="438" spans="1:21" x14ac:dyDescent="0.3">
      <c r="A438">
        <v>1044</v>
      </c>
      <c r="B438" s="1">
        <v>45069</v>
      </c>
      <c r="C438" s="2" t="s">
        <v>12</v>
      </c>
      <c r="D438" t="s">
        <v>19</v>
      </c>
      <c r="E438">
        <v>19</v>
      </c>
      <c r="F438" t="s">
        <v>24</v>
      </c>
      <c r="G438">
        <f>1</f>
        <v>1</v>
      </c>
      <c r="H438" s="3">
        <v>2182.75</v>
      </c>
      <c r="I438" s="3">
        <v>2504.0300000000002</v>
      </c>
      <c r="J438" s="3">
        <f t="shared" si="43"/>
        <v>2478.9897000000001</v>
      </c>
      <c r="K438" s="3">
        <f t="shared" si="44"/>
        <v>47100.804300000003</v>
      </c>
      <c r="L438" s="3">
        <f t="shared" si="47"/>
        <v>41472.25</v>
      </c>
      <c r="M438" s="8">
        <f t="shared" si="48"/>
        <v>5628.5543000000034</v>
      </c>
      <c r="N438" s="4">
        <f t="shared" si="45"/>
        <v>0.11950017380064151</v>
      </c>
      <c r="O438" s="4" t="str">
        <f t="shared" si="46"/>
        <v>Profit</v>
      </c>
      <c r="P438" t="s">
        <v>28</v>
      </c>
      <c r="Q438">
        <v>0.01</v>
      </c>
      <c r="R438" t="s">
        <v>25</v>
      </c>
      <c r="S438" t="s">
        <v>17</v>
      </c>
      <c r="T438" t="s">
        <v>21</v>
      </c>
      <c r="U438" t="str">
        <f t="shared" si="49"/>
        <v>Low-Cost</v>
      </c>
    </row>
    <row r="439" spans="1:21" x14ac:dyDescent="0.3">
      <c r="A439">
        <v>1044</v>
      </c>
      <c r="B439" s="1">
        <v>45258</v>
      </c>
      <c r="C439" s="2" t="s">
        <v>31</v>
      </c>
      <c r="D439" t="s">
        <v>19</v>
      </c>
      <c r="E439">
        <v>6</v>
      </c>
      <c r="F439" t="s">
        <v>33</v>
      </c>
      <c r="G439">
        <f>1</f>
        <v>1</v>
      </c>
      <c r="H439" s="3">
        <v>3703.93</v>
      </c>
      <c r="I439" s="3">
        <v>3840.24</v>
      </c>
      <c r="J439" s="3">
        <f t="shared" si="43"/>
        <v>3571.4231999999997</v>
      </c>
      <c r="K439" s="3">
        <f t="shared" si="44"/>
        <v>21428.539199999996</v>
      </c>
      <c r="L439" s="3">
        <f t="shared" si="47"/>
        <v>22223.579999999998</v>
      </c>
      <c r="M439" s="8">
        <f t="shared" si="48"/>
        <v>-795.04080000000249</v>
      </c>
      <c r="N439" s="4">
        <f t="shared" si="45"/>
        <v>-3.7101959801347666E-2</v>
      </c>
      <c r="O439" s="4" t="str">
        <f t="shared" si="46"/>
        <v>Loss</v>
      </c>
      <c r="P439" t="s">
        <v>28</v>
      </c>
      <c r="Q439">
        <v>7.0000000000000007E-2</v>
      </c>
      <c r="R439" t="s">
        <v>29</v>
      </c>
      <c r="S439" t="s">
        <v>17</v>
      </c>
      <c r="T439" t="s">
        <v>35</v>
      </c>
      <c r="U439" t="str">
        <f t="shared" si="49"/>
        <v>High-Cost</v>
      </c>
    </row>
    <row r="440" spans="1:21" x14ac:dyDescent="0.3">
      <c r="A440">
        <v>1044</v>
      </c>
      <c r="B440" s="1">
        <v>45136</v>
      </c>
      <c r="C440" s="2" t="s">
        <v>40</v>
      </c>
      <c r="D440" t="s">
        <v>13</v>
      </c>
      <c r="E440">
        <v>47</v>
      </c>
      <c r="F440" t="s">
        <v>33</v>
      </c>
      <c r="G440">
        <f>1</f>
        <v>1</v>
      </c>
      <c r="H440" s="3">
        <v>1512.34</v>
      </c>
      <c r="I440" s="3">
        <v>1830.76</v>
      </c>
      <c r="J440" s="3">
        <f t="shared" si="43"/>
        <v>1611.0688</v>
      </c>
      <c r="K440" s="3">
        <f t="shared" si="44"/>
        <v>75720.233600000007</v>
      </c>
      <c r="L440" s="3">
        <f t="shared" si="47"/>
        <v>71079.98</v>
      </c>
      <c r="M440" s="8">
        <f t="shared" si="48"/>
        <v>4640.2536000000109</v>
      </c>
      <c r="N440" s="4">
        <f t="shared" si="45"/>
        <v>6.1281554207989267E-2</v>
      </c>
      <c r="O440" s="4" t="str">
        <f t="shared" si="46"/>
        <v>Profit</v>
      </c>
      <c r="P440" t="s">
        <v>28</v>
      </c>
      <c r="Q440">
        <v>0.12</v>
      </c>
      <c r="R440" t="s">
        <v>25</v>
      </c>
      <c r="S440" t="s">
        <v>17</v>
      </c>
      <c r="T440" t="s">
        <v>47</v>
      </c>
      <c r="U440" t="str">
        <f t="shared" si="49"/>
        <v>Low-Cost</v>
      </c>
    </row>
    <row r="441" spans="1:21" x14ac:dyDescent="0.3">
      <c r="A441">
        <v>1044</v>
      </c>
      <c r="B441" s="1">
        <v>45228</v>
      </c>
      <c r="C441" s="2" t="s">
        <v>31</v>
      </c>
      <c r="D441" t="s">
        <v>13</v>
      </c>
      <c r="E441">
        <v>11</v>
      </c>
      <c r="F441" t="s">
        <v>27</v>
      </c>
      <c r="G441">
        <f>1</f>
        <v>1</v>
      </c>
      <c r="H441" s="3">
        <v>1812.66</v>
      </c>
      <c r="I441" s="3">
        <v>2196.3000000000002</v>
      </c>
      <c r="J441" s="3">
        <f t="shared" si="43"/>
        <v>2020.5960000000002</v>
      </c>
      <c r="K441" s="3">
        <f t="shared" si="44"/>
        <v>22226.556000000004</v>
      </c>
      <c r="L441" s="3">
        <f t="shared" si="47"/>
        <v>19939.260000000002</v>
      </c>
      <c r="M441" s="8">
        <f t="shared" si="48"/>
        <v>2287.2960000000021</v>
      </c>
      <c r="N441" s="4">
        <f t="shared" si="45"/>
        <v>0.10290825083292264</v>
      </c>
      <c r="O441" s="4" t="str">
        <f t="shared" si="46"/>
        <v>Profit</v>
      </c>
      <c r="P441" t="s">
        <v>28</v>
      </c>
      <c r="Q441">
        <v>0.08</v>
      </c>
      <c r="R441" t="s">
        <v>16</v>
      </c>
      <c r="S441" t="s">
        <v>17</v>
      </c>
      <c r="T441" t="s">
        <v>51</v>
      </c>
      <c r="U441" t="str">
        <f t="shared" si="49"/>
        <v>Low-Cost</v>
      </c>
    </row>
    <row r="442" spans="1:21" x14ac:dyDescent="0.3">
      <c r="A442">
        <v>1045</v>
      </c>
      <c r="B442" s="1">
        <v>45083</v>
      </c>
      <c r="C442" s="2" t="s">
        <v>12</v>
      </c>
      <c r="D442" t="s">
        <v>23</v>
      </c>
      <c r="E442">
        <v>15</v>
      </c>
      <c r="F442" t="s">
        <v>33</v>
      </c>
      <c r="G442">
        <f>1</f>
        <v>1</v>
      </c>
      <c r="H442" s="3">
        <v>316.22000000000003</v>
      </c>
      <c r="I442" s="3">
        <v>799.04</v>
      </c>
      <c r="J442" s="3">
        <f t="shared" si="43"/>
        <v>799.04</v>
      </c>
      <c r="K442" s="3">
        <f t="shared" si="44"/>
        <v>11985.599999999999</v>
      </c>
      <c r="L442" s="3">
        <f t="shared" si="47"/>
        <v>4743.3</v>
      </c>
      <c r="M442" s="8">
        <f t="shared" si="48"/>
        <v>7242.2999999999984</v>
      </c>
      <c r="N442" s="4">
        <f t="shared" si="45"/>
        <v>0.60425010012014413</v>
      </c>
      <c r="O442" s="4" t="str">
        <f t="shared" si="46"/>
        <v>Profit</v>
      </c>
      <c r="P442" t="s">
        <v>28</v>
      </c>
      <c r="Q442">
        <v>0</v>
      </c>
      <c r="R442" t="s">
        <v>25</v>
      </c>
      <c r="S442" t="s">
        <v>17</v>
      </c>
      <c r="T442" t="s">
        <v>30</v>
      </c>
      <c r="U442" t="str">
        <f t="shared" si="49"/>
        <v>Low-Cost</v>
      </c>
    </row>
    <row r="443" spans="1:21" x14ac:dyDescent="0.3">
      <c r="A443">
        <v>1045</v>
      </c>
      <c r="B443" s="1">
        <v>45271</v>
      </c>
      <c r="C443" s="2" t="s">
        <v>40</v>
      </c>
      <c r="D443" t="s">
        <v>19</v>
      </c>
      <c r="E443">
        <v>22</v>
      </c>
      <c r="F443" t="s">
        <v>27</v>
      </c>
      <c r="G443">
        <f>1</f>
        <v>1</v>
      </c>
      <c r="H443" s="3">
        <v>241.85</v>
      </c>
      <c r="I443" s="3">
        <v>613.09</v>
      </c>
      <c r="J443" s="3">
        <f t="shared" si="43"/>
        <v>576.30460000000005</v>
      </c>
      <c r="K443" s="3">
        <f t="shared" si="44"/>
        <v>12678.701200000001</v>
      </c>
      <c r="L443" s="3">
        <f t="shared" si="47"/>
        <v>5320.7</v>
      </c>
      <c r="M443" s="8">
        <f t="shared" si="48"/>
        <v>7358.0012000000015</v>
      </c>
      <c r="N443" s="4">
        <f t="shared" si="45"/>
        <v>0.58034345032123646</v>
      </c>
      <c r="O443" s="4" t="str">
        <f t="shared" si="46"/>
        <v>Profit</v>
      </c>
      <c r="P443" t="s">
        <v>15</v>
      </c>
      <c r="Q443">
        <v>0.06</v>
      </c>
      <c r="R443" t="s">
        <v>16</v>
      </c>
      <c r="S443" t="s">
        <v>17</v>
      </c>
      <c r="T443" t="s">
        <v>49</v>
      </c>
      <c r="U443" t="str">
        <f t="shared" si="49"/>
        <v>Low-Cost</v>
      </c>
    </row>
    <row r="444" spans="1:21" x14ac:dyDescent="0.3">
      <c r="A444">
        <v>1045</v>
      </c>
      <c r="B444" s="1">
        <v>44938</v>
      </c>
      <c r="C444" s="2" t="s">
        <v>31</v>
      </c>
      <c r="D444" t="s">
        <v>23</v>
      </c>
      <c r="E444">
        <v>35</v>
      </c>
      <c r="F444" t="s">
        <v>14</v>
      </c>
      <c r="G444">
        <f>1</f>
        <v>1</v>
      </c>
      <c r="H444" s="3">
        <v>3777.94</v>
      </c>
      <c r="I444" s="3">
        <v>4188.66</v>
      </c>
      <c r="J444" s="3">
        <f t="shared" si="43"/>
        <v>3476.5877999999998</v>
      </c>
      <c r="K444" s="3">
        <f t="shared" si="44"/>
        <v>121680.573</v>
      </c>
      <c r="L444" s="3">
        <f t="shared" si="47"/>
        <v>132227.9</v>
      </c>
      <c r="M444" s="8">
        <f t="shared" si="48"/>
        <v>-10547.32699999999</v>
      </c>
      <c r="N444" s="4">
        <f t="shared" si="45"/>
        <v>-8.6680451447249424E-2</v>
      </c>
      <c r="O444" s="4" t="str">
        <f t="shared" si="46"/>
        <v>Loss</v>
      </c>
      <c r="P444" t="s">
        <v>28</v>
      </c>
      <c r="Q444">
        <v>0.17</v>
      </c>
      <c r="R444" t="s">
        <v>25</v>
      </c>
      <c r="S444" t="s">
        <v>17</v>
      </c>
      <c r="T444" t="s">
        <v>42</v>
      </c>
      <c r="U444" t="str">
        <f t="shared" si="49"/>
        <v>High-Cost</v>
      </c>
    </row>
    <row r="445" spans="1:21" x14ac:dyDescent="0.3">
      <c r="A445">
        <v>1045</v>
      </c>
      <c r="B445" s="1">
        <v>45275</v>
      </c>
      <c r="C445" s="2" t="s">
        <v>22</v>
      </c>
      <c r="D445" t="s">
        <v>23</v>
      </c>
      <c r="E445">
        <v>42</v>
      </c>
      <c r="F445" t="s">
        <v>27</v>
      </c>
      <c r="G445">
        <f>1</f>
        <v>1</v>
      </c>
      <c r="H445" s="3">
        <v>3587.74</v>
      </c>
      <c r="I445" s="3">
        <v>3745.91</v>
      </c>
      <c r="J445" s="3">
        <f t="shared" si="43"/>
        <v>3371.319</v>
      </c>
      <c r="K445" s="3">
        <f t="shared" si="44"/>
        <v>141595.39800000002</v>
      </c>
      <c r="L445" s="3">
        <f t="shared" si="47"/>
        <v>150685.07999999999</v>
      </c>
      <c r="M445" s="8">
        <f t="shared" si="48"/>
        <v>-9089.6819999999716</v>
      </c>
      <c r="N445" s="4">
        <f t="shared" si="45"/>
        <v>-6.4194755821089397E-2</v>
      </c>
      <c r="O445" s="4" t="str">
        <f t="shared" si="46"/>
        <v>Loss</v>
      </c>
      <c r="P445" t="s">
        <v>15</v>
      </c>
      <c r="Q445">
        <v>0.1</v>
      </c>
      <c r="R445" t="s">
        <v>16</v>
      </c>
      <c r="S445" t="s">
        <v>17</v>
      </c>
      <c r="T445" t="s">
        <v>26</v>
      </c>
      <c r="U445" t="str">
        <f t="shared" si="49"/>
        <v>High-Cost</v>
      </c>
    </row>
    <row r="446" spans="1:21" x14ac:dyDescent="0.3">
      <c r="A446">
        <v>1045</v>
      </c>
      <c r="B446" s="1">
        <v>45096</v>
      </c>
      <c r="C446" s="2" t="s">
        <v>22</v>
      </c>
      <c r="D446" t="s">
        <v>13</v>
      </c>
      <c r="E446">
        <v>36</v>
      </c>
      <c r="F446" t="s">
        <v>33</v>
      </c>
      <c r="G446">
        <f>1</f>
        <v>1</v>
      </c>
      <c r="H446" s="3">
        <v>3835.64</v>
      </c>
      <c r="I446" s="3">
        <v>4076.77</v>
      </c>
      <c r="J446" s="3">
        <f t="shared" si="43"/>
        <v>3669.0929999999998</v>
      </c>
      <c r="K446" s="3">
        <f t="shared" si="44"/>
        <v>132087.348</v>
      </c>
      <c r="L446" s="3">
        <f t="shared" si="47"/>
        <v>138083.04</v>
      </c>
      <c r="M446" s="8">
        <f t="shared" si="48"/>
        <v>-5995.69200000001</v>
      </c>
      <c r="N446" s="4">
        <f t="shared" si="45"/>
        <v>-4.5391872051212735E-2</v>
      </c>
      <c r="O446" s="4" t="str">
        <f t="shared" si="46"/>
        <v>Loss</v>
      </c>
      <c r="P446" t="s">
        <v>15</v>
      </c>
      <c r="Q446">
        <v>0.1</v>
      </c>
      <c r="R446" t="s">
        <v>29</v>
      </c>
      <c r="S446" t="s">
        <v>20</v>
      </c>
      <c r="T446" t="s">
        <v>43</v>
      </c>
      <c r="U446" t="str">
        <f t="shared" si="49"/>
        <v>High-Cost</v>
      </c>
    </row>
    <row r="447" spans="1:21" x14ac:dyDescent="0.3">
      <c r="A447">
        <v>1045</v>
      </c>
      <c r="B447" s="1">
        <v>45249</v>
      </c>
      <c r="C447" s="2" t="s">
        <v>12</v>
      </c>
      <c r="D447" t="s">
        <v>13</v>
      </c>
      <c r="E447">
        <v>2</v>
      </c>
      <c r="F447" t="s">
        <v>33</v>
      </c>
      <c r="G447">
        <f>1</f>
        <v>1</v>
      </c>
      <c r="H447" s="3">
        <v>912.08</v>
      </c>
      <c r="I447" s="3">
        <v>993.24</v>
      </c>
      <c r="J447" s="3">
        <f t="shared" si="43"/>
        <v>903.84840000000008</v>
      </c>
      <c r="K447" s="3">
        <f t="shared" si="44"/>
        <v>1807.6968000000002</v>
      </c>
      <c r="L447" s="3">
        <f t="shared" si="47"/>
        <v>1824.16</v>
      </c>
      <c r="M447" s="8">
        <f t="shared" si="48"/>
        <v>-16.463199999999915</v>
      </c>
      <c r="N447" s="4">
        <f t="shared" si="45"/>
        <v>-9.1072794951011227E-3</v>
      </c>
      <c r="O447" s="4" t="str">
        <f t="shared" si="46"/>
        <v>Loss</v>
      </c>
      <c r="P447" t="s">
        <v>15</v>
      </c>
      <c r="Q447">
        <v>0.09</v>
      </c>
      <c r="R447" t="s">
        <v>29</v>
      </c>
      <c r="S447" t="s">
        <v>17</v>
      </c>
      <c r="T447" t="s">
        <v>18</v>
      </c>
      <c r="U447" t="str">
        <f t="shared" si="49"/>
        <v>Low-Cost</v>
      </c>
    </row>
    <row r="448" spans="1:21" x14ac:dyDescent="0.3">
      <c r="A448">
        <v>1045</v>
      </c>
      <c r="B448" s="1">
        <v>44948</v>
      </c>
      <c r="C448" s="2" t="s">
        <v>12</v>
      </c>
      <c r="D448" t="s">
        <v>32</v>
      </c>
      <c r="E448">
        <v>46</v>
      </c>
      <c r="F448" t="s">
        <v>24</v>
      </c>
      <c r="G448">
        <f>1</f>
        <v>1</v>
      </c>
      <c r="H448" s="3">
        <v>2577.08</v>
      </c>
      <c r="I448" s="3">
        <v>2961.56</v>
      </c>
      <c r="J448" s="3">
        <f t="shared" si="43"/>
        <v>2665.404</v>
      </c>
      <c r="K448" s="3">
        <f t="shared" si="44"/>
        <v>122608.58400000002</v>
      </c>
      <c r="L448" s="3">
        <f t="shared" si="47"/>
        <v>118545.68</v>
      </c>
      <c r="M448" s="8">
        <f t="shared" si="48"/>
        <v>4062.9040000000241</v>
      </c>
      <c r="N448" s="4">
        <f t="shared" si="45"/>
        <v>3.3137190459682851E-2</v>
      </c>
      <c r="O448" s="4" t="str">
        <f t="shared" si="46"/>
        <v>Profit</v>
      </c>
      <c r="P448" t="s">
        <v>15</v>
      </c>
      <c r="Q448">
        <v>0.1</v>
      </c>
      <c r="R448" t="s">
        <v>16</v>
      </c>
      <c r="S448" t="s">
        <v>17</v>
      </c>
      <c r="T448" t="s">
        <v>44</v>
      </c>
      <c r="U448" t="str">
        <f t="shared" si="49"/>
        <v>High-Cost</v>
      </c>
    </row>
    <row r="449" spans="1:21" x14ac:dyDescent="0.3">
      <c r="A449">
        <v>1045</v>
      </c>
      <c r="B449" s="1">
        <v>45102</v>
      </c>
      <c r="C449" s="2" t="s">
        <v>36</v>
      </c>
      <c r="D449" t="s">
        <v>23</v>
      </c>
      <c r="E449">
        <v>9</v>
      </c>
      <c r="F449" t="s">
        <v>27</v>
      </c>
      <c r="G449">
        <f>1</f>
        <v>1</v>
      </c>
      <c r="H449" s="3">
        <v>4920.34</v>
      </c>
      <c r="I449" s="3">
        <v>5129.1899999999996</v>
      </c>
      <c r="J449" s="3">
        <f t="shared" si="43"/>
        <v>4462.3952999999992</v>
      </c>
      <c r="K449" s="3">
        <f t="shared" si="44"/>
        <v>40161.557699999998</v>
      </c>
      <c r="L449" s="3">
        <f t="shared" si="47"/>
        <v>44283.06</v>
      </c>
      <c r="M449" s="8">
        <f t="shared" si="48"/>
        <v>-4121.5023000000001</v>
      </c>
      <c r="N449" s="4">
        <f t="shared" si="45"/>
        <v>-0.10262306882583891</v>
      </c>
      <c r="O449" s="4" t="str">
        <f t="shared" si="46"/>
        <v>Loss</v>
      </c>
      <c r="P449" t="s">
        <v>15</v>
      </c>
      <c r="Q449">
        <v>0.13</v>
      </c>
      <c r="R449" t="s">
        <v>29</v>
      </c>
      <c r="S449" t="s">
        <v>17</v>
      </c>
      <c r="T449" t="s">
        <v>37</v>
      </c>
      <c r="U449" t="str">
        <f t="shared" si="49"/>
        <v>High-Cost</v>
      </c>
    </row>
    <row r="450" spans="1:21" x14ac:dyDescent="0.3">
      <c r="A450">
        <v>1045</v>
      </c>
      <c r="B450" s="1">
        <v>45013</v>
      </c>
      <c r="C450" s="2" t="s">
        <v>36</v>
      </c>
      <c r="D450" t="s">
        <v>19</v>
      </c>
      <c r="E450">
        <v>14</v>
      </c>
      <c r="F450" t="s">
        <v>27</v>
      </c>
      <c r="G450">
        <f>1</f>
        <v>1</v>
      </c>
      <c r="H450" s="3">
        <v>635.28</v>
      </c>
      <c r="I450" s="3">
        <v>831.13</v>
      </c>
      <c r="J450" s="3">
        <f t="shared" ref="J450:J513" si="50">I450*(1-Q450)</f>
        <v>689.83789999999999</v>
      </c>
      <c r="K450" s="3">
        <f t="shared" ref="K450:K513" si="51">E450*I450*(1-Q450)</f>
        <v>9657.730599999999</v>
      </c>
      <c r="L450" s="3">
        <f t="shared" si="47"/>
        <v>8893.92</v>
      </c>
      <c r="M450" s="8">
        <f t="shared" si="48"/>
        <v>763.81059999999889</v>
      </c>
      <c r="N450" s="4">
        <f t="shared" ref="N450:N513" si="52">(M450/K450)</f>
        <v>7.9088000238896602E-2</v>
      </c>
      <c r="O450" s="4" t="str">
        <f t="shared" ref="O450:O513" si="53">IF(M450&lt;0,"Loss","Profit")</f>
        <v>Profit</v>
      </c>
      <c r="P450" t="s">
        <v>15</v>
      </c>
      <c r="Q450">
        <v>0.17</v>
      </c>
      <c r="R450" t="s">
        <v>25</v>
      </c>
      <c r="S450" t="s">
        <v>20</v>
      </c>
      <c r="T450" t="s">
        <v>39</v>
      </c>
      <c r="U450" t="str">
        <f t="shared" si="49"/>
        <v>Low-Cost</v>
      </c>
    </row>
    <row r="451" spans="1:21" x14ac:dyDescent="0.3">
      <c r="A451">
        <v>1046</v>
      </c>
      <c r="B451" s="1">
        <v>45177</v>
      </c>
      <c r="C451" s="2" t="s">
        <v>40</v>
      </c>
      <c r="D451" t="s">
        <v>13</v>
      </c>
      <c r="E451">
        <v>30</v>
      </c>
      <c r="F451" t="s">
        <v>14</v>
      </c>
      <c r="G451">
        <f>1</f>
        <v>1</v>
      </c>
      <c r="H451" s="3">
        <v>320.73</v>
      </c>
      <c r="I451" s="3">
        <v>678.04</v>
      </c>
      <c r="J451" s="3">
        <f t="shared" si="50"/>
        <v>623.79679999999996</v>
      </c>
      <c r="K451" s="3">
        <f t="shared" si="51"/>
        <v>18713.903999999999</v>
      </c>
      <c r="L451" s="3">
        <f t="shared" ref="L451:L514" si="54">H451*E451</f>
        <v>9621.9000000000015</v>
      </c>
      <c r="M451" s="8">
        <f t="shared" ref="M451:M514" si="55">K451-L451</f>
        <v>9092.0039999999972</v>
      </c>
      <c r="N451" s="4">
        <f t="shared" si="52"/>
        <v>0.48584218450623651</v>
      </c>
      <c r="O451" s="4" t="str">
        <f t="shared" si="53"/>
        <v>Profit</v>
      </c>
      <c r="P451" t="s">
        <v>15</v>
      </c>
      <c r="Q451">
        <v>0.08</v>
      </c>
      <c r="R451" t="s">
        <v>16</v>
      </c>
      <c r="S451" t="s">
        <v>20</v>
      </c>
      <c r="T451" t="s">
        <v>47</v>
      </c>
      <c r="U451" t="str">
        <f t="shared" si="49"/>
        <v>Low-Cost</v>
      </c>
    </row>
    <row r="452" spans="1:21" x14ac:dyDescent="0.3">
      <c r="A452">
        <v>1046</v>
      </c>
      <c r="B452" s="1">
        <v>44966</v>
      </c>
      <c r="C452" s="2" t="s">
        <v>31</v>
      </c>
      <c r="D452" t="s">
        <v>32</v>
      </c>
      <c r="E452">
        <v>3</v>
      </c>
      <c r="F452" t="s">
        <v>14</v>
      </c>
      <c r="G452">
        <f>1</f>
        <v>1</v>
      </c>
      <c r="H452" s="3">
        <v>1216.1600000000001</v>
      </c>
      <c r="I452" s="3">
        <v>1295.3699999999999</v>
      </c>
      <c r="J452" s="3">
        <f t="shared" si="50"/>
        <v>1114.0182</v>
      </c>
      <c r="K452" s="3">
        <f t="shared" si="51"/>
        <v>3342.0545999999995</v>
      </c>
      <c r="L452" s="3">
        <f t="shared" si="54"/>
        <v>3648.4800000000005</v>
      </c>
      <c r="M452" s="8">
        <f t="shared" si="55"/>
        <v>-306.42540000000099</v>
      </c>
      <c r="N452" s="4">
        <f t="shared" si="52"/>
        <v>-9.1687730056834213E-2</v>
      </c>
      <c r="O452" s="4" t="str">
        <f t="shared" si="53"/>
        <v>Loss</v>
      </c>
      <c r="P452" t="s">
        <v>28</v>
      </c>
      <c r="Q452">
        <v>0.14000000000000001</v>
      </c>
      <c r="R452" t="s">
        <v>16</v>
      </c>
      <c r="S452" t="s">
        <v>20</v>
      </c>
      <c r="T452" t="s">
        <v>34</v>
      </c>
      <c r="U452" t="str">
        <f t="shared" si="49"/>
        <v>Low-Cost</v>
      </c>
    </row>
    <row r="453" spans="1:21" x14ac:dyDescent="0.3">
      <c r="A453">
        <v>1046</v>
      </c>
      <c r="B453" s="1">
        <v>45119</v>
      </c>
      <c r="C453" s="2" t="s">
        <v>36</v>
      </c>
      <c r="D453" t="s">
        <v>13</v>
      </c>
      <c r="E453">
        <v>17</v>
      </c>
      <c r="F453" t="s">
        <v>14</v>
      </c>
      <c r="G453">
        <f>1</f>
        <v>1</v>
      </c>
      <c r="H453" s="3">
        <v>3850.99</v>
      </c>
      <c r="I453" s="3">
        <v>4045.34</v>
      </c>
      <c r="J453" s="3">
        <f t="shared" si="50"/>
        <v>3398.0855999999999</v>
      </c>
      <c r="K453" s="3">
        <f t="shared" si="51"/>
        <v>57767.455199999997</v>
      </c>
      <c r="L453" s="3">
        <f t="shared" si="54"/>
        <v>65466.829999999994</v>
      </c>
      <c r="M453" s="8">
        <f t="shared" si="55"/>
        <v>-7699.3747999999978</v>
      </c>
      <c r="N453" s="4">
        <f t="shared" si="52"/>
        <v>-0.13328222220181854</v>
      </c>
      <c r="O453" s="4" t="str">
        <f t="shared" si="53"/>
        <v>Loss</v>
      </c>
      <c r="P453" t="s">
        <v>15</v>
      </c>
      <c r="Q453">
        <v>0.16</v>
      </c>
      <c r="R453" t="s">
        <v>29</v>
      </c>
      <c r="S453" t="s">
        <v>17</v>
      </c>
      <c r="T453" t="s">
        <v>38</v>
      </c>
      <c r="U453" t="str">
        <f t="shared" si="49"/>
        <v>High-Cost</v>
      </c>
    </row>
    <row r="454" spans="1:21" x14ac:dyDescent="0.3">
      <c r="A454">
        <v>1046</v>
      </c>
      <c r="B454" s="1">
        <v>45153</v>
      </c>
      <c r="C454" s="2" t="s">
        <v>40</v>
      </c>
      <c r="D454" t="s">
        <v>23</v>
      </c>
      <c r="E454">
        <v>4</v>
      </c>
      <c r="F454" t="s">
        <v>14</v>
      </c>
      <c r="G454">
        <f>1</f>
        <v>1</v>
      </c>
      <c r="H454" s="3">
        <v>4095.1</v>
      </c>
      <c r="I454" s="3">
        <v>4134.55</v>
      </c>
      <c r="J454" s="3">
        <f t="shared" si="50"/>
        <v>3762.4405000000002</v>
      </c>
      <c r="K454" s="3">
        <f t="shared" si="51"/>
        <v>15049.762000000001</v>
      </c>
      <c r="L454" s="3">
        <f t="shared" si="54"/>
        <v>16380.4</v>
      </c>
      <c r="M454" s="8">
        <f t="shared" si="55"/>
        <v>-1330.637999999999</v>
      </c>
      <c r="N454" s="4">
        <f t="shared" si="52"/>
        <v>-8.8415883254499242E-2</v>
      </c>
      <c r="O454" s="4" t="str">
        <f t="shared" si="53"/>
        <v>Loss</v>
      </c>
      <c r="P454" t="s">
        <v>15</v>
      </c>
      <c r="Q454">
        <v>0.09</v>
      </c>
      <c r="R454" t="s">
        <v>25</v>
      </c>
      <c r="S454" t="s">
        <v>20</v>
      </c>
      <c r="T454" t="s">
        <v>41</v>
      </c>
      <c r="U454" t="str">
        <f t="shared" si="49"/>
        <v>High-Cost</v>
      </c>
    </row>
    <row r="455" spans="1:21" x14ac:dyDescent="0.3">
      <c r="A455">
        <v>1046</v>
      </c>
      <c r="B455" s="1">
        <v>44946</v>
      </c>
      <c r="C455" s="2" t="s">
        <v>36</v>
      </c>
      <c r="D455" t="s">
        <v>32</v>
      </c>
      <c r="E455">
        <v>43</v>
      </c>
      <c r="F455" t="s">
        <v>27</v>
      </c>
      <c r="G455">
        <f>1</f>
        <v>1</v>
      </c>
      <c r="H455" s="3">
        <v>4052.42</v>
      </c>
      <c r="I455" s="3">
        <v>4199.3</v>
      </c>
      <c r="J455" s="3">
        <f t="shared" si="50"/>
        <v>3779.3700000000003</v>
      </c>
      <c r="K455" s="3">
        <f t="shared" si="51"/>
        <v>162512.91</v>
      </c>
      <c r="L455" s="3">
        <f t="shared" si="54"/>
        <v>174254.06</v>
      </c>
      <c r="M455" s="8">
        <f t="shared" si="55"/>
        <v>-11741.149999999994</v>
      </c>
      <c r="N455" s="4">
        <f t="shared" si="52"/>
        <v>-7.2247490983947019E-2</v>
      </c>
      <c r="O455" s="4" t="str">
        <f t="shared" si="53"/>
        <v>Loss</v>
      </c>
      <c r="P455" t="s">
        <v>28</v>
      </c>
      <c r="Q455">
        <v>0.1</v>
      </c>
      <c r="R455" t="s">
        <v>25</v>
      </c>
      <c r="S455" t="s">
        <v>20</v>
      </c>
      <c r="T455" t="s">
        <v>46</v>
      </c>
      <c r="U455" t="str">
        <f t="shared" si="49"/>
        <v>High-Cost</v>
      </c>
    </row>
    <row r="456" spans="1:21" x14ac:dyDescent="0.3">
      <c r="A456">
        <v>1046</v>
      </c>
      <c r="B456" s="1">
        <v>44979</v>
      </c>
      <c r="C456" s="2" t="s">
        <v>40</v>
      </c>
      <c r="D456" t="s">
        <v>23</v>
      </c>
      <c r="E456">
        <v>46</v>
      </c>
      <c r="F456" t="s">
        <v>27</v>
      </c>
      <c r="G456">
        <f>1</f>
        <v>1</v>
      </c>
      <c r="H456" s="3">
        <v>2551.56</v>
      </c>
      <c r="I456" s="3">
        <v>2841.68</v>
      </c>
      <c r="J456" s="3">
        <f t="shared" si="50"/>
        <v>2585.9288000000001</v>
      </c>
      <c r="K456" s="3">
        <f t="shared" si="51"/>
        <v>118952.7248</v>
      </c>
      <c r="L456" s="3">
        <f t="shared" si="54"/>
        <v>117371.76</v>
      </c>
      <c r="M456" s="8">
        <f t="shared" si="55"/>
        <v>1580.9648000000016</v>
      </c>
      <c r="N456" s="4">
        <f t="shared" si="52"/>
        <v>1.3290698491002549E-2</v>
      </c>
      <c r="O456" s="4" t="str">
        <f t="shared" si="53"/>
        <v>Profit</v>
      </c>
      <c r="P456" t="s">
        <v>28</v>
      </c>
      <c r="Q456">
        <v>0.09</v>
      </c>
      <c r="R456" t="s">
        <v>25</v>
      </c>
      <c r="S456" t="s">
        <v>20</v>
      </c>
      <c r="T456" t="s">
        <v>41</v>
      </c>
      <c r="U456" t="str">
        <f t="shared" ref="U456:U519" si="56">IF(I456 &gt;=2800, "High-Cost", "Low-Cost")</f>
        <v>High-Cost</v>
      </c>
    </row>
    <row r="457" spans="1:21" x14ac:dyDescent="0.3">
      <c r="A457">
        <v>1046</v>
      </c>
      <c r="B457" s="1">
        <v>45193</v>
      </c>
      <c r="C457" s="2" t="s">
        <v>31</v>
      </c>
      <c r="D457" t="s">
        <v>19</v>
      </c>
      <c r="E457">
        <v>41</v>
      </c>
      <c r="F457" t="s">
        <v>27</v>
      </c>
      <c r="G457">
        <f>1</f>
        <v>1</v>
      </c>
      <c r="H457" s="3">
        <v>1825.37</v>
      </c>
      <c r="I457" s="3">
        <v>2073.88</v>
      </c>
      <c r="J457" s="3">
        <f t="shared" si="50"/>
        <v>1513.9324000000001</v>
      </c>
      <c r="K457" s="3">
        <f t="shared" si="51"/>
        <v>62071.2284</v>
      </c>
      <c r="L457" s="3">
        <f t="shared" si="54"/>
        <v>74840.17</v>
      </c>
      <c r="M457" s="8">
        <f t="shared" si="55"/>
        <v>-12768.941599999998</v>
      </c>
      <c r="N457" s="4">
        <f t="shared" si="52"/>
        <v>-0.20571433704701739</v>
      </c>
      <c r="O457" s="4" t="str">
        <f t="shared" si="53"/>
        <v>Loss</v>
      </c>
      <c r="P457" t="s">
        <v>15</v>
      </c>
      <c r="Q457">
        <v>0.27</v>
      </c>
      <c r="R457" t="s">
        <v>16</v>
      </c>
      <c r="S457" t="s">
        <v>20</v>
      </c>
      <c r="T457" t="s">
        <v>35</v>
      </c>
      <c r="U457" t="str">
        <f t="shared" si="56"/>
        <v>Low-Cost</v>
      </c>
    </row>
    <row r="458" spans="1:21" x14ac:dyDescent="0.3">
      <c r="A458">
        <v>1047</v>
      </c>
      <c r="B458" s="1">
        <v>45142</v>
      </c>
      <c r="C458" s="2" t="s">
        <v>36</v>
      </c>
      <c r="D458" t="s">
        <v>23</v>
      </c>
      <c r="E458">
        <v>47</v>
      </c>
      <c r="F458" t="s">
        <v>27</v>
      </c>
      <c r="G458">
        <f>1</f>
        <v>1</v>
      </c>
      <c r="H458" s="3">
        <v>4729.59</v>
      </c>
      <c r="I458" s="3">
        <v>4976.68</v>
      </c>
      <c r="J458" s="3">
        <f t="shared" si="50"/>
        <v>4080.8776000000007</v>
      </c>
      <c r="K458" s="3">
        <f t="shared" si="51"/>
        <v>191801.24720000004</v>
      </c>
      <c r="L458" s="3">
        <f t="shared" si="54"/>
        <v>222290.73</v>
      </c>
      <c r="M458" s="8">
        <f t="shared" si="55"/>
        <v>-30489.482799999969</v>
      </c>
      <c r="N458" s="4">
        <f t="shared" si="52"/>
        <v>-0.15896394442215056</v>
      </c>
      <c r="O458" s="4" t="str">
        <f t="shared" si="53"/>
        <v>Loss</v>
      </c>
      <c r="P458" t="s">
        <v>15</v>
      </c>
      <c r="Q458">
        <v>0.18</v>
      </c>
      <c r="R458" t="s">
        <v>29</v>
      </c>
      <c r="S458" t="s">
        <v>20</v>
      </c>
      <c r="T458" t="s">
        <v>37</v>
      </c>
      <c r="U458" t="str">
        <f t="shared" si="56"/>
        <v>High-Cost</v>
      </c>
    </row>
    <row r="459" spans="1:21" x14ac:dyDescent="0.3">
      <c r="A459">
        <v>1047</v>
      </c>
      <c r="B459" s="1">
        <v>45114</v>
      </c>
      <c r="C459" s="2" t="s">
        <v>22</v>
      </c>
      <c r="D459" t="s">
        <v>23</v>
      </c>
      <c r="E459">
        <v>15</v>
      </c>
      <c r="F459" t="s">
        <v>27</v>
      </c>
      <c r="G459">
        <f>1</f>
        <v>1</v>
      </c>
      <c r="H459" s="3">
        <v>957.95</v>
      </c>
      <c r="I459" s="3">
        <v>1329.26</v>
      </c>
      <c r="J459" s="3">
        <f t="shared" si="50"/>
        <v>1050.1154000000001</v>
      </c>
      <c r="K459" s="3">
        <f t="shared" si="51"/>
        <v>15751.731000000002</v>
      </c>
      <c r="L459" s="3">
        <f t="shared" si="54"/>
        <v>14369.25</v>
      </c>
      <c r="M459" s="8">
        <f t="shared" si="55"/>
        <v>1382.4810000000016</v>
      </c>
      <c r="N459" s="4">
        <f t="shared" si="52"/>
        <v>8.776692542552951E-2</v>
      </c>
      <c r="O459" s="4" t="str">
        <f t="shared" si="53"/>
        <v>Profit</v>
      </c>
      <c r="P459" t="s">
        <v>28</v>
      </c>
      <c r="Q459">
        <v>0.21</v>
      </c>
      <c r="R459" t="s">
        <v>16</v>
      </c>
      <c r="S459" t="s">
        <v>17</v>
      </c>
      <c r="T459" t="s">
        <v>26</v>
      </c>
      <c r="U459" t="str">
        <f t="shared" si="56"/>
        <v>Low-Cost</v>
      </c>
    </row>
    <row r="460" spans="1:21" x14ac:dyDescent="0.3">
      <c r="A460">
        <v>1047</v>
      </c>
      <c r="B460" s="1">
        <v>45146</v>
      </c>
      <c r="C460" s="2" t="s">
        <v>22</v>
      </c>
      <c r="D460" t="s">
        <v>13</v>
      </c>
      <c r="E460">
        <v>33</v>
      </c>
      <c r="F460" t="s">
        <v>33</v>
      </c>
      <c r="G460">
        <f>1</f>
        <v>1</v>
      </c>
      <c r="H460" s="3">
        <v>1341.55</v>
      </c>
      <c r="I460" s="3">
        <v>1427.21</v>
      </c>
      <c r="J460" s="3">
        <f t="shared" si="50"/>
        <v>1213.1285</v>
      </c>
      <c r="K460" s="3">
        <f t="shared" si="51"/>
        <v>40033.2405</v>
      </c>
      <c r="L460" s="3">
        <f t="shared" si="54"/>
        <v>44271.15</v>
      </c>
      <c r="M460" s="8">
        <f t="shared" si="55"/>
        <v>-4237.9095000000016</v>
      </c>
      <c r="N460" s="4">
        <f t="shared" si="52"/>
        <v>-0.10585976671061643</v>
      </c>
      <c r="O460" s="4" t="str">
        <f t="shared" si="53"/>
        <v>Loss</v>
      </c>
      <c r="P460" t="s">
        <v>15</v>
      </c>
      <c r="Q460">
        <v>0.15</v>
      </c>
      <c r="R460" t="s">
        <v>29</v>
      </c>
      <c r="S460" t="s">
        <v>17</v>
      </c>
      <c r="T460" t="s">
        <v>43</v>
      </c>
      <c r="U460" t="str">
        <f t="shared" si="56"/>
        <v>Low-Cost</v>
      </c>
    </row>
    <row r="461" spans="1:21" x14ac:dyDescent="0.3">
      <c r="A461">
        <v>1047</v>
      </c>
      <c r="B461" s="1">
        <v>45086</v>
      </c>
      <c r="C461" s="2" t="s">
        <v>22</v>
      </c>
      <c r="D461" t="s">
        <v>32</v>
      </c>
      <c r="E461">
        <v>18</v>
      </c>
      <c r="F461" t="s">
        <v>27</v>
      </c>
      <c r="G461">
        <f>1</f>
        <v>1</v>
      </c>
      <c r="H461" s="3">
        <v>560.91999999999996</v>
      </c>
      <c r="I461" s="3">
        <v>1024.31</v>
      </c>
      <c r="J461" s="3">
        <f t="shared" si="50"/>
        <v>757.98939999999993</v>
      </c>
      <c r="K461" s="3">
        <f t="shared" si="51"/>
        <v>13643.809199999998</v>
      </c>
      <c r="L461" s="3">
        <f t="shared" si="54"/>
        <v>10096.56</v>
      </c>
      <c r="M461" s="8">
        <f t="shared" si="55"/>
        <v>3547.2491999999984</v>
      </c>
      <c r="N461" s="4">
        <f t="shared" si="52"/>
        <v>0.25998965157032533</v>
      </c>
      <c r="O461" s="4" t="str">
        <f t="shared" si="53"/>
        <v>Profit</v>
      </c>
      <c r="P461" t="s">
        <v>15</v>
      </c>
      <c r="Q461">
        <v>0.26</v>
      </c>
      <c r="R461" t="s">
        <v>16</v>
      </c>
      <c r="S461" t="s">
        <v>17</v>
      </c>
      <c r="T461" t="s">
        <v>48</v>
      </c>
      <c r="U461" t="str">
        <f t="shared" si="56"/>
        <v>Low-Cost</v>
      </c>
    </row>
    <row r="462" spans="1:21" x14ac:dyDescent="0.3">
      <c r="A462">
        <v>1047</v>
      </c>
      <c r="B462" s="1">
        <v>45147</v>
      </c>
      <c r="C462" s="2" t="s">
        <v>22</v>
      </c>
      <c r="D462" t="s">
        <v>13</v>
      </c>
      <c r="E462">
        <v>41</v>
      </c>
      <c r="F462" t="s">
        <v>27</v>
      </c>
      <c r="G462">
        <f>1</f>
        <v>1</v>
      </c>
      <c r="H462" s="3">
        <v>2888.49</v>
      </c>
      <c r="I462" s="3">
        <v>2929.45</v>
      </c>
      <c r="J462" s="3">
        <f t="shared" si="50"/>
        <v>2753.6829999999995</v>
      </c>
      <c r="K462" s="3">
        <f t="shared" si="51"/>
        <v>112901.003</v>
      </c>
      <c r="L462" s="3">
        <f t="shared" si="54"/>
        <v>118428.09</v>
      </c>
      <c r="M462" s="8">
        <f t="shared" si="55"/>
        <v>-5527.0869999999995</v>
      </c>
      <c r="N462" s="4">
        <f t="shared" si="52"/>
        <v>-4.8955162958118269E-2</v>
      </c>
      <c r="O462" s="4" t="str">
        <f t="shared" si="53"/>
        <v>Loss</v>
      </c>
      <c r="P462" t="s">
        <v>28</v>
      </c>
      <c r="Q462">
        <v>0.06</v>
      </c>
      <c r="R462" t="s">
        <v>16</v>
      </c>
      <c r="S462" t="s">
        <v>20</v>
      </c>
      <c r="T462" t="s">
        <v>43</v>
      </c>
      <c r="U462" t="str">
        <f t="shared" si="56"/>
        <v>High-Cost</v>
      </c>
    </row>
    <row r="463" spans="1:21" x14ac:dyDescent="0.3">
      <c r="A463">
        <v>1047</v>
      </c>
      <c r="B463" s="1">
        <v>45117</v>
      </c>
      <c r="C463" s="2" t="s">
        <v>22</v>
      </c>
      <c r="D463" t="s">
        <v>13</v>
      </c>
      <c r="E463">
        <v>36</v>
      </c>
      <c r="F463" t="s">
        <v>24</v>
      </c>
      <c r="G463">
        <f>1</f>
        <v>1</v>
      </c>
      <c r="H463" s="3">
        <v>4043.53</v>
      </c>
      <c r="I463" s="3">
        <v>4384.8500000000004</v>
      </c>
      <c r="J463" s="3">
        <f t="shared" si="50"/>
        <v>3770.9710000000005</v>
      </c>
      <c r="K463" s="3">
        <f t="shared" si="51"/>
        <v>135754.95600000001</v>
      </c>
      <c r="L463" s="3">
        <f t="shared" si="54"/>
        <v>145567.08000000002</v>
      </c>
      <c r="M463" s="8">
        <f t="shared" si="55"/>
        <v>-9812.1240000000107</v>
      </c>
      <c r="N463" s="4">
        <f t="shared" si="52"/>
        <v>-7.2278201025677544E-2</v>
      </c>
      <c r="O463" s="4" t="str">
        <f t="shared" si="53"/>
        <v>Loss</v>
      </c>
      <c r="P463" t="s">
        <v>28</v>
      </c>
      <c r="Q463">
        <v>0.14000000000000001</v>
      </c>
      <c r="R463" t="s">
        <v>16</v>
      </c>
      <c r="S463" t="s">
        <v>17</v>
      </c>
      <c r="T463" t="s">
        <v>43</v>
      </c>
      <c r="U463" t="str">
        <f t="shared" si="56"/>
        <v>High-Cost</v>
      </c>
    </row>
    <row r="464" spans="1:21" x14ac:dyDescent="0.3">
      <c r="A464">
        <v>1047</v>
      </c>
      <c r="B464" s="1">
        <v>45030</v>
      </c>
      <c r="C464" s="2" t="s">
        <v>36</v>
      </c>
      <c r="D464" t="s">
        <v>19</v>
      </c>
      <c r="E464">
        <v>16</v>
      </c>
      <c r="F464" t="s">
        <v>27</v>
      </c>
      <c r="G464">
        <f>1</f>
        <v>1</v>
      </c>
      <c r="H464" s="3">
        <v>3966.86</v>
      </c>
      <c r="I464" s="3">
        <v>4321.04</v>
      </c>
      <c r="J464" s="3">
        <f t="shared" si="50"/>
        <v>3327.2008000000001</v>
      </c>
      <c r="K464" s="3">
        <f t="shared" si="51"/>
        <v>53235.212800000001</v>
      </c>
      <c r="L464" s="3">
        <f t="shared" si="54"/>
        <v>63469.760000000002</v>
      </c>
      <c r="M464" s="8">
        <f t="shared" si="55"/>
        <v>-10234.547200000001</v>
      </c>
      <c r="N464" s="4">
        <f t="shared" si="52"/>
        <v>-0.19225145653968345</v>
      </c>
      <c r="O464" s="4" t="str">
        <f t="shared" si="53"/>
        <v>Loss</v>
      </c>
      <c r="P464" t="s">
        <v>15</v>
      </c>
      <c r="Q464">
        <v>0.23</v>
      </c>
      <c r="R464" t="s">
        <v>29</v>
      </c>
      <c r="S464" t="s">
        <v>20</v>
      </c>
      <c r="T464" t="s">
        <v>39</v>
      </c>
      <c r="U464" t="str">
        <f t="shared" si="56"/>
        <v>High-Cost</v>
      </c>
    </row>
    <row r="465" spans="1:21" x14ac:dyDescent="0.3">
      <c r="A465">
        <v>1047</v>
      </c>
      <c r="B465" s="1">
        <v>45037</v>
      </c>
      <c r="C465" s="2" t="s">
        <v>36</v>
      </c>
      <c r="D465" t="s">
        <v>19</v>
      </c>
      <c r="E465">
        <v>17</v>
      </c>
      <c r="F465" t="s">
        <v>14</v>
      </c>
      <c r="G465">
        <f>1</f>
        <v>1</v>
      </c>
      <c r="H465" s="3">
        <v>1591.34</v>
      </c>
      <c r="I465" s="3">
        <v>2043.82</v>
      </c>
      <c r="J465" s="3">
        <f t="shared" si="50"/>
        <v>1451.1121999999998</v>
      </c>
      <c r="K465" s="3">
        <f t="shared" si="51"/>
        <v>24668.9074</v>
      </c>
      <c r="L465" s="3">
        <f t="shared" si="54"/>
        <v>27052.78</v>
      </c>
      <c r="M465" s="8">
        <f t="shared" si="55"/>
        <v>-2383.8725999999988</v>
      </c>
      <c r="N465" s="4">
        <f t="shared" si="52"/>
        <v>-9.6634705434907056E-2</v>
      </c>
      <c r="O465" s="4" t="str">
        <f t="shared" si="53"/>
        <v>Loss</v>
      </c>
      <c r="P465" t="s">
        <v>28</v>
      </c>
      <c r="Q465">
        <v>0.28999999999999998</v>
      </c>
      <c r="R465" t="s">
        <v>16</v>
      </c>
      <c r="S465" t="s">
        <v>20</v>
      </c>
      <c r="T465" t="s">
        <v>39</v>
      </c>
      <c r="U465" t="str">
        <f t="shared" si="56"/>
        <v>Low-Cost</v>
      </c>
    </row>
    <row r="466" spans="1:21" x14ac:dyDescent="0.3">
      <c r="A466">
        <v>1047</v>
      </c>
      <c r="B466" s="1">
        <v>45132</v>
      </c>
      <c r="C466" s="2" t="s">
        <v>31</v>
      </c>
      <c r="D466" t="s">
        <v>32</v>
      </c>
      <c r="E466">
        <v>19</v>
      </c>
      <c r="F466" t="s">
        <v>14</v>
      </c>
      <c r="G466">
        <f>1</f>
        <v>1</v>
      </c>
      <c r="H466" s="3">
        <v>3484.62</v>
      </c>
      <c r="I466" s="3">
        <v>3781.55</v>
      </c>
      <c r="J466" s="3">
        <f t="shared" si="50"/>
        <v>2987.4245000000001</v>
      </c>
      <c r="K466" s="3">
        <f t="shared" si="51"/>
        <v>56761.065499999997</v>
      </c>
      <c r="L466" s="3">
        <f t="shared" si="54"/>
        <v>66207.78</v>
      </c>
      <c r="M466" s="8">
        <f t="shared" si="55"/>
        <v>-9446.7145000000019</v>
      </c>
      <c r="N466" s="4">
        <f t="shared" si="52"/>
        <v>-0.16642947796672355</v>
      </c>
      <c r="O466" s="4" t="str">
        <f t="shared" si="53"/>
        <v>Loss</v>
      </c>
      <c r="P466" t="s">
        <v>15</v>
      </c>
      <c r="Q466">
        <v>0.21</v>
      </c>
      <c r="R466" t="s">
        <v>29</v>
      </c>
      <c r="S466" t="s">
        <v>20</v>
      </c>
      <c r="T466" t="s">
        <v>34</v>
      </c>
      <c r="U466" t="str">
        <f t="shared" si="56"/>
        <v>High-Cost</v>
      </c>
    </row>
    <row r="467" spans="1:21" x14ac:dyDescent="0.3">
      <c r="A467">
        <v>1047</v>
      </c>
      <c r="B467" s="1">
        <v>45285</v>
      </c>
      <c r="C467" s="2" t="s">
        <v>22</v>
      </c>
      <c r="D467" t="s">
        <v>13</v>
      </c>
      <c r="E467">
        <v>43</v>
      </c>
      <c r="F467" t="s">
        <v>33</v>
      </c>
      <c r="G467">
        <f>1</f>
        <v>1</v>
      </c>
      <c r="H467" s="3">
        <v>1249.17</v>
      </c>
      <c r="I467" s="3">
        <v>1727.15</v>
      </c>
      <c r="J467" s="3">
        <f t="shared" si="50"/>
        <v>1588.9780000000001</v>
      </c>
      <c r="K467" s="3">
        <f t="shared" si="51"/>
        <v>68326.054000000004</v>
      </c>
      <c r="L467" s="3">
        <f t="shared" si="54"/>
        <v>53714.310000000005</v>
      </c>
      <c r="M467" s="8">
        <f t="shared" si="55"/>
        <v>14611.743999999999</v>
      </c>
      <c r="N467" s="4">
        <f t="shared" si="52"/>
        <v>0.21385318110131163</v>
      </c>
      <c r="O467" s="4" t="str">
        <f t="shared" si="53"/>
        <v>Profit</v>
      </c>
      <c r="P467" t="s">
        <v>28</v>
      </c>
      <c r="Q467">
        <v>0.08</v>
      </c>
      <c r="R467" t="s">
        <v>16</v>
      </c>
      <c r="S467" t="s">
        <v>20</v>
      </c>
      <c r="T467" t="s">
        <v>43</v>
      </c>
      <c r="U467" t="str">
        <f t="shared" si="56"/>
        <v>Low-Cost</v>
      </c>
    </row>
    <row r="468" spans="1:21" x14ac:dyDescent="0.3">
      <c r="A468">
        <v>1047</v>
      </c>
      <c r="B468" s="1">
        <v>45196</v>
      </c>
      <c r="C468" s="2" t="s">
        <v>36</v>
      </c>
      <c r="D468" t="s">
        <v>13</v>
      </c>
      <c r="E468">
        <v>32</v>
      </c>
      <c r="F468" t="s">
        <v>33</v>
      </c>
      <c r="G468">
        <f>1</f>
        <v>1</v>
      </c>
      <c r="H468" s="3">
        <v>367.98</v>
      </c>
      <c r="I468" s="3">
        <v>806.14</v>
      </c>
      <c r="J468" s="3">
        <f t="shared" si="50"/>
        <v>628.78920000000005</v>
      </c>
      <c r="K468" s="3">
        <f t="shared" si="51"/>
        <v>20121.254400000002</v>
      </c>
      <c r="L468" s="3">
        <f t="shared" si="54"/>
        <v>11775.36</v>
      </c>
      <c r="M468" s="8">
        <f t="shared" si="55"/>
        <v>8345.894400000001</v>
      </c>
      <c r="N468" s="4">
        <f t="shared" si="52"/>
        <v>0.41478002484775506</v>
      </c>
      <c r="O468" s="4" t="str">
        <f t="shared" si="53"/>
        <v>Profit</v>
      </c>
      <c r="P468" t="s">
        <v>15</v>
      </c>
      <c r="Q468">
        <v>0.22</v>
      </c>
      <c r="R468" t="s">
        <v>29</v>
      </c>
      <c r="S468" t="s">
        <v>20</v>
      </c>
      <c r="T468" t="s">
        <v>38</v>
      </c>
      <c r="U468" t="str">
        <f t="shared" si="56"/>
        <v>Low-Cost</v>
      </c>
    </row>
    <row r="469" spans="1:21" x14ac:dyDescent="0.3">
      <c r="A469">
        <v>1047</v>
      </c>
      <c r="B469" s="1">
        <v>45016</v>
      </c>
      <c r="C469" s="2" t="s">
        <v>40</v>
      </c>
      <c r="D469" t="s">
        <v>32</v>
      </c>
      <c r="E469">
        <v>37</v>
      </c>
      <c r="F469" t="s">
        <v>33</v>
      </c>
      <c r="G469">
        <f>1</f>
        <v>1</v>
      </c>
      <c r="H469" s="3">
        <v>3114.88</v>
      </c>
      <c r="I469" s="3">
        <v>3256.78</v>
      </c>
      <c r="J469" s="3">
        <f t="shared" si="50"/>
        <v>2410.0172000000002</v>
      </c>
      <c r="K469" s="3">
        <f t="shared" si="51"/>
        <v>89170.636400000003</v>
      </c>
      <c r="L469" s="3">
        <f t="shared" si="54"/>
        <v>115250.56</v>
      </c>
      <c r="M469" s="8">
        <f t="shared" si="55"/>
        <v>-26079.923599999995</v>
      </c>
      <c r="N469" s="4">
        <f t="shared" si="52"/>
        <v>-0.2924721035185972</v>
      </c>
      <c r="O469" s="4" t="str">
        <f t="shared" si="53"/>
        <v>Loss</v>
      </c>
      <c r="P469" t="s">
        <v>15</v>
      </c>
      <c r="Q469">
        <v>0.26</v>
      </c>
      <c r="R469" t="s">
        <v>29</v>
      </c>
      <c r="S469" t="s">
        <v>17</v>
      </c>
      <c r="T469" t="s">
        <v>50</v>
      </c>
      <c r="U469" t="str">
        <f t="shared" si="56"/>
        <v>High-Cost</v>
      </c>
    </row>
    <row r="470" spans="1:21" x14ac:dyDescent="0.3">
      <c r="A470">
        <v>1048</v>
      </c>
      <c r="B470" s="1">
        <v>45018</v>
      </c>
      <c r="C470" s="2" t="s">
        <v>22</v>
      </c>
      <c r="D470" t="s">
        <v>23</v>
      </c>
      <c r="E470">
        <v>45</v>
      </c>
      <c r="F470" t="s">
        <v>33</v>
      </c>
      <c r="G470">
        <f>1</f>
        <v>1</v>
      </c>
      <c r="H470" s="3">
        <v>4262.21</v>
      </c>
      <c r="I470" s="3">
        <v>4533.3100000000004</v>
      </c>
      <c r="J470" s="3">
        <f t="shared" si="50"/>
        <v>3309.3163000000004</v>
      </c>
      <c r="K470" s="3">
        <f t="shared" si="51"/>
        <v>148919.2335</v>
      </c>
      <c r="L470" s="3">
        <f t="shared" si="54"/>
        <v>191799.45</v>
      </c>
      <c r="M470" s="8">
        <f t="shared" si="55"/>
        <v>-42880.21650000001</v>
      </c>
      <c r="N470" s="4">
        <f t="shared" si="52"/>
        <v>-0.2879427693267036</v>
      </c>
      <c r="O470" s="4" t="str">
        <f t="shared" si="53"/>
        <v>Loss</v>
      </c>
      <c r="P470" t="s">
        <v>15</v>
      </c>
      <c r="Q470">
        <v>0.27</v>
      </c>
      <c r="R470" t="s">
        <v>29</v>
      </c>
      <c r="S470" t="s">
        <v>17</v>
      </c>
      <c r="T470" t="s">
        <v>26</v>
      </c>
      <c r="U470" t="str">
        <f t="shared" si="56"/>
        <v>High-Cost</v>
      </c>
    </row>
    <row r="471" spans="1:21" x14ac:dyDescent="0.3">
      <c r="A471">
        <v>1048</v>
      </c>
      <c r="B471" s="1">
        <v>44962</v>
      </c>
      <c r="C471" s="2" t="s">
        <v>22</v>
      </c>
      <c r="D471" t="s">
        <v>13</v>
      </c>
      <c r="E471">
        <v>42</v>
      </c>
      <c r="F471" t="s">
        <v>33</v>
      </c>
      <c r="G471">
        <f>1</f>
        <v>1</v>
      </c>
      <c r="H471" s="3">
        <v>4723.83</v>
      </c>
      <c r="I471" s="3">
        <v>5186.1899999999996</v>
      </c>
      <c r="J471" s="3">
        <f t="shared" si="50"/>
        <v>4045.2282</v>
      </c>
      <c r="K471" s="3">
        <f t="shared" si="51"/>
        <v>169899.58439999999</v>
      </c>
      <c r="L471" s="3">
        <f t="shared" si="54"/>
        <v>198400.86</v>
      </c>
      <c r="M471" s="8">
        <f t="shared" si="55"/>
        <v>-28501.275599999994</v>
      </c>
      <c r="N471" s="4">
        <f t="shared" si="52"/>
        <v>-0.16775365107956083</v>
      </c>
      <c r="O471" s="4" t="str">
        <f t="shared" si="53"/>
        <v>Loss</v>
      </c>
      <c r="P471" t="s">
        <v>15</v>
      </c>
      <c r="Q471">
        <v>0.22</v>
      </c>
      <c r="R471" t="s">
        <v>29</v>
      </c>
      <c r="S471" t="s">
        <v>17</v>
      </c>
      <c r="T471" t="s">
        <v>43</v>
      </c>
      <c r="U471" t="str">
        <f t="shared" si="56"/>
        <v>High-Cost</v>
      </c>
    </row>
    <row r="472" spans="1:21" x14ac:dyDescent="0.3">
      <c r="A472">
        <v>1048</v>
      </c>
      <c r="B472" s="1">
        <v>44965</v>
      </c>
      <c r="C472" s="2" t="s">
        <v>31</v>
      </c>
      <c r="D472" t="s">
        <v>19</v>
      </c>
      <c r="E472">
        <v>27</v>
      </c>
      <c r="F472" t="s">
        <v>27</v>
      </c>
      <c r="G472">
        <f>1</f>
        <v>1</v>
      </c>
      <c r="H472" s="3">
        <v>3197.76</v>
      </c>
      <c r="I472" s="3">
        <v>3572.61</v>
      </c>
      <c r="J472" s="3">
        <f t="shared" si="50"/>
        <v>3286.8012000000003</v>
      </c>
      <c r="K472" s="3">
        <f t="shared" si="51"/>
        <v>88743.632400000002</v>
      </c>
      <c r="L472" s="3">
        <f t="shared" si="54"/>
        <v>86339.520000000004</v>
      </c>
      <c r="M472" s="8">
        <f t="shared" si="55"/>
        <v>2404.1123999999982</v>
      </c>
      <c r="N472" s="4">
        <f t="shared" si="52"/>
        <v>2.7090534103492457E-2</v>
      </c>
      <c r="O472" s="4" t="str">
        <f t="shared" si="53"/>
        <v>Profit</v>
      </c>
      <c r="P472" t="s">
        <v>15</v>
      </c>
      <c r="Q472">
        <v>0.08</v>
      </c>
      <c r="R472" t="s">
        <v>29</v>
      </c>
      <c r="S472" t="s">
        <v>17</v>
      </c>
      <c r="T472" t="s">
        <v>35</v>
      </c>
      <c r="U472" t="str">
        <f t="shared" si="56"/>
        <v>High-Cost</v>
      </c>
    </row>
    <row r="473" spans="1:21" x14ac:dyDescent="0.3">
      <c r="A473">
        <v>1048</v>
      </c>
      <c r="B473" s="1">
        <v>44938</v>
      </c>
      <c r="C473" s="2" t="s">
        <v>31</v>
      </c>
      <c r="D473" t="s">
        <v>32</v>
      </c>
      <c r="E473">
        <v>47</v>
      </c>
      <c r="F473" t="s">
        <v>27</v>
      </c>
      <c r="G473">
        <f>1</f>
        <v>1</v>
      </c>
      <c r="H473" s="3">
        <v>702.44</v>
      </c>
      <c r="I473" s="3">
        <v>1067.6600000000001</v>
      </c>
      <c r="J473" s="3">
        <f t="shared" si="50"/>
        <v>811.42160000000013</v>
      </c>
      <c r="K473" s="3">
        <f t="shared" si="51"/>
        <v>38136.815200000005</v>
      </c>
      <c r="L473" s="3">
        <f t="shared" si="54"/>
        <v>33014.68</v>
      </c>
      <c r="M473" s="8">
        <f t="shared" si="55"/>
        <v>5122.1352000000043</v>
      </c>
      <c r="N473" s="4">
        <f t="shared" si="52"/>
        <v>0.13430946378553402</v>
      </c>
      <c r="O473" s="4" t="str">
        <f t="shared" si="53"/>
        <v>Profit</v>
      </c>
      <c r="P473" t="s">
        <v>28</v>
      </c>
      <c r="Q473">
        <v>0.24</v>
      </c>
      <c r="R473" t="s">
        <v>16</v>
      </c>
      <c r="S473" t="s">
        <v>20</v>
      </c>
      <c r="T473" t="s">
        <v>34</v>
      </c>
      <c r="U473" t="str">
        <f t="shared" si="56"/>
        <v>Low-Cost</v>
      </c>
    </row>
    <row r="474" spans="1:21" x14ac:dyDescent="0.3">
      <c r="A474">
        <v>1048</v>
      </c>
      <c r="B474" s="1">
        <v>45214</v>
      </c>
      <c r="C474" s="2" t="s">
        <v>31</v>
      </c>
      <c r="D474" t="s">
        <v>13</v>
      </c>
      <c r="E474">
        <v>42</v>
      </c>
      <c r="F474" t="s">
        <v>33</v>
      </c>
      <c r="G474">
        <f>1</f>
        <v>1</v>
      </c>
      <c r="H474" s="3">
        <v>3139.99</v>
      </c>
      <c r="I474" s="3">
        <v>3349.37</v>
      </c>
      <c r="J474" s="3">
        <f t="shared" si="50"/>
        <v>2913.9519</v>
      </c>
      <c r="K474" s="3">
        <f t="shared" si="51"/>
        <v>122385.9798</v>
      </c>
      <c r="L474" s="3">
        <f t="shared" si="54"/>
        <v>131879.57999999999</v>
      </c>
      <c r="M474" s="8">
        <f t="shared" si="55"/>
        <v>-9493.6001999999862</v>
      </c>
      <c r="N474" s="4">
        <f t="shared" si="52"/>
        <v>-7.7570978436534821E-2</v>
      </c>
      <c r="O474" s="4" t="str">
        <f t="shared" si="53"/>
        <v>Loss</v>
      </c>
      <c r="P474" t="s">
        <v>15</v>
      </c>
      <c r="Q474">
        <v>0.13</v>
      </c>
      <c r="R474" t="s">
        <v>29</v>
      </c>
      <c r="S474" t="s">
        <v>20</v>
      </c>
      <c r="T474" t="s">
        <v>51</v>
      </c>
      <c r="U474" t="str">
        <f t="shared" si="56"/>
        <v>High-Cost</v>
      </c>
    </row>
    <row r="475" spans="1:21" x14ac:dyDescent="0.3">
      <c r="A475">
        <v>1048</v>
      </c>
      <c r="B475" s="1">
        <v>44945</v>
      </c>
      <c r="C475" s="2" t="s">
        <v>12</v>
      </c>
      <c r="D475" t="s">
        <v>19</v>
      </c>
      <c r="E475">
        <v>7</v>
      </c>
      <c r="F475" t="s">
        <v>27</v>
      </c>
      <c r="G475">
        <f>1</f>
        <v>1</v>
      </c>
      <c r="H475" s="3">
        <v>4310.95</v>
      </c>
      <c r="I475" s="3">
        <v>4723.2</v>
      </c>
      <c r="J475" s="3">
        <f t="shared" si="50"/>
        <v>4487.04</v>
      </c>
      <c r="K475" s="3">
        <f t="shared" si="51"/>
        <v>31409.279999999999</v>
      </c>
      <c r="L475" s="3">
        <f t="shared" si="54"/>
        <v>30176.649999999998</v>
      </c>
      <c r="M475" s="8">
        <f t="shared" si="55"/>
        <v>1232.630000000001</v>
      </c>
      <c r="N475" s="4">
        <f t="shared" si="52"/>
        <v>3.9244134217658003E-2</v>
      </c>
      <c r="O475" s="4" t="str">
        <f t="shared" si="53"/>
        <v>Profit</v>
      </c>
      <c r="P475" t="s">
        <v>15</v>
      </c>
      <c r="Q475">
        <v>0.05</v>
      </c>
      <c r="R475" t="s">
        <v>29</v>
      </c>
      <c r="S475" t="s">
        <v>20</v>
      </c>
      <c r="T475" t="s">
        <v>21</v>
      </c>
      <c r="U475" t="str">
        <f t="shared" si="56"/>
        <v>High-Cost</v>
      </c>
    </row>
    <row r="476" spans="1:21" x14ac:dyDescent="0.3">
      <c r="A476">
        <v>1048</v>
      </c>
      <c r="B476" s="1">
        <v>45219</v>
      </c>
      <c r="C476" s="2" t="s">
        <v>40</v>
      </c>
      <c r="D476" t="s">
        <v>23</v>
      </c>
      <c r="E476">
        <v>6</v>
      </c>
      <c r="F476" t="s">
        <v>33</v>
      </c>
      <c r="G476">
        <f>1</f>
        <v>1</v>
      </c>
      <c r="H476" s="3">
        <v>3717.3</v>
      </c>
      <c r="I476" s="3">
        <v>4061.37</v>
      </c>
      <c r="J476" s="3">
        <f t="shared" si="50"/>
        <v>3939.5288999999998</v>
      </c>
      <c r="K476" s="3">
        <f t="shared" si="51"/>
        <v>23637.1734</v>
      </c>
      <c r="L476" s="3">
        <f t="shared" si="54"/>
        <v>22303.800000000003</v>
      </c>
      <c r="M476" s="8">
        <f t="shared" si="55"/>
        <v>1333.3733999999968</v>
      </c>
      <c r="N476" s="4">
        <f t="shared" si="52"/>
        <v>5.6410018974603654E-2</v>
      </c>
      <c r="O476" s="4" t="str">
        <f t="shared" si="53"/>
        <v>Profit</v>
      </c>
      <c r="P476" t="s">
        <v>28</v>
      </c>
      <c r="Q476">
        <v>0.03</v>
      </c>
      <c r="R476" t="s">
        <v>25</v>
      </c>
      <c r="S476" t="s">
        <v>20</v>
      </c>
      <c r="T476" t="s">
        <v>41</v>
      </c>
      <c r="U476" t="str">
        <f t="shared" si="56"/>
        <v>High-Cost</v>
      </c>
    </row>
    <row r="477" spans="1:21" x14ac:dyDescent="0.3">
      <c r="A477">
        <v>1048</v>
      </c>
      <c r="B477" s="1">
        <v>44980</v>
      </c>
      <c r="C477" s="2" t="s">
        <v>12</v>
      </c>
      <c r="D477" t="s">
        <v>19</v>
      </c>
      <c r="E477">
        <v>47</v>
      </c>
      <c r="F477" t="s">
        <v>24</v>
      </c>
      <c r="G477">
        <f>1</f>
        <v>1</v>
      </c>
      <c r="H477" s="3">
        <v>4535.8599999999997</v>
      </c>
      <c r="I477" s="3">
        <v>4641.41</v>
      </c>
      <c r="J477" s="3">
        <f t="shared" si="50"/>
        <v>3388.2293</v>
      </c>
      <c r="K477" s="3">
        <f t="shared" si="51"/>
        <v>159246.77709999998</v>
      </c>
      <c r="L477" s="3">
        <f t="shared" si="54"/>
        <v>213185.41999999998</v>
      </c>
      <c r="M477" s="8">
        <f t="shared" si="55"/>
        <v>-53938.642900000006</v>
      </c>
      <c r="N477" s="4">
        <f t="shared" si="52"/>
        <v>-0.33871104886555353</v>
      </c>
      <c r="O477" s="4" t="str">
        <f t="shared" si="53"/>
        <v>Loss</v>
      </c>
      <c r="P477" t="s">
        <v>28</v>
      </c>
      <c r="Q477">
        <v>0.27</v>
      </c>
      <c r="R477" t="s">
        <v>29</v>
      </c>
      <c r="S477" t="s">
        <v>20</v>
      </c>
      <c r="T477" t="s">
        <v>21</v>
      </c>
      <c r="U477" t="str">
        <f t="shared" si="56"/>
        <v>High-Cost</v>
      </c>
    </row>
    <row r="478" spans="1:21" x14ac:dyDescent="0.3">
      <c r="A478">
        <v>1048</v>
      </c>
      <c r="B478" s="1">
        <v>44951</v>
      </c>
      <c r="C478" s="2" t="s">
        <v>36</v>
      </c>
      <c r="D478" t="s">
        <v>23</v>
      </c>
      <c r="E478">
        <v>7</v>
      </c>
      <c r="F478" t="s">
        <v>33</v>
      </c>
      <c r="G478">
        <f>1</f>
        <v>1</v>
      </c>
      <c r="H478" s="3">
        <v>1655.43</v>
      </c>
      <c r="I478" s="3">
        <v>2001.08</v>
      </c>
      <c r="J478" s="3">
        <f t="shared" si="50"/>
        <v>1620.8748000000001</v>
      </c>
      <c r="K478" s="3">
        <f t="shared" si="51"/>
        <v>11346.123600000001</v>
      </c>
      <c r="L478" s="3">
        <f t="shared" si="54"/>
        <v>11588.01</v>
      </c>
      <c r="M478" s="8">
        <f t="shared" si="55"/>
        <v>-241.88639999999941</v>
      </c>
      <c r="N478" s="4">
        <f t="shared" si="52"/>
        <v>-2.1318858186949365E-2</v>
      </c>
      <c r="O478" s="4" t="str">
        <f t="shared" si="53"/>
        <v>Loss</v>
      </c>
      <c r="P478" t="s">
        <v>28</v>
      </c>
      <c r="Q478">
        <v>0.19</v>
      </c>
      <c r="R478" t="s">
        <v>25</v>
      </c>
      <c r="S478" t="s">
        <v>17</v>
      </c>
      <c r="T478" t="s">
        <v>37</v>
      </c>
      <c r="U478" t="str">
        <f t="shared" si="56"/>
        <v>Low-Cost</v>
      </c>
    </row>
    <row r="479" spans="1:21" x14ac:dyDescent="0.3">
      <c r="A479">
        <v>1048</v>
      </c>
      <c r="B479" s="1">
        <v>45137</v>
      </c>
      <c r="C479" s="2" t="s">
        <v>40</v>
      </c>
      <c r="D479" t="s">
        <v>13</v>
      </c>
      <c r="E479">
        <v>6</v>
      </c>
      <c r="F479" t="s">
        <v>14</v>
      </c>
      <c r="G479">
        <f>1</f>
        <v>1</v>
      </c>
      <c r="H479" s="3">
        <v>1945.27</v>
      </c>
      <c r="I479" s="3">
        <v>2309.4299999999998</v>
      </c>
      <c r="J479" s="3">
        <f t="shared" si="50"/>
        <v>1708.9781999999998</v>
      </c>
      <c r="K479" s="3">
        <f t="shared" si="51"/>
        <v>10253.869199999999</v>
      </c>
      <c r="L479" s="3">
        <f t="shared" si="54"/>
        <v>11671.619999999999</v>
      </c>
      <c r="M479" s="8">
        <f t="shared" si="55"/>
        <v>-1417.7507999999998</v>
      </c>
      <c r="N479" s="4">
        <f t="shared" si="52"/>
        <v>-0.13826495855827767</v>
      </c>
      <c r="O479" s="4" t="str">
        <f t="shared" si="53"/>
        <v>Loss</v>
      </c>
      <c r="P479" t="s">
        <v>28</v>
      </c>
      <c r="Q479">
        <v>0.26</v>
      </c>
      <c r="R479" t="s">
        <v>29</v>
      </c>
      <c r="S479" t="s">
        <v>17</v>
      </c>
      <c r="T479" t="s">
        <v>47</v>
      </c>
      <c r="U479" t="str">
        <f t="shared" si="56"/>
        <v>Low-Cost</v>
      </c>
    </row>
    <row r="480" spans="1:21" x14ac:dyDescent="0.3">
      <c r="A480">
        <v>1048</v>
      </c>
      <c r="B480" s="1">
        <v>45199</v>
      </c>
      <c r="C480" s="2" t="s">
        <v>31</v>
      </c>
      <c r="D480" t="s">
        <v>13</v>
      </c>
      <c r="E480">
        <v>4</v>
      </c>
      <c r="F480" t="s">
        <v>14</v>
      </c>
      <c r="G480">
        <f>1</f>
        <v>1</v>
      </c>
      <c r="H480" s="3">
        <v>2900.14</v>
      </c>
      <c r="I480" s="3">
        <v>2910.51</v>
      </c>
      <c r="J480" s="3">
        <f t="shared" si="50"/>
        <v>2270.1978000000004</v>
      </c>
      <c r="K480" s="3">
        <f t="shared" si="51"/>
        <v>9080.7912000000015</v>
      </c>
      <c r="L480" s="3">
        <f t="shared" si="54"/>
        <v>11600.56</v>
      </c>
      <c r="M480" s="8">
        <f t="shared" si="55"/>
        <v>-2519.768799999998</v>
      </c>
      <c r="N480" s="4">
        <f t="shared" si="52"/>
        <v>-0.27748339814266376</v>
      </c>
      <c r="O480" s="4" t="str">
        <f t="shared" si="53"/>
        <v>Loss</v>
      </c>
      <c r="P480" t="s">
        <v>28</v>
      </c>
      <c r="Q480">
        <v>0.22</v>
      </c>
      <c r="R480" t="s">
        <v>29</v>
      </c>
      <c r="S480" t="s">
        <v>20</v>
      </c>
      <c r="T480" t="s">
        <v>51</v>
      </c>
      <c r="U480" t="str">
        <f t="shared" si="56"/>
        <v>High-Cost</v>
      </c>
    </row>
    <row r="481" spans="1:21" x14ac:dyDescent="0.3">
      <c r="A481">
        <v>1049</v>
      </c>
      <c r="B481" s="1">
        <v>45060</v>
      </c>
      <c r="C481" s="2" t="s">
        <v>36</v>
      </c>
      <c r="D481" t="s">
        <v>23</v>
      </c>
      <c r="E481">
        <v>22</v>
      </c>
      <c r="F481" t="s">
        <v>33</v>
      </c>
      <c r="G481">
        <f>1</f>
        <v>1</v>
      </c>
      <c r="H481" s="3">
        <v>4573.6899999999996</v>
      </c>
      <c r="I481" s="3">
        <v>4820.3</v>
      </c>
      <c r="J481" s="3">
        <f t="shared" si="50"/>
        <v>4627.4880000000003</v>
      </c>
      <c r="K481" s="3">
        <f t="shared" si="51"/>
        <v>101804.736</v>
      </c>
      <c r="L481" s="3">
        <f t="shared" si="54"/>
        <v>100621.18</v>
      </c>
      <c r="M481" s="8">
        <f t="shared" si="55"/>
        <v>1183.5560000000114</v>
      </c>
      <c r="N481" s="4">
        <f t="shared" si="52"/>
        <v>1.1625745977083142E-2</v>
      </c>
      <c r="O481" s="4" t="str">
        <f t="shared" si="53"/>
        <v>Profit</v>
      </c>
      <c r="P481" t="s">
        <v>28</v>
      </c>
      <c r="Q481">
        <v>0.04</v>
      </c>
      <c r="R481" t="s">
        <v>16</v>
      </c>
      <c r="S481" t="s">
        <v>17</v>
      </c>
      <c r="T481" t="s">
        <v>37</v>
      </c>
      <c r="U481" t="str">
        <f t="shared" si="56"/>
        <v>High-Cost</v>
      </c>
    </row>
    <row r="482" spans="1:21" x14ac:dyDescent="0.3">
      <c r="A482">
        <v>1049</v>
      </c>
      <c r="B482" s="1">
        <v>45063</v>
      </c>
      <c r="C482" s="2" t="s">
        <v>40</v>
      </c>
      <c r="D482" t="s">
        <v>19</v>
      </c>
      <c r="E482">
        <v>1</v>
      </c>
      <c r="F482" t="s">
        <v>14</v>
      </c>
      <c r="G482">
        <f>1</f>
        <v>1</v>
      </c>
      <c r="H482" s="3">
        <v>3290.89</v>
      </c>
      <c r="I482" s="3">
        <v>3317.75</v>
      </c>
      <c r="J482" s="3">
        <f t="shared" si="50"/>
        <v>2753.7325000000001</v>
      </c>
      <c r="K482" s="3">
        <f t="shared" si="51"/>
        <v>2753.7325000000001</v>
      </c>
      <c r="L482" s="3">
        <f t="shared" si="54"/>
        <v>3290.89</v>
      </c>
      <c r="M482" s="8">
        <f t="shared" si="55"/>
        <v>-537.1574999999998</v>
      </c>
      <c r="N482" s="4">
        <f t="shared" si="52"/>
        <v>-0.19506524326527713</v>
      </c>
      <c r="O482" s="4" t="str">
        <f t="shared" si="53"/>
        <v>Loss</v>
      </c>
      <c r="P482" t="s">
        <v>15</v>
      </c>
      <c r="Q482">
        <v>0.17</v>
      </c>
      <c r="R482" t="s">
        <v>25</v>
      </c>
      <c r="S482" t="s">
        <v>17</v>
      </c>
      <c r="T482" t="s">
        <v>49</v>
      </c>
      <c r="U482" t="str">
        <f t="shared" si="56"/>
        <v>High-Cost</v>
      </c>
    </row>
    <row r="483" spans="1:21" x14ac:dyDescent="0.3">
      <c r="A483">
        <v>1049</v>
      </c>
      <c r="B483" s="1">
        <v>45218</v>
      </c>
      <c r="C483" s="2" t="s">
        <v>36</v>
      </c>
      <c r="D483" t="s">
        <v>23</v>
      </c>
      <c r="E483">
        <v>30</v>
      </c>
      <c r="F483" t="s">
        <v>27</v>
      </c>
      <c r="G483">
        <f>1</f>
        <v>1</v>
      </c>
      <c r="H483" s="3">
        <v>4697.4399999999996</v>
      </c>
      <c r="I483" s="3">
        <v>4752.24</v>
      </c>
      <c r="J483" s="3">
        <f t="shared" si="50"/>
        <v>3421.6127999999999</v>
      </c>
      <c r="K483" s="3">
        <f t="shared" si="51"/>
        <v>102648.38399999998</v>
      </c>
      <c r="L483" s="3">
        <f t="shared" si="54"/>
        <v>140923.19999999998</v>
      </c>
      <c r="M483" s="8">
        <f t="shared" si="55"/>
        <v>-38274.816000000006</v>
      </c>
      <c r="N483" s="4">
        <f t="shared" si="52"/>
        <v>-0.37287304980855829</v>
      </c>
      <c r="O483" s="4" t="str">
        <f t="shared" si="53"/>
        <v>Loss</v>
      </c>
      <c r="P483" t="s">
        <v>28</v>
      </c>
      <c r="Q483">
        <v>0.28000000000000003</v>
      </c>
      <c r="R483" t="s">
        <v>29</v>
      </c>
      <c r="S483" t="s">
        <v>17</v>
      </c>
      <c r="T483" t="s">
        <v>37</v>
      </c>
      <c r="U483" t="str">
        <f t="shared" si="56"/>
        <v>High-Cost</v>
      </c>
    </row>
    <row r="484" spans="1:21" x14ac:dyDescent="0.3">
      <c r="A484">
        <v>1049</v>
      </c>
      <c r="B484" s="1">
        <v>44978</v>
      </c>
      <c r="C484" s="2" t="s">
        <v>40</v>
      </c>
      <c r="D484" t="s">
        <v>32</v>
      </c>
      <c r="E484">
        <v>31</v>
      </c>
      <c r="F484" t="s">
        <v>33</v>
      </c>
      <c r="G484">
        <f>1</f>
        <v>1</v>
      </c>
      <c r="H484" s="3">
        <v>3570.24</v>
      </c>
      <c r="I484" s="3">
        <v>3712.25</v>
      </c>
      <c r="J484" s="3">
        <f t="shared" si="50"/>
        <v>3600.8824999999997</v>
      </c>
      <c r="K484" s="3">
        <f t="shared" si="51"/>
        <v>111627.3575</v>
      </c>
      <c r="L484" s="3">
        <f t="shared" si="54"/>
        <v>110677.43999999999</v>
      </c>
      <c r="M484" s="8">
        <f t="shared" si="55"/>
        <v>949.91750000001048</v>
      </c>
      <c r="N484" s="4">
        <f t="shared" si="52"/>
        <v>8.5097194923745324E-3</v>
      </c>
      <c r="O484" s="4" t="str">
        <f t="shared" si="53"/>
        <v>Profit</v>
      </c>
      <c r="P484" t="s">
        <v>28</v>
      </c>
      <c r="Q484">
        <v>0.03</v>
      </c>
      <c r="R484" t="s">
        <v>29</v>
      </c>
      <c r="S484" t="s">
        <v>17</v>
      </c>
      <c r="T484" t="s">
        <v>50</v>
      </c>
      <c r="U484" t="str">
        <f t="shared" si="56"/>
        <v>High-Cost</v>
      </c>
    </row>
    <row r="485" spans="1:21" x14ac:dyDescent="0.3">
      <c r="A485">
        <v>1049</v>
      </c>
      <c r="B485" s="1">
        <v>45068</v>
      </c>
      <c r="C485" s="2" t="s">
        <v>12</v>
      </c>
      <c r="D485" t="s">
        <v>32</v>
      </c>
      <c r="E485">
        <v>19</v>
      </c>
      <c r="F485" t="s">
        <v>27</v>
      </c>
      <c r="G485">
        <f>1</f>
        <v>1</v>
      </c>
      <c r="H485" s="3">
        <v>3316.97</v>
      </c>
      <c r="I485" s="3">
        <v>3544.02</v>
      </c>
      <c r="J485" s="3">
        <f t="shared" si="50"/>
        <v>3047.8571999999999</v>
      </c>
      <c r="K485" s="3">
        <f t="shared" si="51"/>
        <v>57909.286800000002</v>
      </c>
      <c r="L485" s="3">
        <f t="shared" si="54"/>
        <v>63022.429999999993</v>
      </c>
      <c r="M485" s="8">
        <f t="shared" si="55"/>
        <v>-5113.1431999999913</v>
      </c>
      <c r="N485" s="4">
        <f t="shared" si="52"/>
        <v>-8.8295737739943828E-2</v>
      </c>
      <c r="O485" s="4" t="str">
        <f t="shared" si="53"/>
        <v>Loss</v>
      </c>
      <c r="P485" t="s">
        <v>15</v>
      </c>
      <c r="Q485">
        <v>0.14000000000000001</v>
      </c>
      <c r="R485" t="s">
        <v>16</v>
      </c>
      <c r="S485" t="s">
        <v>17</v>
      </c>
      <c r="T485" t="s">
        <v>44</v>
      </c>
      <c r="U485" t="str">
        <f t="shared" si="56"/>
        <v>High-Cost</v>
      </c>
    </row>
    <row r="486" spans="1:21" x14ac:dyDescent="0.3">
      <c r="A486">
        <v>1049</v>
      </c>
      <c r="B486" s="1">
        <v>45010</v>
      </c>
      <c r="C486" s="2" t="s">
        <v>36</v>
      </c>
      <c r="D486" t="s">
        <v>32</v>
      </c>
      <c r="E486">
        <v>17</v>
      </c>
      <c r="F486" t="s">
        <v>33</v>
      </c>
      <c r="G486">
        <f>1</f>
        <v>1</v>
      </c>
      <c r="H486" s="3">
        <v>558.70000000000005</v>
      </c>
      <c r="I486" s="3">
        <v>1004.08</v>
      </c>
      <c r="J486" s="3">
        <f t="shared" si="50"/>
        <v>973.95759999999996</v>
      </c>
      <c r="K486" s="3">
        <f t="shared" si="51"/>
        <v>16557.279200000001</v>
      </c>
      <c r="L486" s="3">
        <f t="shared" si="54"/>
        <v>9497.9000000000015</v>
      </c>
      <c r="M486" s="8">
        <f t="shared" si="55"/>
        <v>7059.3791999999994</v>
      </c>
      <c r="N486" s="4">
        <f t="shared" si="52"/>
        <v>0.42636106540982888</v>
      </c>
      <c r="O486" s="4" t="str">
        <f t="shared" si="53"/>
        <v>Profit</v>
      </c>
      <c r="P486" t="s">
        <v>15</v>
      </c>
      <c r="Q486">
        <v>0.03</v>
      </c>
      <c r="R486" t="s">
        <v>29</v>
      </c>
      <c r="S486" t="s">
        <v>17</v>
      </c>
      <c r="T486" t="s">
        <v>46</v>
      </c>
      <c r="U486" t="str">
        <f t="shared" si="56"/>
        <v>Low-Cost</v>
      </c>
    </row>
    <row r="487" spans="1:21" x14ac:dyDescent="0.3">
      <c r="A487">
        <v>1049</v>
      </c>
      <c r="B487" s="1">
        <v>45197</v>
      </c>
      <c r="C487" s="2" t="s">
        <v>40</v>
      </c>
      <c r="D487" t="s">
        <v>19</v>
      </c>
      <c r="E487">
        <v>44</v>
      </c>
      <c r="F487" t="s">
        <v>14</v>
      </c>
      <c r="G487">
        <f>1</f>
        <v>1</v>
      </c>
      <c r="H487" s="3">
        <v>3351.33</v>
      </c>
      <c r="I487" s="3">
        <v>3465.35</v>
      </c>
      <c r="J487" s="3">
        <f t="shared" si="50"/>
        <v>3049.5079999999998</v>
      </c>
      <c r="K487" s="3">
        <f t="shared" si="51"/>
        <v>134178.35199999998</v>
      </c>
      <c r="L487" s="3">
        <f t="shared" si="54"/>
        <v>147458.51999999999</v>
      </c>
      <c r="M487" s="8">
        <f t="shared" si="55"/>
        <v>-13280.168000000005</v>
      </c>
      <c r="N487" s="4">
        <f t="shared" si="52"/>
        <v>-9.8973998428599025E-2</v>
      </c>
      <c r="O487" s="4" t="str">
        <f t="shared" si="53"/>
        <v>Loss</v>
      </c>
      <c r="P487" t="s">
        <v>15</v>
      </c>
      <c r="Q487">
        <v>0.12</v>
      </c>
      <c r="R487" t="s">
        <v>25</v>
      </c>
      <c r="S487" t="s">
        <v>17</v>
      </c>
      <c r="T487" t="s">
        <v>49</v>
      </c>
      <c r="U487" t="str">
        <f t="shared" si="56"/>
        <v>High-Cost</v>
      </c>
    </row>
    <row r="488" spans="1:21" x14ac:dyDescent="0.3">
      <c r="A488">
        <v>1049</v>
      </c>
      <c r="B488" s="1">
        <v>45289</v>
      </c>
      <c r="C488" s="2" t="s">
        <v>31</v>
      </c>
      <c r="D488" t="s">
        <v>23</v>
      </c>
      <c r="E488">
        <v>38</v>
      </c>
      <c r="F488" t="s">
        <v>24</v>
      </c>
      <c r="G488">
        <f>1</f>
        <v>1</v>
      </c>
      <c r="H488" s="3">
        <v>2945.92</v>
      </c>
      <c r="I488" s="3">
        <v>3381.22</v>
      </c>
      <c r="J488" s="3">
        <f t="shared" si="50"/>
        <v>2603.5394000000001</v>
      </c>
      <c r="K488" s="3">
        <f t="shared" si="51"/>
        <v>98934.497199999998</v>
      </c>
      <c r="L488" s="3">
        <f t="shared" si="54"/>
        <v>111944.96000000001</v>
      </c>
      <c r="M488" s="8">
        <f t="shared" si="55"/>
        <v>-13010.462800000008</v>
      </c>
      <c r="N488" s="4">
        <f t="shared" si="52"/>
        <v>-0.1315058262609739</v>
      </c>
      <c r="O488" s="4" t="str">
        <f t="shared" si="53"/>
        <v>Loss</v>
      </c>
      <c r="P488" t="s">
        <v>15</v>
      </c>
      <c r="Q488">
        <v>0.23</v>
      </c>
      <c r="R488" t="s">
        <v>16</v>
      </c>
      <c r="S488" t="s">
        <v>20</v>
      </c>
      <c r="T488" t="s">
        <v>42</v>
      </c>
      <c r="U488" t="str">
        <f t="shared" si="56"/>
        <v>High-Cost</v>
      </c>
    </row>
    <row r="489" spans="1:21" x14ac:dyDescent="0.3">
      <c r="A489">
        <v>1049</v>
      </c>
      <c r="B489" s="1">
        <v>45229</v>
      </c>
      <c r="C489" s="2" t="s">
        <v>40</v>
      </c>
      <c r="D489" t="s">
        <v>32</v>
      </c>
      <c r="E489">
        <v>38</v>
      </c>
      <c r="F489" t="s">
        <v>24</v>
      </c>
      <c r="G489">
        <f>1</f>
        <v>1</v>
      </c>
      <c r="H489" s="3">
        <v>4243.9799999999996</v>
      </c>
      <c r="I489" s="3">
        <v>4474.51</v>
      </c>
      <c r="J489" s="3">
        <f t="shared" si="50"/>
        <v>4429.7649000000001</v>
      </c>
      <c r="K489" s="3">
        <f t="shared" si="51"/>
        <v>168331.0662</v>
      </c>
      <c r="L489" s="3">
        <f t="shared" si="54"/>
        <v>161271.24</v>
      </c>
      <c r="M489" s="8">
        <f t="shared" si="55"/>
        <v>7059.8262000000104</v>
      </c>
      <c r="N489" s="4">
        <f t="shared" si="52"/>
        <v>4.1940126438764339E-2</v>
      </c>
      <c r="O489" s="4" t="str">
        <f t="shared" si="53"/>
        <v>Profit</v>
      </c>
      <c r="P489" t="s">
        <v>28</v>
      </c>
      <c r="Q489">
        <v>0.01</v>
      </c>
      <c r="R489" t="s">
        <v>29</v>
      </c>
      <c r="S489" t="s">
        <v>17</v>
      </c>
      <c r="T489" t="s">
        <v>50</v>
      </c>
      <c r="U489" t="str">
        <f t="shared" si="56"/>
        <v>High-Cost</v>
      </c>
    </row>
    <row r="490" spans="1:21" x14ac:dyDescent="0.3">
      <c r="A490">
        <v>1050</v>
      </c>
      <c r="B490" s="1">
        <v>45078</v>
      </c>
      <c r="C490" s="2" t="s">
        <v>12</v>
      </c>
      <c r="D490" t="s">
        <v>23</v>
      </c>
      <c r="E490">
        <v>23</v>
      </c>
      <c r="F490" t="s">
        <v>14</v>
      </c>
      <c r="G490">
        <f>1</f>
        <v>1</v>
      </c>
      <c r="H490" s="3">
        <v>3756.06</v>
      </c>
      <c r="I490" s="3">
        <v>4255.7299999999996</v>
      </c>
      <c r="J490" s="3">
        <f t="shared" si="50"/>
        <v>4085.5007999999993</v>
      </c>
      <c r="K490" s="3">
        <f t="shared" si="51"/>
        <v>93966.518399999986</v>
      </c>
      <c r="L490" s="3">
        <f t="shared" si="54"/>
        <v>86389.38</v>
      </c>
      <c r="M490" s="8">
        <f t="shared" si="55"/>
        <v>7577.1383999999816</v>
      </c>
      <c r="N490" s="4">
        <f t="shared" si="52"/>
        <v>8.0636577038486756E-2</v>
      </c>
      <c r="O490" s="4" t="str">
        <f t="shared" si="53"/>
        <v>Profit</v>
      </c>
      <c r="P490" t="s">
        <v>15</v>
      </c>
      <c r="Q490">
        <v>0.04</v>
      </c>
      <c r="R490" t="s">
        <v>16</v>
      </c>
      <c r="S490" t="s">
        <v>17</v>
      </c>
      <c r="T490" t="s">
        <v>30</v>
      </c>
      <c r="U490" t="str">
        <f t="shared" si="56"/>
        <v>High-Cost</v>
      </c>
    </row>
    <row r="491" spans="1:21" x14ac:dyDescent="0.3">
      <c r="A491">
        <v>1050</v>
      </c>
      <c r="B491" s="1">
        <v>44990</v>
      </c>
      <c r="C491" s="2" t="s">
        <v>12</v>
      </c>
      <c r="D491" t="s">
        <v>13</v>
      </c>
      <c r="E491">
        <v>20</v>
      </c>
      <c r="F491" t="s">
        <v>33</v>
      </c>
      <c r="G491">
        <f>1</f>
        <v>1</v>
      </c>
      <c r="H491" s="3">
        <v>3318.92</v>
      </c>
      <c r="I491" s="3">
        <v>3785.91</v>
      </c>
      <c r="J491" s="3">
        <f t="shared" si="50"/>
        <v>2877.2916</v>
      </c>
      <c r="K491" s="3">
        <f t="shared" si="51"/>
        <v>57545.831999999995</v>
      </c>
      <c r="L491" s="3">
        <f t="shared" si="54"/>
        <v>66378.399999999994</v>
      </c>
      <c r="M491" s="8">
        <f t="shared" si="55"/>
        <v>-8832.5679999999993</v>
      </c>
      <c r="N491" s="4">
        <f t="shared" si="52"/>
        <v>-0.15348753668206588</v>
      </c>
      <c r="O491" s="4" t="str">
        <f t="shared" si="53"/>
        <v>Loss</v>
      </c>
      <c r="P491" t="s">
        <v>28</v>
      </c>
      <c r="Q491">
        <v>0.24</v>
      </c>
      <c r="R491" t="s">
        <v>25</v>
      </c>
      <c r="S491" t="s">
        <v>17</v>
      </c>
      <c r="T491" t="s">
        <v>18</v>
      </c>
      <c r="U491" t="str">
        <f t="shared" si="56"/>
        <v>High-Cost</v>
      </c>
    </row>
    <row r="492" spans="1:21" x14ac:dyDescent="0.3">
      <c r="A492">
        <v>1050</v>
      </c>
      <c r="B492" s="1">
        <v>44968</v>
      </c>
      <c r="C492" s="2" t="s">
        <v>31</v>
      </c>
      <c r="D492" t="s">
        <v>19</v>
      </c>
      <c r="E492">
        <v>48</v>
      </c>
      <c r="F492" t="s">
        <v>14</v>
      </c>
      <c r="G492">
        <f>1</f>
        <v>1</v>
      </c>
      <c r="H492" s="3">
        <v>710.06</v>
      </c>
      <c r="I492" s="3">
        <v>851.35</v>
      </c>
      <c r="J492" s="3">
        <f t="shared" si="50"/>
        <v>817.29599999999994</v>
      </c>
      <c r="K492" s="3">
        <f t="shared" si="51"/>
        <v>39230.207999999999</v>
      </c>
      <c r="L492" s="3">
        <f t="shared" si="54"/>
        <v>34082.879999999997</v>
      </c>
      <c r="M492" s="8">
        <f t="shared" si="55"/>
        <v>5147.3280000000013</v>
      </c>
      <c r="N492" s="4">
        <f t="shared" si="52"/>
        <v>0.13120827705017524</v>
      </c>
      <c r="O492" s="4" t="str">
        <f t="shared" si="53"/>
        <v>Profit</v>
      </c>
      <c r="P492" t="s">
        <v>15</v>
      </c>
      <c r="Q492">
        <v>0.04</v>
      </c>
      <c r="R492" t="s">
        <v>25</v>
      </c>
      <c r="S492" t="s">
        <v>17</v>
      </c>
      <c r="T492" t="s">
        <v>35</v>
      </c>
      <c r="U492" t="str">
        <f t="shared" si="56"/>
        <v>Low-Cost</v>
      </c>
    </row>
    <row r="493" spans="1:21" x14ac:dyDescent="0.3">
      <c r="A493">
        <v>1050</v>
      </c>
      <c r="B493" s="1">
        <v>45243</v>
      </c>
      <c r="C493" s="2" t="s">
        <v>40</v>
      </c>
      <c r="D493" t="s">
        <v>13</v>
      </c>
      <c r="E493">
        <v>28</v>
      </c>
      <c r="F493" t="s">
        <v>24</v>
      </c>
      <c r="G493">
        <f>1</f>
        <v>1</v>
      </c>
      <c r="H493" s="3">
        <v>1711.63</v>
      </c>
      <c r="I493" s="3">
        <v>1951.24</v>
      </c>
      <c r="J493" s="3">
        <f t="shared" si="50"/>
        <v>1521.9672</v>
      </c>
      <c r="K493" s="3">
        <f t="shared" si="51"/>
        <v>42615.081600000005</v>
      </c>
      <c r="L493" s="3">
        <f t="shared" si="54"/>
        <v>47925.64</v>
      </c>
      <c r="M493" s="8">
        <f t="shared" si="55"/>
        <v>-5310.5583999999944</v>
      </c>
      <c r="N493" s="4">
        <f t="shared" si="52"/>
        <v>-0.12461687742022284</v>
      </c>
      <c r="O493" s="4" t="str">
        <f t="shared" si="53"/>
        <v>Loss</v>
      </c>
      <c r="P493" t="s">
        <v>28</v>
      </c>
      <c r="Q493">
        <v>0.22</v>
      </c>
      <c r="R493" t="s">
        <v>16</v>
      </c>
      <c r="S493" t="s">
        <v>17</v>
      </c>
      <c r="T493" t="s">
        <v>47</v>
      </c>
      <c r="U493" t="str">
        <f t="shared" si="56"/>
        <v>Low-Cost</v>
      </c>
    </row>
    <row r="494" spans="1:21" x14ac:dyDescent="0.3">
      <c r="A494">
        <v>1050</v>
      </c>
      <c r="B494" s="1">
        <v>45063</v>
      </c>
      <c r="C494" s="2" t="s">
        <v>12</v>
      </c>
      <c r="D494" t="s">
        <v>13</v>
      </c>
      <c r="E494">
        <v>45</v>
      </c>
      <c r="F494" t="s">
        <v>14</v>
      </c>
      <c r="G494">
        <f>1</f>
        <v>1</v>
      </c>
      <c r="H494" s="3">
        <v>112.35</v>
      </c>
      <c r="I494" s="3">
        <v>586.17999999999995</v>
      </c>
      <c r="J494" s="3">
        <f t="shared" si="50"/>
        <v>422.04959999999994</v>
      </c>
      <c r="K494" s="3">
        <f t="shared" si="51"/>
        <v>18992.232</v>
      </c>
      <c r="L494" s="3">
        <f t="shared" si="54"/>
        <v>5055.75</v>
      </c>
      <c r="M494" s="8">
        <f t="shared" si="55"/>
        <v>13936.482</v>
      </c>
      <c r="N494" s="4">
        <f t="shared" si="52"/>
        <v>0.73379906058434841</v>
      </c>
      <c r="O494" s="4" t="str">
        <f t="shared" si="53"/>
        <v>Profit</v>
      </c>
      <c r="P494" t="s">
        <v>15</v>
      </c>
      <c r="Q494">
        <v>0.28000000000000003</v>
      </c>
      <c r="R494" t="s">
        <v>29</v>
      </c>
      <c r="S494" t="s">
        <v>20</v>
      </c>
      <c r="T494" t="s">
        <v>18</v>
      </c>
      <c r="U494" t="str">
        <f t="shared" si="56"/>
        <v>Low-Cost</v>
      </c>
    </row>
    <row r="495" spans="1:21" x14ac:dyDescent="0.3">
      <c r="A495">
        <v>1050</v>
      </c>
      <c r="B495" s="1">
        <v>45125</v>
      </c>
      <c r="C495" s="2" t="s">
        <v>36</v>
      </c>
      <c r="D495" t="s">
        <v>23</v>
      </c>
      <c r="E495">
        <v>43</v>
      </c>
      <c r="F495" t="s">
        <v>14</v>
      </c>
      <c r="G495">
        <f>1</f>
        <v>1</v>
      </c>
      <c r="H495" s="3">
        <v>4834.47</v>
      </c>
      <c r="I495" s="3">
        <v>4973.38</v>
      </c>
      <c r="J495" s="3">
        <f t="shared" si="50"/>
        <v>4824.1786000000002</v>
      </c>
      <c r="K495" s="3">
        <f t="shared" si="51"/>
        <v>207439.67979999998</v>
      </c>
      <c r="L495" s="3">
        <f t="shared" si="54"/>
        <v>207882.21000000002</v>
      </c>
      <c r="M495" s="8">
        <f t="shared" si="55"/>
        <v>-442.53020000003744</v>
      </c>
      <c r="N495" s="4">
        <f t="shared" si="52"/>
        <v>-2.13329581122906E-3</v>
      </c>
      <c r="O495" s="4" t="str">
        <f t="shared" si="53"/>
        <v>Loss</v>
      </c>
      <c r="P495" t="s">
        <v>15</v>
      </c>
      <c r="Q495">
        <v>0.03</v>
      </c>
      <c r="R495" t="s">
        <v>25</v>
      </c>
      <c r="S495" t="s">
        <v>17</v>
      </c>
      <c r="T495" t="s">
        <v>37</v>
      </c>
      <c r="U495" t="str">
        <f t="shared" si="56"/>
        <v>High-Cost</v>
      </c>
    </row>
    <row r="496" spans="1:21" x14ac:dyDescent="0.3">
      <c r="A496">
        <v>1050</v>
      </c>
      <c r="B496" s="1">
        <v>45065</v>
      </c>
      <c r="C496" s="2" t="s">
        <v>31</v>
      </c>
      <c r="D496" t="s">
        <v>32</v>
      </c>
      <c r="E496">
        <v>35</v>
      </c>
      <c r="F496" t="s">
        <v>27</v>
      </c>
      <c r="G496">
        <f>1</f>
        <v>1</v>
      </c>
      <c r="H496" s="3">
        <v>2158.69</v>
      </c>
      <c r="I496" s="3">
        <v>2384.38</v>
      </c>
      <c r="J496" s="3">
        <f t="shared" si="50"/>
        <v>2169.7858000000001</v>
      </c>
      <c r="K496" s="3">
        <f t="shared" si="51"/>
        <v>75942.503000000012</v>
      </c>
      <c r="L496" s="3">
        <f t="shared" si="54"/>
        <v>75554.150000000009</v>
      </c>
      <c r="M496" s="8">
        <f t="shared" si="55"/>
        <v>388.35300000000279</v>
      </c>
      <c r="N496" s="4">
        <f t="shared" si="52"/>
        <v>5.1137766686463141E-3</v>
      </c>
      <c r="O496" s="4" t="str">
        <f t="shared" si="53"/>
        <v>Profit</v>
      </c>
      <c r="P496" t="s">
        <v>15</v>
      </c>
      <c r="Q496">
        <v>0.09</v>
      </c>
      <c r="R496" t="s">
        <v>25</v>
      </c>
      <c r="S496" t="s">
        <v>20</v>
      </c>
      <c r="T496" t="s">
        <v>34</v>
      </c>
      <c r="U496" t="str">
        <f t="shared" si="56"/>
        <v>Low-Cost</v>
      </c>
    </row>
    <row r="497" spans="1:21" x14ac:dyDescent="0.3">
      <c r="A497">
        <v>1050</v>
      </c>
      <c r="B497" s="1">
        <v>45159</v>
      </c>
      <c r="C497" s="2" t="s">
        <v>22</v>
      </c>
      <c r="D497" t="s">
        <v>13</v>
      </c>
      <c r="E497">
        <v>17</v>
      </c>
      <c r="F497" t="s">
        <v>14</v>
      </c>
      <c r="G497">
        <f>1</f>
        <v>1</v>
      </c>
      <c r="H497" s="3">
        <v>2346.8000000000002</v>
      </c>
      <c r="I497" s="3">
        <v>2654.65</v>
      </c>
      <c r="J497" s="3">
        <f t="shared" si="50"/>
        <v>2309.5455000000002</v>
      </c>
      <c r="K497" s="3">
        <f t="shared" si="51"/>
        <v>39262.273500000003</v>
      </c>
      <c r="L497" s="3">
        <f t="shared" si="54"/>
        <v>39895.600000000006</v>
      </c>
      <c r="M497" s="8">
        <f t="shared" si="55"/>
        <v>-633.32650000000285</v>
      </c>
      <c r="N497" s="4">
        <f t="shared" si="52"/>
        <v>-1.6130662937794544E-2</v>
      </c>
      <c r="O497" s="4" t="str">
        <f t="shared" si="53"/>
        <v>Loss</v>
      </c>
      <c r="P497" t="s">
        <v>28</v>
      </c>
      <c r="Q497">
        <v>0.13</v>
      </c>
      <c r="R497" t="s">
        <v>16</v>
      </c>
      <c r="S497" t="s">
        <v>20</v>
      </c>
      <c r="T497" t="s">
        <v>43</v>
      </c>
      <c r="U497" t="str">
        <f t="shared" si="56"/>
        <v>Low-Cost</v>
      </c>
    </row>
    <row r="498" spans="1:21" x14ac:dyDescent="0.3">
      <c r="A498">
        <v>1050</v>
      </c>
      <c r="B498" s="1">
        <v>45074</v>
      </c>
      <c r="C498" s="2" t="s">
        <v>40</v>
      </c>
      <c r="D498" t="s">
        <v>13</v>
      </c>
      <c r="E498">
        <v>6</v>
      </c>
      <c r="F498" t="s">
        <v>14</v>
      </c>
      <c r="G498">
        <f>1</f>
        <v>1</v>
      </c>
      <c r="H498" s="3">
        <v>3763.26</v>
      </c>
      <c r="I498" s="3">
        <v>4102.72</v>
      </c>
      <c r="J498" s="3">
        <f t="shared" si="50"/>
        <v>3651.4208000000003</v>
      </c>
      <c r="K498" s="3">
        <f t="shared" si="51"/>
        <v>21908.524799999999</v>
      </c>
      <c r="L498" s="3">
        <f t="shared" si="54"/>
        <v>22579.56</v>
      </c>
      <c r="M498" s="8">
        <f t="shared" si="55"/>
        <v>-671.03520000000208</v>
      </c>
      <c r="N498" s="4">
        <f t="shared" si="52"/>
        <v>-3.062895407727325E-2</v>
      </c>
      <c r="O498" s="4" t="str">
        <f t="shared" si="53"/>
        <v>Loss</v>
      </c>
      <c r="P498" t="s">
        <v>28</v>
      </c>
      <c r="Q498">
        <v>0.11</v>
      </c>
      <c r="R498" t="s">
        <v>29</v>
      </c>
      <c r="S498" t="s">
        <v>20</v>
      </c>
      <c r="T498" t="s">
        <v>47</v>
      </c>
      <c r="U498" t="str">
        <f t="shared" si="56"/>
        <v>High-Cost</v>
      </c>
    </row>
    <row r="499" spans="1:21" x14ac:dyDescent="0.3">
      <c r="A499">
        <v>1051</v>
      </c>
      <c r="B499" s="1">
        <v>45048</v>
      </c>
      <c r="C499" s="2" t="s">
        <v>40</v>
      </c>
      <c r="D499" t="s">
        <v>13</v>
      </c>
      <c r="E499">
        <v>34</v>
      </c>
      <c r="F499" t="s">
        <v>14</v>
      </c>
      <c r="G499">
        <f>1</f>
        <v>1</v>
      </c>
      <c r="H499" s="3">
        <v>3764.14</v>
      </c>
      <c r="I499" s="3">
        <v>4100.3999999999996</v>
      </c>
      <c r="J499" s="3">
        <f t="shared" si="50"/>
        <v>3895.3799999999997</v>
      </c>
      <c r="K499" s="3">
        <f t="shared" si="51"/>
        <v>132442.91999999998</v>
      </c>
      <c r="L499" s="3">
        <f t="shared" si="54"/>
        <v>127980.76</v>
      </c>
      <c r="M499" s="8">
        <f t="shared" si="55"/>
        <v>4462.1599999999889</v>
      </c>
      <c r="N499" s="4">
        <f t="shared" si="52"/>
        <v>3.3691193157021827E-2</v>
      </c>
      <c r="O499" s="4" t="str">
        <f t="shared" si="53"/>
        <v>Profit</v>
      </c>
      <c r="P499" t="s">
        <v>15</v>
      </c>
      <c r="Q499">
        <v>0.05</v>
      </c>
      <c r="R499" t="s">
        <v>25</v>
      </c>
      <c r="S499" t="s">
        <v>20</v>
      </c>
      <c r="T499" t="s">
        <v>47</v>
      </c>
      <c r="U499" t="str">
        <f t="shared" si="56"/>
        <v>High-Cost</v>
      </c>
    </row>
    <row r="500" spans="1:21" x14ac:dyDescent="0.3">
      <c r="A500">
        <v>1051</v>
      </c>
      <c r="B500" s="1">
        <v>44930</v>
      </c>
      <c r="C500" s="2" t="s">
        <v>36</v>
      </c>
      <c r="D500" t="s">
        <v>13</v>
      </c>
      <c r="E500">
        <v>14</v>
      </c>
      <c r="F500" t="s">
        <v>33</v>
      </c>
      <c r="G500">
        <f>1</f>
        <v>1</v>
      </c>
      <c r="H500" s="3">
        <v>3686.81</v>
      </c>
      <c r="I500" s="3">
        <v>3710.92</v>
      </c>
      <c r="J500" s="3">
        <f t="shared" si="50"/>
        <v>3339.828</v>
      </c>
      <c r="K500" s="3">
        <f t="shared" si="51"/>
        <v>46757.592000000004</v>
      </c>
      <c r="L500" s="3">
        <f t="shared" si="54"/>
        <v>51615.34</v>
      </c>
      <c r="M500" s="8">
        <f t="shared" si="55"/>
        <v>-4857.7479999999923</v>
      </c>
      <c r="N500" s="4">
        <f t="shared" si="52"/>
        <v>-0.10389217648333969</v>
      </c>
      <c r="O500" s="4" t="str">
        <f t="shared" si="53"/>
        <v>Loss</v>
      </c>
      <c r="P500" t="s">
        <v>28</v>
      </c>
      <c r="Q500">
        <v>0.1</v>
      </c>
      <c r="R500" t="s">
        <v>25</v>
      </c>
      <c r="S500" t="s">
        <v>20</v>
      </c>
      <c r="T500" t="s">
        <v>38</v>
      </c>
      <c r="U500" t="str">
        <f t="shared" si="56"/>
        <v>High-Cost</v>
      </c>
    </row>
    <row r="501" spans="1:21" x14ac:dyDescent="0.3">
      <c r="A501">
        <v>1051</v>
      </c>
      <c r="B501" s="1">
        <v>45020</v>
      </c>
      <c r="C501" s="2" t="s">
        <v>12</v>
      </c>
      <c r="D501" t="s">
        <v>32</v>
      </c>
      <c r="E501">
        <v>12</v>
      </c>
      <c r="F501" t="s">
        <v>33</v>
      </c>
      <c r="G501">
        <f>1</f>
        <v>1</v>
      </c>
      <c r="H501" s="3">
        <v>3544.48</v>
      </c>
      <c r="I501" s="3">
        <v>3723.66</v>
      </c>
      <c r="J501" s="3">
        <f t="shared" si="50"/>
        <v>3016.1646000000001</v>
      </c>
      <c r="K501" s="3">
        <f t="shared" si="51"/>
        <v>36193.975200000001</v>
      </c>
      <c r="L501" s="3">
        <f t="shared" si="54"/>
        <v>42533.760000000002</v>
      </c>
      <c r="M501" s="8">
        <f t="shared" si="55"/>
        <v>-6339.7848000000013</v>
      </c>
      <c r="N501" s="4">
        <f t="shared" si="52"/>
        <v>-0.17516132906009177</v>
      </c>
      <c r="O501" s="4" t="str">
        <f t="shared" si="53"/>
        <v>Loss</v>
      </c>
      <c r="P501" t="s">
        <v>15</v>
      </c>
      <c r="Q501">
        <v>0.19</v>
      </c>
      <c r="R501" t="s">
        <v>16</v>
      </c>
      <c r="S501" t="s">
        <v>17</v>
      </c>
      <c r="T501" t="s">
        <v>44</v>
      </c>
      <c r="U501" t="str">
        <f t="shared" si="56"/>
        <v>High-Cost</v>
      </c>
    </row>
    <row r="502" spans="1:21" x14ac:dyDescent="0.3">
      <c r="A502">
        <v>1051</v>
      </c>
      <c r="B502" s="1">
        <v>45023</v>
      </c>
      <c r="C502" s="2" t="s">
        <v>40</v>
      </c>
      <c r="D502" t="s">
        <v>19</v>
      </c>
      <c r="E502">
        <v>23</v>
      </c>
      <c r="F502" t="s">
        <v>33</v>
      </c>
      <c r="G502">
        <f>1</f>
        <v>1</v>
      </c>
      <c r="H502" s="3">
        <v>3325.43</v>
      </c>
      <c r="I502" s="3">
        <v>3401.1</v>
      </c>
      <c r="J502" s="3">
        <f t="shared" si="50"/>
        <v>3060.99</v>
      </c>
      <c r="K502" s="3">
        <f t="shared" si="51"/>
        <v>70402.77</v>
      </c>
      <c r="L502" s="3">
        <f t="shared" si="54"/>
        <v>76484.89</v>
      </c>
      <c r="M502" s="8">
        <f t="shared" si="55"/>
        <v>-6082.1199999999953</v>
      </c>
      <c r="N502" s="4">
        <f t="shared" si="52"/>
        <v>-8.6390350834207166E-2</v>
      </c>
      <c r="O502" s="4" t="str">
        <f t="shared" si="53"/>
        <v>Loss</v>
      </c>
      <c r="P502" t="s">
        <v>28</v>
      </c>
      <c r="Q502">
        <v>0.1</v>
      </c>
      <c r="R502" t="s">
        <v>16</v>
      </c>
      <c r="S502" t="s">
        <v>17</v>
      </c>
      <c r="T502" t="s">
        <v>49</v>
      </c>
      <c r="U502" t="str">
        <f t="shared" si="56"/>
        <v>High-Cost</v>
      </c>
    </row>
    <row r="503" spans="1:21" x14ac:dyDescent="0.3">
      <c r="A503">
        <v>1051</v>
      </c>
      <c r="B503" s="1">
        <v>45206</v>
      </c>
      <c r="C503" s="2" t="s">
        <v>12</v>
      </c>
      <c r="D503" t="s">
        <v>19</v>
      </c>
      <c r="E503">
        <v>3</v>
      </c>
      <c r="F503" t="s">
        <v>14</v>
      </c>
      <c r="G503">
        <f>1</f>
        <v>1</v>
      </c>
      <c r="H503" s="3">
        <v>3434.75</v>
      </c>
      <c r="I503" s="3">
        <v>3659.42</v>
      </c>
      <c r="J503" s="3">
        <f t="shared" si="50"/>
        <v>3073.9128000000001</v>
      </c>
      <c r="K503" s="3">
        <f t="shared" si="51"/>
        <v>9221.7384000000002</v>
      </c>
      <c r="L503" s="3">
        <f t="shared" si="54"/>
        <v>10304.25</v>
      </c>
      <c r="M503" s="8">
        <f t="shared" si="55"/>
        <v>-1082.5115999999998</v>
      </c>
      <c r="N503" s="4">
        <f t="shared" si="52"/>
        <v>-0.11738693433333565</v>
      </c>
      <c r="O503" s="4" t="str">
        <f t="shared" si="53"/>
        <v>Loss</v>
      </c>
      <c r="P503" t="s">
        <v>28</v>
      </c>
      <c r="Q503">
        <v>0.16</v>
      </c>
      <c r="R503" t="s">
        <v>16</v>
      </c>
      <c r="S503" t="s">
        <v>17</v>
      </c>
      <c r="T503" t="s">
        <v>21</v>
      </c>
      <c r="U503" t="str">
        <f t="shared" si="56"/>
        <v>High-Cost</v>
      </c>
    </row>
    <row r="504" spans="1:21" x14ac:dyDescent="0.3">
      <c r="A504">
        <v>1051</v>
      </c>
      <c r="B504" s="1">
        <v>44935</v>
      </c>
      <c r="C504" s="2" t="s">
        <v>22</v>
      </c>
      <c r="D504" t="s">
        <v>23</v>
      </c>
      <c r="E504">
        <v>23</v>
      </c>
      <c r="F504" t="s">
        <v>14</v>
      </c>
      <c r="G504">
        <f>1</f>
        <v>1</v>
      </c>
      <c r="H504" s="3">
        <v>2598.1799999999998</v>
      </c>
      <c r="I504" s="3">
        <v>3042.73</v>
      </c>
      <c r="J504" s="3">
        <f t="shared" si="50"/>
        <v>2312.4748</v>
      </c>
      <c r="K504" s="3">
        <f t="shared" si="51"/>
        <v>53186.920399999995</v>
      </c>
      <c r="L504" s="3">
        <f t="shared" si="54"/>
        <v>59758.14</v>
      </c>
      <c r="M504" s="8">
        <f t="shared" si="55"/>
        <v>-6571.219600000004</v>
      </c>
      <c r="N504" s="4">
        <f t="shared" si="52"/>
        <v>-0.12354954095067336</v>
      </c>
      <c r="O504" s="4" t="str">
        <f t="shared" si="53"/>
        <v>Loss</v>
      </c>
      <c r="P504" t="s">
        <v>15</v>
      </c>
      <c r="Q504">
        <v>0.24</v>
      </c>
      <c r="R504" t="s">
        <v>29</v>
      </c>
      <c r="S504" t="s">
        <v>17</v>
      </c>
      <c r="T504" t="s">
        <v>26</v>
      </c>
      <c r="U504" t="str">
        <f t="shared" si="56"/>
        <v>High-Cost</v>
      </c>
    </row>
    <row r="505" spans="1:21" x14ac:dyDescent="0.3">
      <c r="A505">
        <v>1051</v>
      </c>
      <c r="B505" s="1">
        <v>45057</v>
      </c>
      <c r="C505" s="2" t="s">
        <v>12</v>
      </c>
      <c r="D505" t="s">
        <v>13</v>
      </c>
      <c r="E505">
        <v>36</v>
      </c>
      <c r="F505" t="s">
        <v>24</v>
      </c>
      <c r="G505">
        <f>1</f>
        <v>1</v>
      </c>
      <c r="H505" s="3">
        <v>4418.95</v>
      </c>
      <c r="I505" s="3">
        <v>4647.87</v>
      </c>
      <c r="J505" s="3">
        <f t="shared" si="50"/>
        <v>4461.9551999999994</v>
      </c>
      <c r="K505" s="3">
        <f t="shared" si="51"/>
        <v>160630.3872</v>
      </c>
      <c r="L505" s="3">
        <f t="shared" si="54"/>
        <v>159082.19999999998</v>
      </c>
      <c r="M505" s="8">
        <f t="shared" si="55"/>
        <v>1548.1872000000149</v>
      </c>
      <c r="N505" s="4">
        <f t="shared" si="52"/>
        <v>9.6381962777215731E-3</v>
      </c>
      <c r="O505" s="4" t="str">
        <f t="shared" si="53"/>
        <v>Profit</v>
      </c>
      <c r="P505" t="s">
        <v>28</v>
      </c>
      <c r="Q505">
        <v>0.04</v>
      </c>
      <c r="R505" t="s">
        <v>25</v>
      </c>
      <c r="S505" t="s">
        <v>17</v>
      </c>
      <c r="T505" t="s">
        <v>18</v>
      </c>
      <c r="U505" t="str">
        <f t="shared" si="56"/>
        <v>High-Cost</v>
      </c>
    </row>
    <row r="506" spans="1:21" x14ac:dyDescent="0.3">
      <c r="A506">
        <v>1051</v>
      </c>
      <c r="B506" s="1">
        <v>45272</v>
      </c>
      <c r="C506" s="2" t="s">
        <v>36</v>
      </c>
      <c r="D506" t="s">
        <v>13</v>
      </c>
      <c r="E506">
        <v>8</v>
      </c>
      <c r="F506" t="s">
        <v>27</v>
      </c>
      <c r="G506">
        <f>1</f>
        <v>1</v>
      </c>
      <c r="H506" s="3">
        <v>467.11</v>
      </c>
      <c r="I506" s="3">
        <v>792.21</v>
      </c>
      <c r="J506" s="3">
        <f t="shared" si="50"/>
        <v>633.76800000000003</v>
      </c>
      <c r="K506" s="3">
        <f t="shared" si="51"/>
        <v>5070.1440000000002</v>
      </c>
      <c r="L506" s="3">
        <f t="shared" si="54"/>
        <v>3736.88</v>
      </c>
      <c r="M506" s="8">
        <f t="shared" si="55"/>
        <v>1333.2640000000001</v>
      </c>
      <c r="N506" s="4">
        <f t="shared" si="52"/>
        <v>0.26296373436336329</v>
      </c>
      <c r="O506" s="4" t="str">
        <f t="shared" si="53"/>
        <v>Profit</v>
      </c>
      <c r="P506" t="s">
        <v>28</v>
      </c>
      <c r="Q506">
        <v>0.2</v>
      </c>
      <c r="R506" t="s">
        <v>29</v>
      </c>
      <c r="S506" t="s">
        <v>17</v>
      </c>
      <c r="T506" t="s">
        <v>38</v>
      </c>
      <c r="U506" t="str">
        <f t="shared" si="56"/>
        <v>Low-Cost</v>
      </c>
    </row>
    <row r="507" spans="1:21" x14ac:dyDescent="0.3">
      <c r="A507">
        <v>1051</v>
      </c>
      <c r="B507" s="1">
        <v>45245</v>
      </c>
      <c r="C507" s="2" t="s">
        <v>40</v>
      </c>
      <c r="D507" t="s">
        <v>13</v>
      </c>
      <c r="E507">
        <v>23</v>
      </c>
      <c r="F507" t="s">
        <v>33</v>
      </c>
      <c r="G507">
        <f>1</f>
        <v>1</v>
      </c>
      <c r="H507" s="3">
        <v>1676.42</v>
      </c>
      <c r="I507" s="3">
        <v>2082.52</v>
      </c>
      <c r="J507" s="3">
        <f t="shared" si="50"/>
        <v>1770.1419999999998</v>
      </c>
      <c r="K507" s="3">
        <f t="shared" si="51"/>
        <v>40713.265999999996</v>
      </c>
      <c r="L507" s="3">
        <f t="shared" si="54"/>
        <v>38557.660000000003</v>
      </c>
      <c r="M507" s="8">
        <f t="shared" si="55"/>
        <v>2155.6059999999925</v>
      </c>
      <c r="N507" s="4">
        <f t="shared" si="52"/>
        <v>5.2946034837882884E-2</v>
      </c>
      <c r="O507" s="4" t="str">
        <f t="shared" si="53"/>
        <v>Profit</v>
      </c>
      <c r="P507" t="s">
        <v>28</v>
      </c>
      <c r="Q507">
        <v>0.15</v>
      </c>
      <c r="R507" t="s">
        <v>25</v>
      </c>
      <c r="S507" t="s">
        <v>20</v>
      </c>
      <c r="T507" t="s">
        <v>47</v>
      </c>
      <c r="U507" t="str">
        <f t="shared" si="56"/>
        <v>Low-Cost</v>
      </c>
    </row>
    <row r="508" spans="1:21" x14ac:dyDescent="0.3">
      <c r="A508">
        <v>1051</v>
      </c>
      <c r="B508" s="1">
        <v>45215</v>
      </c>
      <c r="C508" s="2" t="s">
        <v>40</v>
      </c>
      <c r="D508" t="s">
        <v>19</v>
      </c>
      <c r="E508">
        <v>43</v>
      </c>
      <c r="F508" t="s">
        <v>27</v>
      </c>
      <c r="G508">
        <f>1</f>
        <v>1</v>
      </c>
      <c r="H508" s="3">
        <v>287.99</v>
      </c>
      <c r="I508" s="3">
        <v>666.64</v>
      </c>
      <c r="J508" s="3">
        <f t="shared" si="50"/>
        <v>666.64</v>
      </c>
      <c r="K508" s="3">
        <f t="shared" si="51"/>
        <v>28665.52</v>
      </c>
      <c r="L508" s="3">
        <f t="shared" si="54"/>
        <v>12383.57</v>
      </c>
      <c r="M508" s="8">
        <f t="shared" si="55"/>
        <v>16281.95</v>
      </c>
      <c r="N508" s="4">
        <f t="shared" si="52"/>
        <v>0.56799771990879633</v>
      </c>
      <c r="O508" s="4" t="str">
        <f t="shared" si="53"/>
        <v>Profit</v>
      </c>
      <c r="P508" t="s">
        <v>15</v>
      </c>
      <c r="Q508">
        <v>0</v>
      </c>
      <c r="R508" t="s">
        <v>25</v>
      </c>
      <c r="S508" t="s">
        <v>17</v>
      </c>
      <c r="T508" t="s">
        <v>49</v>
      </c>
      <c r="U508" t="str">
        <f t="shared" si="56"/>
        <v>Low-Cost</v>
      </c>
    </row>
    <row r="509" spans="1:21" x14ac:dyDescent="0.3">
      <c r="A509">
        <v>1051</v>
      </c>
      <c r="B509" s="1">
        <v>45246</v>
      </c>
      <c r="C509" s="2" t="s">
        <v>12</v>
      </c>
      <c r="D509" t="s">
        <v>19</v>
      </c>
      <c r="E509">
        <v>31</v>
      </c>
      <c r="F509" t="s">
        <v>14</v>
      </c>
      <c r="G509">
        <f>1</f>
        <v>1</v>
      </c>
      <c r="H509" s="3">
        <v>144.88</v>
      </c>
      <c r="I509" s="3">
        <v>175.29</v>
      </c>
      <c r="J509" s="3">
        <f t="shared" si="50"/>
        <v>163.01969999999997</v>
      </c>
      <c r="K509" s="3">
        <f t="shared" si="51"/>
        <v>5053.6106999999993</v>
      </c>
      <c r="L509" s="3">
        <f t="shared" si="54"/>
        <v>4491.28</v>
      </c>
      <c r="M509" s="8">
        <f t="shared" si="55"/>
        <v>562.33069999999952</v>
      </c>
      <c r="N509" s="4">
        <f t="shared" si="52"/>
        <v>0.11127305472896826</v>
      </c>
      <c r="O509" s="4" t="str">
        <f t="shared" si="53"/>
        <v>Profit</v>
      </c>
      <c r="P509" t="s">
        <v>28</v>
      </c>
      <c r="Q509">
        <v>7.0000000000000007E-2</v>
      </c>
      <c r="R509" t="s">
        <v>25</v>
      </c>
      <c r="S509" t="s">
        <v>17</v>
      </c>
      <c r="T509" t="s">
        <v>21</v>
      </c>
      <c r="U509" t="str">
        <f t="shared" si="56"/>
        <v>Low-Cost</v>
      </c>
    </row>
    <row r="510" spans="1:21" x14ac:dyDescent="0.3">
      <c r="A510">
        <v>1051</v>
      </c>
      <c r="B510" s="1">
        <v>45256</v>
      </c>
      <c r="C510" s="2" t="s">
        <v>36</v>
      </c>
      <c r="D510" t="s">
        <v>23</v>
      </c>
      <c r="E510">
        <v>8</v>
      </c>
      <c r="F510" t="s">
        <v>24</v>
      </c>
      <c r="G510">
        <f>1</f>
        <v>1</v>
      </c>
      <c r="H510" s="3">
        <v>3970.37</v>
      </c>
      <c r="I510" s="3">
        <v>4257.5200000000004</v>
      </c>
      <c r="J510" s="3">
        <f t="shared" si="50"/>
        <v>3789.1928000000003</v>
      </c>
      <c r="K510" s="3">
        <f t="shared" si="51"/>
        <v>30313.542400000002</v>
      </c>
      <c r="L510" s="3">
        <f t="shared" si="54"/>
        <v>31762.959999999999</v>
      </c>
      <c r="M510" s="8">
        <f t="shared" si="55"/>
        <v>-1449.417599999997</v>
      </c>
      <c r="N510" s="4">
        <f t="shared" si="52"/>
        <v>-4.7814194094319931E-2</v>
      </c>
      <c r="O510" s="4" t="str">
        <f t="shared" si="53"/>
        <v>Loss</v>
      </c>
      <c r="P510" t="s">
        <v>28</v>
      </c>
      <c r="Q510">
        <v>0.11</v>
      </c>
      <c r="R510" t="s">
        <v>16</v>
      </c>
      <c r="S510" t="s">
        <v>20</v>
      </c>
      <c r="T510" t="s">
        <v>37</v>
      </c>
      <c r="U510" t="str">
        <f t="shared" si="56"/>
        <v>High-Cost</v>
      </c>
    </row>
    <row r="511" spans="1:21" x14ac:dyDescent="0.3">
      <c r="A511">
        <v>1051</v>
      </c>
      <c r="B511" s="1">
        <v>45046</v>
      </c>
      <c r="C511" s="2" t="s">
        <v>12</v>
      </c>
      <c r="D511" t="s">
        <v>19</v>
      </c>
      <c r="E511">
        <v>3</v>
      </c>
      <c r="F511" t="s">
        <v>24</v>
      </c>
      <c r="G511">
        <f>1</f>
        <v>1</v>
      </c>
      <c r="H511" s="3">
        <v>1000.18</v>
      </c>
      <c r="I511" s="3">
        <v>1023.64</v>
      </c>
      <c r="J511" s="3">
        <f t="shared" si="50"/>
        <v>982.69439999999997</v>
      </c>
      <c r="K511" s="3">
        <f t="shared" si="51"/>
        <v>2948.0832</v>
      </c>
      <c r="L511" s="3">
        <f t="shared" si="54"/>
        <v>3000.54</v>
      </c>
      <c r="M511" s="8">
        <f t="shared" si="55"/>
        <v>-52.45679999999993</v>
      </c>
      <c r="N511" s="4">
        <f t="shared" si="52"/>
        <v>-1.7793527672489002E-2</v>
      </c>
      <c r="O511" s="4" t="str">
        <f t="shared" si="53"/>
        <v>Loss</v>
      </c>
      <c r="P511" t="s">
        <v>15</v>
      </c>
      <c r="Q511">
        <v>0.04</v>
      </c>
      <c r="R511" t="s">
        <v>29</v>
      </c>
      <c r="S511" t="s">
        <v>17</v>
      </c>
      <c r="T511" t="s">
        <v>21</v>
      </c>
      <c r="U511" t="str">
        <f t="shared" si="56"/>
        <v>Low-Cost</v>
      </c>
    </row>
    <row r="512" spans="1:21" x14ac:dyDescent="0.3">
      <c r="A512">
        <v>1052</v>
      </c>
      <c r="B512" s="1">
        <v>44960</v>
      </c>
      <c r="C512" s="2" t="s">
        <v>12</v>
      </c>
      <c r="D512" t="s">
        <v>13</v>
      </c>
      <c r="E512">
        <v>18</v>
      </c>
      <c r="F512" t="s">
        <v>14</v>
      </c>
      <c r="G512">
        <f>1</f>
        <v>1</v>
      </c>
      <c r="H512" s="3">
        <v>152.75</v>
      </c>
      <c r="I512" s="3">
        <v>267.22000000000003</v>
      </c>
      <c r="J512" s="3">
        <f t="shared" si="50"/>
        <v>243.17020000000002</v>
      </c>
      <c r="K512" s="3">
        <f t="shared" si="51"/>
        <v>4377.0636000000013</v>
      </c>
      <c r="L512" s="3">
        <f t="shared" si="54"/>
        <v>2749.5</v>
      </c>
      <c r="M512" s="8">
        <f t="shared" si="55"/>
        <v>1627.5636000000013</v>
      </c>
      <c r="N512" s="4">
        <f t="shared" si="52"/>
        <v>0.37183914805350343</v>
      </c>
      <c r="O512" s="4" t="str">
        <f t="shared" si="53"/>
        <v>Profit</v>
      </c>
      <c r="P512" t="s">
        <v>15</v>
      </c>
      <c r="Q512">
        <v>0.09</v>
      </c>
      <c r="R512" t="s">
        <v>16</v>
      </c>
      <c r="S512" t="s">
        <v>17</v>
      </c>
      <c r="T512" t="s">
        <v>18</v>
      </c>
      <c r="U512" t="str">
        <f t="shared" si="56"/>
        <v>Low-Cost</v>
      </c>
    </row>
    <row r="513" spans="1:21" x14ac:dyDescent="0.3">
      <c r="A513">
        <v>1052</v>
      </c>
      <c r="B513" s="1">
        <v>44931</v>
      </c>
      <c r="C513" s="2" t="s">
        <v>12</v>
      </c>
      <c r="D513" t="s">
        <v>13</v>
      </c>
      <c r="E513">
        <v>11</v>
      </c>
      <c r="F513" t="s">
        <v>27</v>
      </c>
      <c r="G513">
        <f>1</f>
        <v>1</v>
      </c>
      <c r="H513" s="3">
        <v>3451.59</v>
      </c>
      <c r="I513" s="3">
        <v>3929.26</v>
      </c>
      <c r="J513" s="3">
        <f t="shared" si="50"/>
        <v>2750.482</v>
      </c>
      <c r="K513" s="3">
        <f t="shared" si="51"/>
        <v>30255.302</v>
      </c>
      <c r="L513" s="3">
        <f t="shared" si="54"/>
        <v>37967.490000000005</v>
      </c>
      <c r="M513" s="8">
        <f t="shared" si="55"/>
        <v>-7712.1880000000056</v>
      </c>
      <c r="N513" s="4">
        <f t="shared" si="52"/>
        <v>-0.25490368597213164</v>
      </c>
      <c r="O513" s="4" t="str">
        <f t="shared" si="53"/>
        <v>Loss</v>
      </c>
      <c r="P513" t="s">
        <v>28</v>
      </c>
      <c r="Q513">
        <v>0.3</v>
      </c>
      <c r="R513" t="s">
        <v>29</v>
      </c>
      <c r="S513" t="s">
        <v>20</v>
      </c>
      <c r="T513" t="s">
        <v>18</v>
      </c>
      <c r="U513" t="str">
        <f t="shared" si="56"/>
        <v>High-Cost</v>
      </c>
    </row>
    <row r="514" spans="1:21" x14ac:dyDescent="0.3">
      <c r="A514">
        <v>1052</v>
      </c>
      <c r="B514" s="1">
        <v>45021</v>
      </c>
      <c r="C514" s="2" t="s">
        <v>31</v>
      </c>
      <c r="D514" t="s">
        <v>23</v>
      </c>
      <c r="E514">
        <v>26</v>
      </c>
      <c r="F514" t="s">
        <v>27</v>
      </c>
      <c r="G514">
        <f>1</f>
        <v>1</v>
      </c>
      <c r="H514" s="3">
        <v>4771.99</v>
      </c>
      <c r="I514" s="3">
        <v>5079.6499999999996</v>
      </c>
      <c r="J514" s="3">
        <f t="shared" ref="J514:J577" si="57">I514*(1-Q514)</f>
        <v>3606.5514999999996</v>
      </c>
      <c r="K514" s="3">
        <f t="shared" ref="K514:K577" si="58">E514*I514*(1-Q514)</f>
        <v>93770.338999999993</v>
      </c>
      <c r="L514" s="3">
        <f t="shared" si="54"/>
        <v>124071.73999999999</v>
      </c>
      <c r="M514" s="8">
        <f t="shared" si="55"/>
        <v>-30301.400999999998</v>
      </c>
      <c r="N514" s="4">
        <f t="shared" ref="N514:N577" si="59">(M514/K514)</f>
        <v>-0.32314483794283821</v>
      </c>
      <c r="O514" s="4" t="str">
        <f t="shared" ref="O514:O577" si="60">IF(M514&lt;0,"Loss","Profit")</f>
        <v>Loss</v>
      </c>
      <c r="P514" t="s">
        <v>28</v>
      </c>
      <c r="Q514">
        <v>0.28999999999999998</v>
      </c>
      <c r="R514" t="s">
        <v>29</v>
      </c>
      <c r="S514" t="s">
        <v>17</v>
      </c>
      <c r="T514" t="s">
        <v>42</v>
      </c>
      <c r="U514" t="str">
        <f t="shared" si="56"/>
        <v>High-Cost</v>
      </c>
    </row>
    <row r="515" spans="1:21" x14ac:dyDescent="0.3">
      <c r="A515">
        <v>1052</v>
      </c>
      <c r="B515" s="1">
        <v>45238</v>
      </c>
      <c r="C515" s="2" t="s">
        <v>31</v>
      </c>
      <c r="D515" t="s">
        <v>32</v>
      </c>
      <c r="E515">
        <v>18</v>
      </c>
      <c r="F515" t="s">
        <v>14</v>
      </c>
      <c r="G515">
        <f>1</f>
        <v>1</v>
      </c>
      <c r="H515" s="3">
        <v>3271.62</v>
      </c>
      <c r="I515" s="3">
        <v>3722.38</v>
      </c>
      <c r="J515" s="3">
        <f t="shared" si="57"/>
        <v>3015.1278000000002</v>
      </c>
      <c r="K515" s="3">
        <f t="shared" si="58"/>
        <v>54272.3004</v>
      </c>
      <c r="L515" s="3">
        <f t="shared" ref="L515:L578" si="61">H515*E515</f>
        <v>58889.159999999996</v>
      </c>
      <c r="M515" s="8">
        <f t="shared" ref="M515:M578" si="62">K515-L515</f>
        <v>-4616.8595999999961</v>
      </c>
      <c r="N515" s="4">
        <f t="shared" si="59"/>
        <v>-8.5068433915139449E-2</v>
      </c>
      <c r="O515" s="4" t="str">
        <f t="shared" si="60"/>
        <v>Loss</v>
      </c>
      <c r="P515" t="s">
        <v>15</v>
      </c>
      <c r="Q515">
        <v>0.19</v>
      </c>
      <c r="R515" t="s">
        <v>25</v>
      </c>
      <c r="S515" t="s">
        <v>20</v>
      </c>
      <c r="T515" t="s">
        <v>34</v>
      </c>
      <c r="U515" t="str">
        <f t="shared" si="56"/>
        <v>High-Cost</v>
      </c>
    </row>
    <row r="516" spans="1:21" x14ac:dyDescent="0.3">
      <c r="A516">
        <v>1052</v>
      </c>
      <c r="B516" s="1">
        <v>45208</v>
      </c>
      <c r="C516" s="2" t="s">
        <v>22</v>
      </c>
      <c r="D516" t="s">
        <v>19</v>
      </c>
      <c r="E516">
        <v>41</v>
      </c>
      <c r="F516" t="s">
        <v>33</v>
      </c>
      <c r="G516">
        <f>1</f>
        <v>1</v>
      </c>
      <c r="H516" s="3">
        <v>1509.98</v>
      </c>
      <c r="I516" s="3">
        <v>1792.83</v>
      </c>
      <c r="J516" s="3">
        <f t="shared" si="57"/>
        <v>1721.1167999999998</v>
      </c>
      <c r="K516" s="3">
        <f t="shared" si="58"/>
        <v>70565.788799999995</v>
      </c>
      <c r="L516" s="3">
        <f t="shared" si="61"/>
        <v>61909.18</v>
      </c>
      <c r="M516" s="8">
        <f t="shared" si="62"/>
        <v>8656.6087999999945</v>
      </c>
      <c r="N516" s="4">
        <f t="shared" si="59"/>
        <v>0.12267430077958677</v>
      </c>
      <c r="O516" s="4" t="str">
        <f t="shared" si="60"/>
        <v>Profit</v>
      </c>
      <c r="P516" t="s">
        <v>28</v>
      </c>
      <c r="Q516">
        <v>0.04</v>
      </c>
      <c r="R516" t="s">
        <v>16</v>
      </c>
      <c r="S516" t="s">
        <v>20</v>
      </c>
      <c r="T516" t="s">
        <v>45</v>
      </c>
      <c r="U516" t="str">
        <f t="shared" si="56"/>
        <v>Low-Cost</v>
      </c>
    </row>
    <row r="517" spans="1:21" x14ac:dyDescent="0.3">
      <c r="A517">
        <v>1052</v>
      </c>
      <c r="B517" s="1">
        <v>45211</v>
      </c>
      <c r="C517" s="2" t="s">
        <v>22</v>
      </c>
      <c r="D517" t="s">
        <v>13</v>
      </c>
      <c r="E517">
        <v>46</v>
      </c>
      <c r="F517" t="s">
        <v>33</v>
      </c>
      <c r="G517">
        <f>1</f>
        <v>1</v>
      </c>
      <c r="H517" s="3">
        <v>3136.42</v>
      </c>
      <c r="I517" s="3">
        <v>3198.49</v>
      </c>
      <c r="J517" s="3">
        <f t="shared" si="57"/>
        <v>2270.9278999999997</v>
      </c>
      <c r="K517" s="3">
        <f t="shared" si="58"/>
        <v>104462.68339999998</v>
      </c>
      <c r="L517" s="3">
        <f t="shared" si="61"/>
        <v>144275.32</v>
      </c>
      <c r="M517" s="8">
        <f t="shared" si="62"/>
        <v>-39812.636600000027</v>
      </c>
      <c r="N517" s="4">
        <f t="shared" si="59"/>
        <v>-0.38111826447682501</v>
      </c>
      <c r="O517" s="4" t="str">
        <f t="shared" si="60"/>
        <v>Loss</v>
      </c>
      <c r="P517" t="s">
        <v>15</v>
      </c>
      <c r="Q517">
        <v>0.28999999999999998</v>
      </c>
      <c r="R517" t="s">
        <v>16</v>
      </c>
      <c r="S517" t="s">
        <v>20</v>
      </c>
      <c r="T517" t="s">
        <v>43</v>
      </c>
      <c r="U517" t="str">
        <f t="shared" si="56"/>
        <v>High-Cost</v>
      </c>
    </row>
    <row r="518" spans="1:21" x14ac:dyDescent="0.3">
      <c r="A518">
        <v>1052</v>
      </c>
      <c r="B518" s="1">
        <v>45030</v>
      </c>
      <c r="C518" s="2" t="s">
        <v>22</v>
      </c>
      <c r="D518" t="s">
        <v>13</v>
      </c>
      <c r="E518">
        <v>5</v>
      </c>
      <c r="F518" t="s">
        <v>14</v>
      </c>
      <c r="G518">
        <f>1</f>
        <v>1</v>
      </c>
      <c r="H518" s="3">
        <v>745.71</v>
      </c>
      <c r="I518" s="3">
        <v>856.91</v>
      </c>
      <c r="J518" s="3">
        <f t="shared" si="57"/>
        <v>659.82069999999999</v>
      </c>
      <c r="K518" s="3">
        <f t="shared" si="58"/>
        <v>3299.1035000000002</v>
      </c>
      <c r="L518" s="3">
        <f t="shared" si="61"/>
        <v>3728.55</v>
      </c>
      <c r="M518" s="8">
        <f t="shared" si="62"/>
        <v>-429.44650000000001</v>
      </c>
      <c r="N518" s="4">
        <f t="shared" si="59"/>
        <v>-0.13017066606124966</v>
      </c>
      <c r="O518" s="4" t="str">
        <f t="shared" si="60"/>
        <v>Loss</v>
      </c>
      <c r="P518" t="s">
        <v>15</v>
      </c>
      <c r="Q518">
        <v>0.23</v>
      </c>
      <c r="R518" t="s">
        <v>25</v>
      </c>
      <c r="S518" t="s">
        <v>20</v>
      </c>
      <c r="T518" t="s">
        <v>43</v>
      </c>
      <c r="U518" t="str">
        <f t="shared" si="56"/>
        <v>Low-Cost</v>
      </c>
    </row>
    <row r="519" spans="1:21" x14ac:dyDescent="0.3">
      <c r="A519">
        <v>1052</v>
      </c>
      <c r="B519" s="1">
        <v>45122</v>
      </c>
      <c r="C519" s="2" t="s">
        <v>31</v>
      </c>
      <c r="D519" t="s">
        <v>32</v>
      </c>
      <c r="E519">
        <v>48</v>
      </c>
      <c r="F519" t="s">
        <v>24</v>
      </c>
      <c r="G519">
        <f>1</f>
        <v>1</v>
      </c>
      <c r="H519" s="3">
        <v>3002.35</v>
      </c>
      <c r="I519" s="3">
        <v>3080.61</v>
      </c>
      <c r="J519" s="3">
        <f t="shared" si="57"/>
        <v>2526.1002000000003</v>
      </c>
      <c r="K519" s="3">
        <f t="shared" si="58"/>
        <v>121252.80960000001</v>
      </c>
      <c r="L519" s="3">
        <f t="shared" si="61"/>
        <v>144112.79999999999</v>
      </c>
      <c r="M519" s="8">
        <f t="shared" si="62"/>
        <v>-22859.990399999981</v>
      </c>
      <c r="N519" s="4">
        <f t="shared" si="59"/>
        <v>-0.18853163465170525</v>
      </c>
      <c r="O519" s="4" t="str">
        <f t="shared" si="60"/>
        <v>Loss</v>
      </c>
      <c r="P519" t="s">
        <v>15</v>
      </c>
      <c r="Q519">
        <v>0.18</v>
      </c>
      <c r="R519" t="s">
        <v>25</v>
      </c>
      <c r="S519" t="s">
        <v>20</v>
      </c>
      <c r="T519" t="s">
        <v>34</v>
      </c>
      <c r="U519" t="str">
        <f t="shared" si="56"/>
        <v>High-Cost</v>
      </c>
    </row>
    <row r="520" spans="1:21" x14ac:dyDescent="0.3">
      <c r="A520">
        <v>1052</v>
      </c>
      <c r="B520" s="1">
        <v>45033</v>
      </c>
      <c r="C520" s="2" t="s">
        <v>40</v>
      </c>
      <c r="D520" t="s">
        <v>23</v>
      </c>
      <c r="E520">
        <v>2</v>
      </c>
      <c r="F520" t="s">
        <v>24</v>
      </c>
      <c r="G520">
        <f>1</f>
        <v>1</v>
      </c>
      <c r="H520" s="3">
        <v>1935.41</v>
      </c>
      <c r="I520" s="3">
        <v>2305.44</v>
      </c>
      <c r="J520" s="3">
        <f t="shared" si="57"/>
        <v>1798.2432000000001</v>
      </c>
      <c r="K520" s="3">
        <f t="shared" si="58"/>
        <v>3596.4864000000002</v>
      </c>
      <c r="L520" s="3">
        <f t="shared" si="61"/>
        <v>3870.82</v>
      </c>
      <c r="M520" s="8">
        <f t="shared" si="62"/>
        <v>-274.33359999999993</v>
      </c>
      <c r="N520" s="4">
        <f t="shared" si="59"/>
        <v>-7.6278225325695628E-2</v>
      </c>
      <c r="O520" s="4" t="str">
        <f t="shared" si="60"/>
        <v>Loss</v>
      </c>
      <c r="P520" t="s">
        <v>15</v>
      </c>
      <c r="Q520">
        <v>0.22</v>
      </c>
      <c r="R520" t="s">
        <v>29</v>
      </c>
      <c r="S520" t="s">
        <v>17</v>
      </c>
      <c r="T520" t="s">
        <v>41</v>
      </c>
      <c r="U520" t="str">
        <f t="shared" ref="U520:U583" si="63">IF(I520 &gt;=2800, "High-Cost", "Low-Cost")</f>
        <v>Low-Cost</v>
      </c>
    </row>
    <row r="521" spans="1:21" x14ac:dyDescent="0.3">
      <c r="A521">
        <v>1052</v>
      </c>
      <c r="B521" s="1">
        <v>45125</v>
      </c>
      <c r="C521" s="2" t="s">
        <v>36</v>
      </c>
      <c r="D521" t="s">
        <v>23</v>
      </c>
      <c r="E521">
        <v>42</v>
      </c>
      <c r="F521" t="s">
        <v>33</v>
      </c>
      <c r="G521">
        <f>1</f>
        <v>1</v>
      </c>
      <c r="H521" s="3">
        <v>417.96</v>
      </c>
      <c r="I521" s="3">
        <v>907.63</v>
      </c>
      <c r="J521" s="3">
        <f t="shared" si="57"/>
        <v>871.32479999999998</v>
      </c>
      <c r="K521" s="3">
        <f t="shared" si="58"/>
        <v>36595.641599999995</v>
      </c>
      <c r="L521" s="3">
        <f t="shared" si="61"/>
        <v>17554.32</v>
      </c>
      <c r="M521" s="8">
        <f t="shared" si="62"/>
        <v>19041.321599999996</v>
      </c>
      <c r="N521" s="4">
        <f t="shared" si="59"/>
        <v>0.52031664885470952</v>
      </c>
      <c r="O521" s="4" t="str">
        <f t="shared" si="60"/>
        <v>Profit</v>
      </c>
      <c r="P521" t="s">
        <v>28</v>
      </c>
      <c r="Q521">
        <v>0.04</v>
      </c>
      <c r="R521" t="s">
        <v>16</v>
      </c>
      <c r="S521" t="s">
        <v>20</v>
      </c>
      <c r="T521" t="s">
        <v>37</v>
      </c>
      <c r="U521" t="str">
        <f t="shared" si="63"/>
        <v>Low-Cost</v>
      </c>
    </row>
    <row r="522" spans="1:21" x14ac:dyDescent="0.3">
      <c r="A522">
        <v>1052</v>
      </c>
      <c r="B522" s="1">
        <v>45282</v>
      </c>
      <c r="C522" s="2" t="s">
        <v>31</v>
      </c>
      <c r="D522" t="s">
        <v>19</v>
      </c>
      <c r="E522">
        <v>2</v>
      </c>
      <c r="F522" t="s">
        <v>14</v>
      </c>
      <c r="G522">
        <f>1</f>
        <v>1</v>
      </c>
      <c r="H522" s="3">
        <v>3752.68</v>
      </c>
      <c r="I522" s="3">
        <v>4017.91</v>
      </c>
      <c r="J522" s="3">
        <f t="shared" si="57"/>
        <v>3375.0443999999998</v>
      </c>
      <c r="K522" s="3">
        <f t="shared" si="58"/>
        <v>6750.0887999999995</v>
      </c>
      <c r="L522" s="3">
        <f t="shared" si="61"/>
        <v>7505.36</v>
      </c>
      <c r="M522" s="8">
        <f t="shared" si="62"/>
        <v>-755.27120000000014</v>
      </c>
      <c r="N522" s="4">
        <f t="shared" si="59"/>
        <v>-0.11189055764718239</v>
      </c>
      <c r="O522" s="4" t="str">
        <f t="shared" si="60"/>
        <v>Loss</v>
      </c>
      <c r="P522" t="s">
        <v>15</v>
      </c>
      <c r="Q522">
        <v>0.16</v>
      </c>
      <c r="R522" t="s">
        <v>25</v>
      </c>
      <c r="S522" t="s">
        <v>17</v>
      </c>
      <c r="T522" t="s">
        <v>35</v>
      </c>
      <c r="U522" t="str">
        <f t="shared" si="63"/>
        <v>High-Cost</v>
      </c>
    </row>
    <row r="523" spans="1:21" x14ac:dyDescent="0.3">
      <c r="A523">
        <v>1052</v>
      </c>
      <c r="B523" s="1">
        <v>45282</v>
      </c>
      <c r="C523" s="2" t="s">
        <v>31</v>
      </c>
      <c r="D523" t="s">
        <v>19</v>
      </c>
      <c r="E523">
        <v>18</v>
      </c>
      <c r="F523" t="s">
        <v>24</v>
      </c>
      <c r="G523">
        <f>1</f>
        <v>1</v>
      </c>
      <c r="H523" s="3">
        <v>1127.8599999999999</v>
      </c>
      <c r="I523" s="3">
        <v>1586.29</v>
      </c>
      <c r="J523" s="3">
        <f t="shared" si="57"/>
        <v>1522.8383999999999</v>
      </c>
      <c r="K523" s="3">
        <f t="shared" si="58"/>
        <v>27411.091199999999</v>
      </c>
      <c r="L523" s="3">
        <f t="shared" si="61"/>
        <v>20301.48</v>
      </c>
      <c r="M523" s="8">
        <f t="shared" si="62"/>
        <v>7109.6111999999994</v>
      </c>
      <c r="N523" s="4">
        <f t="shared" si="59"/>
        <v>0.25936987141905538</v>
      </c>
      <c r="O523" s="4" t="str">
        <f t="shared" si="60"/>
        <v>Profit</v>
      </c>
      <c r="P523" t="s">
        <v>28</v>
      </c>
      <c r="Q523">
        <v>0.04</v>
      </c>
      <c r="R523" t="s">
        <v>29</v>
      </c>
      <c r="S523" t="s">
        <v>17</v>
      </c>
      <c r="T523" t="s">
        <v>35</v>
      </c>
      <c r="U523" t="str">
        <f t="shared" si="63"/>
        <v>Low-Cost</v>
      </c>
    </row>
    <row r="524" spans="1:21" x14ac:dyDescent="0.3">
      <c r="A524">
        <v>1053</v>
      </c>
      <c r="B524" s="1">
        <v>45201</v>
      </c>
      <c r="C524" s="2" t="s">
        <v>22</v>
      </c>
      <c r="D524" t="s">
        <v>32</v>
      </c>
      <c r="E524">
        <v>29</v>
      </c>
      <c r="F524" t="s">
        <v>33</v>
      </c>
      <c r="G524">
        <f>1</f>
        <v>1</v>
      </c>
      <c r="H524" s="3">
        <v>3741.3</v>
      </c>
      <c r="I524" s="3">
        <v>4061.04</v>
      </c>
      <c r="J524" s="3">
        <f t="shared" si="57"/>
        <v>3208.2216000000003</v>
      </c>
      <c r="K524" s="3">
        <f t="shared" si="58"/>
        <v>93038.426400000011</v>
      </c>
      <c r="L524" s="3">
        <f t="shared" si="61"/>
        <v>108497.70000000001</v>
      </c>
      <c r="M524" s="8">
        <f t="shared" si="62"/>
        <v>-15459.2736</v>
      </c>
      <c r="N524" s="4">
        <f t="shared" si="59"/>
        <v>-0.16616009318059574</v>
      </c>
      <c r="O524" s="4" t="str">
        <f t="shared" si="60"/>
        <v>Loss</v>
      </c>
      <c r="P524" t="s">
        <v>15</v>
      </c>
      <c r="Q524">
        <v>0.21</v>
      </c>
      <c r="R524" t="s">
        <v>29</v>
      </c>
      <c r="S524" t="s">
        <v>17</v>
      </c>
      <c r="T524" t="s">
        <v>48</v>
      </c>
      <c r="U524" t="str">
        <f t="shared" si="63"/>
        <v>High-Cost</v>
      </c>
    </row>
    <row r="525" spans="1:21" x14ac:dyDescent="0.3">
      <c r="A525">
        <v>1053</v>
      </c>
      <c r="B525" s="1">
        <v>45113</v>
      </c>
      <c r="C525" s="2" t="s">
        <v>31</v>
      </c>
      <c r="D525" t="s">
        <v>32</v>
      </c>
      <c r="E525">
        <v>11</v>
      </c>
      <c r="F525" t="s">
        <v>33</v>
      </c>
      <c r="G525">
        <f>1</f>
        <v>1</v>
      </c>
      <c r="H525" s="3">
        <v>200.56</v>
      </c>
      <c r="I525" s="3">
        <v>540.38</v>
      </c>
      <c r="J525" s="3">
        <f t="shared" si="57"/>
        <v>443.11160000000001</v>
      </c>
      <c r="K525" s="3">
        <f t="shared" si="58"/>
        <v>4874.2276000000002</v>
      </c>
      <c r="L525" s="3">
        <f t="shared" si="61"/>
        <v>2206.16</v>
      </c>
      <c r="M525" s="8">
        <f t="shared" si="62"/>
        <v>2668.0676000000003</v>
      </c>
      <c r="N525" s="4">
        <f t="shared" si="59"/>
        <v>0.54738264581653928</v>
      </c>
      <c r="O525" s="4" t="str">
        <f t="shared" si="60"/>
        <v>Profit</v>
      </c>
      <c r="P525" t="s">
        <v>28</v>
      </c>
      <c r="Q525">
        <v>0.18</v>
      </c>
      <c r="R525" t="s">
        <v>25</v>
      </c>
      <c r="S525" t="s">
        <v>17</v>
      </c>
      <c r="T525" t="s">
        <v>34</v>
      </c>
      <c r="U525" t="str">
        <f t="shared" si="63"/>
        <v>Low-Cost</v>
      </c>
    </row>
    <row r="526" spans="1:21" x14ac:dyDescent="0.3">
      <c r="A526">
        <v>1053</v>
      </c>
      <c r="B526" s="1">
        <v>45087</v>
      </c>
      <c r="C526" s="2" t="s">
        <v>31</v>
      </c>
      <c r="D526" t="s">
        <v>32</v>
      </c>
      <c r="E526">
        <v>39</v>
      </c>
      <c r="F526" t="s">
        <v>14</v>
      </c>
      <c r="G526">
        <f>1</f>
        <v>1</v>
      </c>
      <c r="H526" s="3">
        <v>4643.67</v>
      </c>
      <c r="I526" s="3">
        <v>4829.5200000000004</v>
      </c>
      <c r="J526" s="3">
        <f t="shared" si="57"/>
        <v>4008.5016000000001</v>
      </c>
      <c r="K526" s="3">
        <f t="shared" si="58"/>
        <v>156331.56240000002</v>
      </c>
      <c r="L526" s="3">
        <f t="shared" si="61"/>
        <v>181103.13</v>
      </c>
      <c r="M526" s="8">
        <f t="shared" si="62"/>
        <v>-24771.56759999998</v>
      </c>
      <c r="N526" s="4">
        <f t="shared" si="59"/>
        <v>-0.15845531906485941</v>
      </c>
      <c r="O526" s="4" t="str">
        <f t="shared" si="60"/>
        <v>Loss</v>
      </c>
      <c r="P526" t="s">
        <v>15</v>
      </c>
      <c r="Q526">
        <v>0.17</v>
      </c>
      <c r="R526" t="s">
        <v>25</v>
      </c>
      <c r="S526" t="s">
        <v>17</v>
      </c>
      <c r="T526" t="s">
        <v>34</v>
      </c>
      <c r="U526" t="str">
        <f t="shared" si="63"/>
        <v>High-Cost</v>
      </c>
    </row>
    <row r="527" spans="1:21" x14ac:dyDescent="0.3">
      <c r="A527">
        <v>1053</v>
      </c>
      <c r="B527" s="1">
        <v>45272</v>
      </c>
      <c r="C527" s="2" t="s">
        <v>40</v>
      </c>
      <c r="D527" t="s">
        <v>23</v>
      </c>
      <c r="E527">
        <v>47</v>
      </c>
      <c r="F527" t="s">
        <v>33</v>
      </c>
      <c r="G527">
        <f>1</f>
        <v>1</v>
      </c>
      <c r="H527" s="3">
        <v>3551.76</v>
      </c>
      <c r="I527" s="3">
        <v>3696.1</v>
      </c>
      <c r="J527" s="3">
        <f t="shared" si="57"/>
        <v>3141.6849999999999</v>
      </c>
      <c r="K527" s="3">
        <f t="shared" si="58"/>
        <v>147659.19499999998</v>
      </c>
      <c r="L527" s="3">
        <f t="shared" si="61"/>
        <v>166932.72</v>
      </c>
      <c r="M527" s="8">
        <f t="shared" si="62"/>
        <v>-19273.525000000023</v>
      </c>
      <c r="N527" s="4">
        <f t="shared" si="59"/>
        <v>-0.13052708976234109</v>
      </c>
      <c r="O527" s="4" t="str">
        <f t="shared" si="60"/>
        <v>Loss</v>
      </c>
      <c r="P527" t="s">
        <v>15</v>
      </c>
      <c r="Q527">
        <v>0.15</v>
      </c>
      <c r="R527" t="s">
        <v>25</v>
      </c>
      <c r="S527" t="s">
        <v>20</v>
      </c>
      <c r="T527" t="s">
        <v>41</v>
      </c>
      <c r="U527" t="str">
        <f t="shared" si="63"/>
        <v>High-Cost</v>
      </c>
    </row>
    <row r="528" spans="1:21" x14ac:dyDescent="0.3">
      <c r="A528">
        <v>1053</v>
      </c>
      <c r="B528" s="1">
        <v>44973</v>
      </c>
      <c r="C528" s="2" t="s">
        <v>36</v>
      </c>
      <c r="D528" t="s">
        <v>19</v>
      </c>
      <c r="E528">
        <v>11</v>
      </c>
      <c r="F528" t="s">
        <v>14</v>
      </c>
      <c r="G528">
        <f>1</f>
        <v>1</v>
      </c>
      <c r="H528" s="3">
        <v>1582.86</v>
      </c>
      <c r="I528" s="3">
        <v>1942.55</v>
      </c>
      <c r="J528" s="3">
        <f t="shared" si="57"/>
        <v>1612.3164999999999</v>
      </c>
      <c r="K528" s="3">
        <f t="shared" si="58"/>
        <v>17735.481499999998</v>
      </c>
      <c r="L528" s="3">
        <f t="shared" si="61"/>
        <v>17411.46</v>
      </c>
      <c r="M528" s="8">
        <f t="shared" si="62"/>
        <v>324.02149999999892</v>
      </c>
      <c r="N528" s="4">
        <f t="shared" si="59"/>
        <v>1.8269675960023921E-2</v>
      </c>
      <c r="O528" s="4" t="str">
        <f t="shared" si="60"/>
        <v>Profit</v>
      </c>
      <c r="P528" t="s">
        <v>28</v>
      </c>
      <c r="Q528">
        <v>0.17</v>
      </c>
      <c r="R528" t="s">
        <v>29</v>
      </c>
      <c r="S528" t="s">
        <v>20</v>
      </c>
      <c r="T528" t="s">
        <v>39</v>
      </c>
      <c r="U528" t="str">
        <f t="shared" si="63"/>
        <v>Low-Cost</v>
      </c>
    </row>
    <row r="529" spans="1:21" x14ac:dyDescent="0.3">
      <c r="A529">
        <v>1053</v>
      </c>
      <c r="B529" s="1">
        <v>45215</v>
      </c>
      <c r="C529" s="2" t="s">
        <v>12</v>
      </c>
      <c r="D529" t="s">
        <v>13</v>
      </c>
      <c r="E529">
        <v>48</v>
      </c>
      <c r="F529" t="s">
        <v>14</v>
      </c>
      <c r="G529">
        <f>1</f>
        <v>1</v>
      </c>
      <c r="H529" s="3">
        <v>121.19</v>
      </c>
      <c r="I529" s="3">
        <v>487.65</v>
      </c>
      <c r="J529" s="3">
        <f t="shared" si="57"/>
        <v>399.87299999999999</v>
      </c>
      <c r="K529" s="3">
        <f t="shared" si="58"/>
        <v>19193.903999999999</v>
      </c>
      <c r="L529" s="3">
        <f t="shared" si="61"/>
        <v>5817.12</v>
      </c>
      <c r="M529" s="8">
        <f t="shared" si="62"/>
        <v>13376.784</v>
      </c>
      <c r="N529" s="4">
        <f t="shared" si="59"/>
        <v>0.69692877488602634</v>
      </c>
      <c r="O529" s="4" t="str">
        <f t="shared" si="60"/>
        <v>Profit</v>
      </c>
      <c r="P529" t="s">
        <v>28</v>
      </c>
      <c r="Q529">
        <v>0.18</v>
      </c>
      <c r="R529" t="s">
        <v>16</v>
      </c>
      <c r="S529" t="s">
        <v>20</v>
      </c>
      <c r="T529" t="s">
        <v>18</v>
      </c>
      <c r="U529" t="str">
        <f t="shared" si="63"/>
        <v>Low-Cost</v>
      </c>
    </row>
    <row r="530" spans="1:21" x14ac:dyDescent="0.3">
      <c r="A530">
        <v>1053</v>
      </c>
      <c r="B530" s="1">
        <v>45063</v>
      </c>
      <c r="C530" s="2" t="s">
        <v>12</v>
      </c>
      <c r="D530" t="s">
        <v>23</v>
      </c>
      <c r="E530">
        <v>36</v>
      </c>
      <c r="F530" t="s">
        <v>27</v>
      </c>
      <c r="G530">
        <f>1</f>
        <v>1</v>
      </c>
      <c r="H530" s="3">
        <v>4252.17</v>
      </c>
      <c r="I530" s="3">
        <v>4720.2700000000004</v>
      </c>
      <c r="J530" s="3">
        <f t="shared" si="57"/>
        <v>4295.4457000000002</v>
      </c>
      <c r="K530" s="3">
        <f t="shared" si="58"/>
        <v>154636.04520000002</v>
      </c>
      <c r="L530" s="3">
        <f t="shared" si="61"/>
        <v>153078.12</v>
      </c>
      <c r="M530" s="8">
        <f t="shared" si="62"/>
        <v>1557.925200000027</v>
      </c>
      <c r="N530" s="4">
        <f t="shared" si="59"/>
        <v>1.0074786884164487E-2</v>
      </c>
      <c r="O530" s="4" t="str">
        <f t="shared" si="60"/>
        <v>Profit</v>
      </c>
      <c r="P530" t="s">
        <v>28</v>
      </c>
      <c r="Q530">
        <v>0.09</v>
      </c>
      <c r="R530" t="s">
        <v>16</v>
      </c>
      <c r="S530" t="s">
        <v>20</v>
      </c>
      <c r="T530" t="s">
        <v>30</v>
      </c>
      <c r="U530" t="str">
        <f t="shared" si="63"/>
        <v>High-Cost</v>
      </c>
    </row>
    <row r="531" spans="1:21" x14ac:dyDescent="0.3">
      <c r="A531">
        <v>1053</v>
      </c>
      <c r="B531" s="1">
        <v>44946</v>
      </c>
      <c r="C531" s="2" t="s">
        <v>22</v>
      </c>
      <c r="D531" t="s">
        <v>19</v>
      </c>
      <c r="E531">
        <v>42</v>
      </c>
      <c r="F531" t="s">
        <v>14</v>
      </c>
      <c r="G531">
        <f>1</f>
        <v>1</v>
      </c>
      <c r="H531" s="3">
        <v>2443.5700000000002</v>
      </c>
      <c r="I531" s="3">
        <v>2943.31</v>
      </c>
      <c r="J531" s="3">
        <f t="shared" si="57"/>
        <v>2089.7500999999997</v>
      </c>
      <c r="K531" s="3">
        <f t="shared" si="58"/>
        <v>87769.504199999996</v>
      </c>
      <c r="L531" s="3">
        <f t="shared" si="61"/>
        <v>102629.94</v>
      </c>
      <c r="M531" s="8">
        <f t="shared" si="62"/>
        <v>-14860.435800000007</v>
      </c>
      <c r="N531" s="4">
        <f t="shared" si="59"/>
        <v>-0.16931206271984395</v>
      </c>
      <c r="O531" s="4" t="str">
        <f t="shared" si="60"/>
        <v>Loss</v>
      </c>
      <c r="P531" t="s">
        <v>28</v>
      </c>
      <c r="Q531">
        <v>0.28999999999999998</v>
      </c>
      <c r="R531" t="s">
        <v>16</v>
      </c>
      <c r="S531" t="s">
        <v>17</v>
      </c>
      <c r="T531" t="s">
        <v>45</v>
      </c>
      <c r="U531" t="str">
        <f t="shared" si="63"/>
        <v>High-Cost</v>
      </c>
    </row>
    <row r="532" spans="1:21" x14ac:dyDescent="0.3">
      <c r="A532">
        <v>1053</v>
      </c>
      <c r="B532" s="1">
        <v>45281</v>
      </c>
      <c r="C532" s="2" t="s">
        <v>12</v>
      </c>
      <c r="D532" t="s">
        <v>13</v>
      </c>
      <c r="E532">
        <v>44</v>
      </c>
      <c r="F532" t="s">
        <v>14</v>
      </c>
      <c r="G532">
        <f>1</f>
        <v>1</v>
      </c>
      <c r="H532" s="3">
        <v>2045</v>
      </c>
      <c r="I532" s="3">
        <v>2217.5100000000002</v>
      </c>
      <c r="J532" s="3">
        <f t="shared" si="57"/>
        <v>2040.1092000000003</v>
      </c>
      <c r="K532" s="3">
        <f t="shared" si="58"/>
        <v>89764.804800000013</v>
      </c>
      <c r="L532" s="3">
        <f t="shared" si="61"/>
        <v>89980</v>
      </c>
      <c r="M532" s="8">
        <f t="shared" si="62"/>
        <v>-215.19519999998738</v>
      </c>
      <c r="N532" s="4">
        <f t="shared" si="59"/>
        <v>-2.397322653120584E-3</v>
      </c>
      <c r="O532" s="4" t="str">
        <f t="shared" si="60"/>
        <v>Loss</v>
      </c>
      <c r="P532" t="s">
        <v>15</v>
      </c>
      <c r="Q532">
        <v>0.08</v>
      </c>
      <c r="R532" t="s">
        <v>29</v>
      </c>
      <c r="S532" t="s">
        <v>17</v>
      </c>
      <c r="T532" t="s">
        <v>18</v>
      </c>
      <c r="U532" t="str">
        <f t="shared" si="63"/>
        <v>Low-Cost</v>
      </c>
    </row>
    <row r="533" spans="1:21" x14ac:dyDescent="0.3">
      <c r="A533">
        <v>1053</v>
      </c>
      <c r="B533" s="1">
        <v>45010</v>
      </c>
      <c r="C533" s="2" t="s">
        <v>12</v>
      </c>
      <c r="D533" t="s">
        <v>32</v>
      </c>
      <c r="E533">
        <v>1</v>
      </c>
      <c r="F533" t="s">
        <v>27</v>
      </c>
      <c r="G533">
        <f>1</f>
        <v>1</v>
      </c>
      <c r="H533" s="3">
        <v>1702.82</v>
      </c>
      <c r="I533" s="3">
        <v>1862.61</v>
      </c>
      <c r="J533" s="3">
        <f t="shared" si="57"/>
        <v>1415.5835999999999</v>
      </c>
      <c r="K533" s="3">
        <f t="shared" si="58"/>
        <v>1415.5835999999999</v>
      </c>
      <c r="L533" s="3">
        <f t="shared" si="61"/>
        <v>1702.82</v>
      </c>
      <c r="M533" s="8">
        <f t="shared" si="62"/>
        <v>-287.2364</v>
      </c>
      <c r="N533" s="4">
        <f t="shared" si="59"/>
        <v>-0.20291023433727265</v>
      </c>
      <c r="O533" s="4" t="str">
        <f t="shared" si="60"/>
        <v>Loss</v>
      </c>
      <c r="P533" t="s">
        <v>15</v>
      </c>
      <c r="Q533">
        <v>0.24</v>
      </c>
      <c r="R533" t="s">
        <v>16</v>
      </c>
      <c r="S533" t="s">
        <v>20</v>
      </c>
      <c r="T533" t="s">
        <v>44</v>
      </c>
      <c r="U533" t="str">
        <f t="shared" si="63"/>
        <v>Low-Cost</v>
      </c>
    </row>
    <row r="534" spans="1:21" x14ac:dyDescent="0.3">
      <c r="A534">
        <v>1053</v>
      </c>
      <c r="B534" s="1">
        <v>45229</v>
      </c>
      <c r="C534" s="2" t="s">
        <v>22</v>
      </c>
      <c r="D534" t="s">
        <v>13</v>
      </c>
      <c r="E534">
        <v>1</v>
      </c>
      <c r="F534" t="s">
        <v>24</v>
      </c>
      <c r="G534">
        <f>1</f>
        <v>1</v>
      </c>
      <c r="H534" s="3">
        <v>2258.44</v>
      </c>
      <c r="I534" s="3">
        <v>2475.56</v>
      </c>
      <c r="J534" s="3">
        <f t="shared" si="57"/>
        <v>1856.67</v>
      </c>
      <c r="K534" s="3">
        <f t="shared" si="58"/>
        <v>1856.67</v>
      </c>
      <c r="L534" s="3">
        <f t="shared" si="61"/>
        <v>2258.44</v>
      </c>
      <c r="M534" s="8">
        <f t="shared" si="62"/>
        <v>-401.77</v>
      </c>
      <c r="N534" s="4">
        <f t="shared" si="59"/>
        <v>-0.21639278924095287</v>
      </c>
      <c r="O534" s="4" t="str">
        <f t="shared" si="60"/>
        <v>Loss</v>
      </c>
      <c r="P534" t="s">
        <v>28</v>
      </c>
      <c r="Q534">
        <v>0.25</v>
      </c>
      <c r="R534" t="s">
        <v>16</v>
      </c>
      <c r="S534" t="s">
        <v>17</v>
      </c>
      <c r="T534" t="s">
        <v>43</v>
      </c>
      <c r="U534" t="str">
        <f t="shared" si="63"/>
        <v>Low-Cost</v>
      </c>
    </row>
    <row r="535" spans="1:21" x14ac:dyDescent="0.3">
      <c r="A535">
        <v>1054</v>
      </c>
      <c r="B535" s="1">
        <v>44936</v>
      </c>
      <c r="C535" s="2" t="s">
        <v>36</v>
      </c>
      <c r="D535" t="s">
        <v>23</v>
      </c>
      <c r="E535">
        <v>40</v>
      </c>
      <c r="F535" t="s">
        <v>14</v>
      </c>
      <c r="G535">
        <f>1</f>
        <v>1</v>
      </c>
      <c r="H535" s="3">
        <v>2654.11</v>
      </c>
      <c r="I535" s="3">
        <v>2929.32</v>
      </c>
      <c r="J535" s="3">
        <f t="shared" si="57"/>
        <v>2694.9744000000001</v>
      </c>
      <c r="K535" s="3">
        <f t="shared" si="58"/>
        <v>107798.97600000001</v>
      </c>
      <c r="L535" s="3">
        <f t="shared" si="61"/>
        <v>106164.40000000001</v>
      </c>
      <c r="M535" s="8">
        <f t="shared" si="62"/>
        <v>1634.5760000000009</v>
      </c>
      <c r="N535" s="4">
        <f t="shared" si="59"/>
        <v>1.5163186707821796E-2</v>
      </c>
      <c r="O535" s="4" t="str">
        <f t="shared" si="60"/>
        <v>Profit</v>
      </c>
      <c r="P535" t="s">
        <v>15</v>
      </c>
      <c r="Q535">
        <v>0.08</v>
      </c>
      <c r="R535" t="s">
        <v>16</v>
      </c>
      <c r="S535" t="s">
        <v>17</v>
      </c>
      <c r="T535" t="s">
        <v>37</v>
      </c>
      <c r="U535" t="str">
        <f t="shared" si="63"/>
        <v>High-Cost</v>
      </c>
    </row>
    <row r="536" spans="1:21" x14ac:dyDescent="0.3">
      <c r="A536">
        <v>1054</v>
      </c>
      <c r="B536" s="1">
        <v>45087</v>
      </c>
      <c r="C536" s="2" t="s">
        <v>12</v>
      </c>
      <c r="D536" t="s">
        <v>23</v>
      </c>
      <c r="E536">
        <v>21</v>
      </c>
      <c r="F536" t="s">
        <v>14</v>
      </c>
      <c r="G536">
        <f>1</f>
        <v>1</v>
      </c>
      <c r="H536" s="3">
        <v>4668.1400000000003</v>
      </c>
      <c r="I536" s="3">
        <v>5040.22</v>
      </c>
      <c r="J536" s="3">
        <f t="shared" si="57"/>
        <v>4788.2089999999998</v>
      </c>
      <c r="K536" s="3">
        <f t="shared" si="58"/>
        <v>100552.38900000001</v>
      </c>
      <c r="L536" s="3">
        <f t="shared" si="61"/>
        <v>98030.94</v>
      </c>
      <c r="M536" s="8">
        <f t="shared" si="62"/>
        <v>2521.4490000000078</v>
      </c>
      <c r="N536" s="4">
        <f t="shared" si="59"/>
        <v>2.5075973083046366E-2</v>
      </c>
      <c r="O536" s="4" t="str">
        <f t="shared" si="60"/>
        <v>Profit</v>
      </c>
      <c r="P536" t="s">
        <v>28</v>
      </c>
      <c r="Q536">
        <v>0.05</v>
      </c>
      <c r="R536" t="s">
        <v>25</v>
      </c>
      <c r="S536" t="s">
        <v>17</v>
      </c>
      <c r="T536" t="s">
        <v>30</v>
      </c>
      <c r="U536" t="str">
        <f t="shared" si="63"/>
        <v>High-Cost</v>
      </c>
    </row>
    <row r="537" spans="1:21" x14ac:dyDescent="0.3">
      <c r="A537">
        <v>1054</v>
      </c>
      <c r="B537" s="1">
        <v>45120</v>
      </c>
      <c r="C537" s="2" t="s">
        <v>40</v>
      </c>
      <c r="D537" t="s">
        <v>23</v>
      </c>
      <c r="E537">
        <v>47</v>
      </c>
      <c r="F537" t="s">
        <v>24</v>
      </c>
      <c r="G537">
        <f>1</f>
        <v>1</v>
      </c>
      <c r="H537" s="3">
        <v>4429.8</v>
      </c>
      <c r="I537" s="3">
        <v>4694.21</v>
      </c>
      <c r="J537" s="3">
        <f t="shared" si="57"/>
        <v>3520.6575000000003</v>
      </c>
      <c r="K537" s="3">
        <f t="shared" si="58"/>
        <v>165470.9025</v>
      </c>
      <c r="L537" s="3">
        <f t="shared" si="61"/>
        <v>208200.6</v>
      </c>
      <c r="M537" s="8">
        <f t="shared" si="62"/>
        <v>-42729.697500000009</v>
      </c>
      <c r="N537" s="4">
        <f t="shared" si="59"/>
        <v>-0.25823088442996806</v>
      </c>
      <c r="O537" s="4" t="str">
        <f t="shared" si="60"/>
        <v>Loss</v>
      </c>
      <c r="P537" t="s">
        <v>28</v>
      </c>
      <c r="Q537">
        <v>0.25</v>
      </c>
      <c r="R537" t="s">
        <v>25</v>
      </c>
      <c r="S537" t="s">
        <v>17</v>
      </c>
      <c r="T537" t="s">
        <v>41</v>
      </c>
      <c r="U537" t="str">
        <f t="shared" si="63"/>
        <v>High-Cost</v>
      </c>
    </row>
    <row r="538" spans="1:21" x14ac:dyDescent="0.3">
      <c r="A538">
        <v>1054</v>
      </c>
      <c r="B538" s="1">
        <v>45184</v>
      </c>
      <c r="C538" s="2" t="s">
        <v>12</v>
      </c>
      <c r="D538" t="s">
        <v>23</v>
      </c>
      <c r="E538">
        <v>16</v>
      </c>
      <c r="F538" t="s">
        <v>33</v>
      </c>
      <c r="G538">
        <f>1</f>
        <v>1</v>
      </c>
      <c r="H538" s="3">
        <v>4557.79</v>
      </c>
      <c r="I538" s="3">
        <v>5043.3599999999997</v>
      </c>
      <c r="J538" s="3">
        <f t="shared" si="57"/>
        <v>4337.2896000000001</v>
      </c>
      <c r="K538" s="3">
        <f t="shared" si="58"/>
        <v>69396.633600000001</v>
      </c>
      <c r="L538" s="3">
        <f t="shared" si="61"/>
        <v>72924.639999999999</v>
      </c>
      <c r="M538" s="8">
        <f t="shared" si="62"/>
        <v>-3528.0063999999984</v>
      </c>
      <c r="N538" s="4">
        <f t="shared" si="59"/>
        <v>-5.083829311282325E-2</v>
      </c>
      <c r="O538" s="4" t="str">
        <f t="shared" si="60"/>
        <v>Loss</v>
      </c>
      <c r="P538" t="s">
        <v>15</v>
      </c>
      <c r="Q538">
        <v>0.14000000000000001</v>
      </c>
      <c r="R538" t="s">
        <v>29</v>
      </c>
      <c r="S538" t="s">
        <v>20</v>
      </c>
      <c r="T538" t="s">
        <v>30</v>
      </c>
      <c r="U538" t="str">
        <f t="shared" si="63"/>
        <v>High-Cost</v>
      </c>
    </row>
    <row r="539" spans="1:21" x14ac:dyDescent="0.3">
      <c r="A539">
        <v>1054</v>
      </c>
      <c r="B539" s="1">
        <v>45100</v>
      </c>
      <c r="C539" s="2" t="s">
        <v>22</v>
      </c>
      <c r="D539" t="s">
        <v>19</v>
      </c>
      <c r="E539">
        <v>27</v>
      </c>
      <c r="F539" t="s">
        <v>33</v>
      </c>
      <c r="G539">
        <f>1</f>
        <v>1</v>
      </c>
      <c r="H539" s="3">
        <v>1456.09</v>
      </c>
      <c r="I539" s="3">
        <v>1510.43</v>
      </c>
      <c r="J539" s="3">
        <f t="shared" si="57"/>
        <v>1253.6569</v>
      </c>
      <c r="K539" s="3">
        <f t="shared" si="58"/>
        <v>33848.736299999997</v>
      </c>
      <c r="L539" s="3">
        <f t="shared" si="61"/>
        <v>39314.43</v>
      </c>
      <c r="M539" s="8">
        <f t="shared" si="62"/>
        <v>-5465.6937000000034</v>
      </c>
      <c r="N539" s="4">
        <f t="shared" si="59"/>
        <v>-0.16147408433679114</v>
      </c>
      <c r="O539" s="4" t="str">
        <f t="shared" si="60"/>
        <v>Loss</v>
      </c>
      <c r="P539" t="s">
        <v>15</v>
      </c>
      <c r="Q539">
        <v>0.17</v>
      </c>
      <c r="R539" t="s">
        <v>16</v>
      </c>
      <c r="S539" t="s">
        <v>20</v>
      </c>
      <c r="T539" t="s">
        <v>45</v>
      </c>
      <c r="U539" t="str">
        <f t="shared" si="63"/>
        <v>Low-Cost</v>
      </c>
    </row>
    <row r="540" spans="1:21" x14ac:dyDescent="0.3">
      <c r="A540">
        <v>1054</v>
      </c>
      <c r="B540" s="1">
        <v>45222</v>
      </c>
      <c r="C540" s="2" t="s">
        <v>22</v>
      </c>
      <c r="D540" t="s">
        <v>32</v>
      </c>
      <c r="E540">
        <v>8</v>
      </c>
      <c r="F540" t="s">
        <v>24</v>
      </c>
      <c r="G540">
        <f>1</f>
        <v>1</v>
      </c>
      <c r="H540" s="3">
        <v>4117.13</v>
      </c>
      <c r="I540" s="3">
        <v>4177.0600000000004</v>
      </c>
      <c r="J540" s="3">
        <f t="shared" si="57"/>
        <v>3132.7950000000001</v>
      </c>
      <c r="K540" s="3">
        <f t="shared" si="58"/>
        <v>25062.36</v>
      </c>
      <c r="L540" s="3">
        <f t="shared" si="61"/>
        <v>32937.040000000001</v>
      </c>
      <c r="M540" s="8">
        <f t="shared" si="62"/>
        <v>-7874.68</v>
      </c>
      <c r="N540" s="4">
        <f t="shared" si="59"/>
        <v>-0.31420345091204499</v>
      </c>
      <c r="O540" s="4" t="str">
        <f t="shared" si="60"/>
        <v>Loss</v>
      </c>
      <c r="P540" t="s">
        <v>15</v>
      </c>
      <c r="Q540">
        <v>0.25</v>
      </c>
      <c r="R540" t="s">
        <v>25</v>
      </c>
      <c r="S540" t="s">
        <v>20</v>
      </c>
      <c r="T540" t="s">
        <v>48</v>
      </c>
      <c r="U540" t="str">
        <f t="shared" si="63"/>
        <v>High-Cost</v>
      </c>
    </row>
    <row r="541" spans="1:21" x14ac:dyDescent="0.3">
      <c r="A541">
        <v>1054</v>
      </c>
      <c r="B541" s="1">
        <v>45222</v>
      </c>
      <c r="C541" s="2" t="s">
        <v>22</v>
      </c>
      <c r="D541" t="s">
        <v>23</v>
      </c>
      <c r="E541">
        <v>48</v>
      </c>
      <c r="F541" t="s">
        <v>33</v>
      </c>
      <c r="G541">
        <f>1</f>
        <v>1</v>
      </c>
      <c r="H541" s="3">
        <v>4325.0200000000004</v>
      </c>
      <c r="I541" s="3">
        <v>4391.67</v>
      </c>
      <c r="J541" s="3">
        <f t="shared" si="57"/>
        <v>3689.0027999999998</v>
      </c>
      <c r="K541" s="3">
        <f t="shared" si="58"/>
        <v>177072.13440000001</v>
      </c>
      <c r="L541" s="3">
        <f t="shared" si="61"/>
        <v>207600.96000000002</v>
      </c>
      <c r="M541" s="8">
        <f t="shared" si="62"/>
        <v>-30528.825600000011</v>
      </c>
      <c r="N541" s="4">
        <f t="shared" si="59"/>
        <v>-0.17240897729868901</v>
      </c>
      <c r="O541" s="4" t="str">
        <f t="shared" si="60"/>
        <v>Loss</v>
      </c>
      <c r="P541" t="s">
        <v>15</v>
      </c>
      <c r="Q541">
        <v>0.16</v>
      </c>
      <c r="R541" t="s">
        <v>29</v>
      </c>
      <c r="S541" t="s">
        <v>20</v>
      </c>
      <c r="T541" t="s">
        <v>26</v>
      </c>
      <c r="U541" t="str">
        <f t="shared" si="63"/>
        <v>High-Cost</v>
      </c>
    </row>
    <row r="542" spans="1:21" x14ac:dyDescent="0.3">
      <c r="A542">
        <v>1054</v>
      </c>
      <c r="B542" s="1">
        <v>44950</v>
      </c>
      <c r="C542" s="2" t="s">
        <v>12</v>
      </c>
      <c r="D542" t="s">
        <v>32</v>
      </c>
      <c r="E542">
        <v>22</v>
      </c>
      <c r="F542" t="s">
        <v>33</v>
      </c>
      <c r="G542">
        <f>1</f>
        <v>1</v>
      </c>
      <c r="H542" s="3">
        <v>4200.08</v>
      </c>
      <c r="I542" s="3">
        <v>4647.28</v>
      </c>
      <c r="J542" s="3">
        <f t="shared" si="57"/>
        <v>4136.0792000000001</v>
      </c>
      <c r="K542" s="3">
        <f t="shared" si="58"/>
        <v>90993.742399999988</v>
      </c>
      <c r="L542" s="3">
        <f t="shared" si="61"/>
        <v>92401.76</v>
      </c>
      <c r="M542" s="8">
        <f t="shared" si="62"/>
        <v>-1408.0176000000065</v>
      </c>
      <c r="N542" s="4">
        <f t="shared" si="59"/>
        <v>-1.5473784931391135E-2</v>
      </c>
      <c r="O542" s="4" t="str">
        <f t="shared" si="60"/>
        <v>Loss</v>
      </c>
      <c r="P542" t="s">
        <v>15</v>
      </c>
      <c r="Q542">
        <v>0.11</v>
      </c>
      <c r="R542" t="s">
        <v>16</v>
      </c>
      <c r="S542" t="s">
        <v>17</v>
      </c>
      <c r="T542" t="s">
        <v>44</v>
      </c>
      <c r="U542" t="str">
        <f t="shared" si="63"/>
        <v>High-Cost</v>
      </c>
    </row>
    <row r="543" spans="1:21" x14ac:dyDescent="0.3">
      <c r="A543">
        <v>1054</v>
      </c>
      <c r="B543" s="1">
        <v>44981</v>
      </c>
      <c r="C543" s="2" t="s">
        <v>40</v>
      </c>
      <c r="D543" t="s">
        <v>13</v>
      </c>
      <c r="E543">
        <v>43</v>
      </c>
      <c r="F543" t="s">
        <v>24</v>
      </c>
      <c r="G543">
        <f>1</f>
        <v>1</v>
      </c>
      <c r="H543" s="3">
        <v>2124.7199999999998</v>
      </c>
      <c r="I543" s="3">
        <v>2188.66</v>
      </c>
      <c r="J543" s="3">
        <f t="shared" si="57"/>
        <v>2123.0001999999999</v>
      </c>
      <c r="K543" s="3">
        <f t="shared" si="58"/>
        <v>91289.008599999986</v>
      </c>
      <c r="L543" s="3">
        <f t="shared" si="61"/>
        <v>91362.959999999992</v>
      </c>
      <c r="M543" s="8">
        <f t="shared" si="62"/>
        <v>-73.951400000005378</v>
      </c>
      <c r="N543" s="4">
        <f t="shared" si="59"/>
        <v>-8.1007999905045956E-4</v>
      </c>
      <c r="O543" s="4" t="str">
        <f t="shared" si="60"/>
        <v>Loss</v>
      </c>
      <c r="P543" t="s">
        <v>15</v>
      </c>
      <c r="Q543">
        <v>0.03</v>
      </c>
      <c r="R543" t="s">
        <v>29</v>
      </c>
      <c r="S543" t="s">
        <v>20</v>
      </c>
      <c r="T543" t="s">
        <v>47</v>
      </c>
      <c r="U543" t="str">
        <f t="shared" si="63"/>
        <v>Low-Cost</v>
      </c>
    </row>
    <row r="544" spans="1:21" x14ac:dyDescent="0.3">
      <c r="A544">
        <v>1054</v>
      </c>
      <c r="B544" s="1">
        <v>45040</v>
      </c>
      <c r="C544" s="2" t="s">
        <v>22</v>
      </c>
      <c r="D544" t="s">
        <v>13</v>
      </c>
      <c r="E544">
        <v>48</v>
      </c>
      <c r="F544" t="s">
        <v>24</v>
      </c>
      <c r="G544">
        <f>1</f>
        <v>1</v>
      </c>
      <c r="H544" s="3">
        <v>2316.92</v>
      </c>
      <c r="I544" s="3">
        <v>2462.63</v>
      </c>
      <c r="J544" s="3">
        <f t="shared" si="57"/>
        <v>2364.1248000000001</v>
      </c>
      <c r="K544" s="3">
        <f t="shared" si="58"/>
        <v>113477.9904</v>
      </c>
      <c r="L544" s="3">
        <f t="shared" si="61"/>
        <v>111212.16</v>
      </c>
      <c r="M544" s="8">
        <f t="shared" si="62"/>
        <v>2265.8303999999916</v>
      </c>
      <c r="N544" s="4">
        <f t="shared" si="59"/>
        <v>1.9967135406726341E-2</v>
      </c>
      <c r="O544" s="4" t="str">
        <f t="shared" si="60"/>
        <v>Profit</v>
      </c>
      <c r="P544" t="s">
        <v>28</v>
      </c>
      <c r="Q544">
        <v>0.04</v>
      </c>
      <c r="R544" t="s">
        <v>29</v>
      </c>
      <c r="S544" t="s">
        <v>17</v>
      </c>
      <c r="T544" t="s">
        <v>43</v>
      </c>
      <c r="U544" t="str">
        <f t="shared" si="63"/>
        <v>Low-Cost</v>
      </c>
    </row>
    <row r="545" spans="1:21" x14ac:dyDescent="0.3">
      <c r="A545">
        <v>1054</v>
      </c>
      <c r="B545" s="1">
        <v>45135</v>
      </c>
      <c r="C545" s="2" t="s">
        <v>22</v>
      </c>
      <c r="D545" t="s">
        <v>32</v>
      </c>
      <c r="E545">
        <v>20</v>
      </c>
      <c r="F545" t="s">
        <v>27</v>
      </c>
      <c r="G545">
        <f>1</f>
        <v>1</v>
      </c>
      <c r="H545" s="3">
        <v>4622.1400000000003</v>
      </c>
      <c r="I545" s="3">
        <v>5122.07</v>
      </c>
      <c r="J545" s="3">
        <f t="shared" si="57"/>
        <v>3790.3317999999999</v>
      </c>
      <c r="K545" s="3">
        <f t="shared" si="58"/>
        <v>75806.635999999999</v>
      </c>
      <c r="L545" s="3">
        <f t="shared" si="61"/>
        <v>92442.8</v>
      </c>
      <c r="M545" s="8">
        <f t="shared" si="62"/>
        <v>-16636.164000000004</v>
      </c>
      <c r="N545" s="4">
        <f t="shared" si="59"/>
        <v>-0.21945524663566399</v>
      </c>
      <c r="O545" s="4" t="str">
        <f t="shared" si="60"/>
        <v>Loss</v>
      </c>
      <c r="P545" t="s">
        <v>28</v>
      </c>
      <c r="Q545">
        <v>0.26</v>
      </c>
      <c r="R545" t="s">
        <v>16</v>
      </c>
      <c r="S545" t="s">
        <v>20</v>
      </c>
      <c r="T545" t="s">
        <v>48</v>
      </c>
      <c r="U545" t="str">
        <f t="shared" si="63"/>
        <v>High-Cost</v>
      </c>
    </row>
    <row r="546" spans="1:21" x14ac:dyDescent="0.3">
      <c r="A546">
        <v>1054</v>
      </c>
      <c r="B546" s="1">
        <v>45228</v>
      </c>
      <c r="C546" s="2" t="s">
        <v>22</v>
      </c>
      <c r="D546" t="s">
        <v>19</v>
      </c>
      <c r="E546">
        <v>8</v>
      </c>
      <c r="F546" t="s">
        <v>27</v>
      </c>
      <c r="G546">
        <f>1</f>
        <v>1</v>
      </c>
      <c r="H546" s="3">
        <v>3610.21</v>
      </c>
      <c r="I546" s="3">
        <v>3817.99</v>
      </c>
      <c r="J546" s="3">
        <f t="shared" si="57"/>
        <v>3245.2914999999998</v>
      </c>
      <c r="K546" s="3">
        <f t="shared" si="58"/>
        <v>25962.331999999999</v>
      </c>
      <c r="L546" s="3">
        <f t="shared" si="61"/>
        <v>28881.68</v>
      </c>
      <c r="M546" s="8">
        <f t="shared" si="62"/>
        <v>-2919.3480000000018</v>
      </c>
      <c r="N546" s="4">
        <f t="shared" si="59"/>
        <v>-0.11244552299847341</v>
      </c>
      <c r="O546" s="4" t="str">
        <f t="shared" si="60"/>
        <v>Loss</v>
      </c>
      <c r="P546" t="s">
        <v>15</v>
      </c>
      <c r="Q546">
        <v>0.15</v>
      </c>
      <c r="R546" t="s">
        <v>16</v>
      </c>
      <c r="S546" t="s">
        <v>20</v>
      </c>
      <c r="T546" t="s">
        <v>45</v>
      </c>
      <c r="U546" t="str">
        <f t="shared" si="63"/>
        <v>High-Cost</v>
      </c>
    </row>
    <row r="547" spans="1:21" x14ac:dyDescent="0.3">
      <c r="A547">
        <v>1055</v>
      </c>
      <c r="B547" s="1">
        <v>45261</v>
      </c>
      <c r="C547" s="2" t="s">
        <v>31</v>
      </c>
      <c r="D547" t="s">
        <v>19</v>
      </c>
      <c r="E547">
        <v>8</v>
      </c>
      <c r="F547" t="s">
        <v>14</v>
      </c>
      <c r="G547">
        <f>1</f>
        <v>1</v>
      </c>
      <c r="H547" s="3">
        <v>3513</v>
      </c>
      <c r="I547" s="3">
        <v>3838.42</v>
      </c>
      <c r="J547" s="3">
        <f t="shared" si="57"/>
        <v>3339.4254000000001</v>
      </c>
      <c r="K547" s="3">
        <f t="shared" si="58"/>
        <v>26715.403200000001</v>
      </c>
      <c r="L547" s="3">
        <f t="shared" si="61"/>
        <v>28104</v>
      </c>
      <c r="M547" s="8">
        <f t="shared" si="62"/>
        <v>-1388.5967999999993</v>
      </c>
      <c r="N547" s="4">
        <f t="shared" si="59"/>
        <v>-5.1977385091459119E-2</v>
      </c>
      <c r="O547" s="4" t="str">
        <f t="shared" si="60"/>
        <v>Loss</v>
      </c>
      <c r="P547" t="s">
        <v>15</v>
      </c>
      <c r="Q547">
        <v>0.13</v>
      </c>
      <c r="R547" t="s">
        <v>25</v>
      </c>
      <c r="S547" t="s">
        <v>17</v>
      </c>
      <c r="T547" t="s">
        <v>35</v>
      </c>
      <c r="U547" t="str">
        <f t="shared" si="63"/>
        <v>High-Cost</v>
      </c>
    </row>
    <row r="548" spans="1:21" x14ac:dyDescent="0.3">
      <c r="A548">
        <v>1055</v>
      </c>
      <c r="B548" s="1">
        <v>45172</v>
      </c>
      <c r="C548" s="2" t="s">
        <v>31</v>
      </c>
      <c r="D548" t="s">
        <v>19</v>
      </c>
      <c r="E548">
        <v>12</v>
      </c>
      <c r="F548" t="s">
        <v>33</v>
      </c>
      <c r="G548">
        <f>1</f>
        <v>1</v>
      </c>
      <c r="H548" s="3">
        <v>2538.61</v>
      </c>
      <c r="I548" s="3">
        <v>2971.75</v>
      </c>
      <c r="J548" s="3">
        <f t="shared" si="57"/>
        <v>2258.5300000000002</v>
      </c>
      <c r="K548" s="3">
        <f t="shared" si="58"/>
        <v>27102.36</v>
      </c>
      <c r="L548" s="3">
        <f t="shared" si="61"/>
        <v>30463.32</v>
      </c>
      <c r="M548" s="8">
        <f t="shared" si="62"/>
        <v>-3360.9599999999991</v>
      </c>
      <c r="N548" s="4">
        <f t="shared" si="59"/>
        <v>-0.12400986482357991</v>
      </c>
      <c r="O548" s="4" t="str">
        <f t="shared" si="60"/>
        <v>Loss</v>
      </c>
      <c r="P548" t="s">
        <v>15</v>
      </c>
      <c r="Q548">
        <v>0.24</v>
      </c>
      <c r="R548" t="s">
        <v>16</v>
      </c>
      <c r="S548" t="s">
        <v>17</v>
      </c>
      <c r="T548" t="s">
        <v>35</v>
      </c>
      <c r="U548" t="str">
        <f t="shared" si="63"/>
        <v>High-Cost</v>
      </c>
    </row>
    <row r="549" spans="1:21" x14ac:dyDescent="0.3">
      <c r="A549">
        <v>1055</v>
      </c>
      <c r="B549" s="1">
        <v>45113</v>
      </c>
      <c r="C549" s="2" t="s">
        <v>36</v>
      </c>
      <c r="D549" t="s">
        <v>23</v>
      </c>
      <c r="E549">
        <v>16</v>
      </c>
      <c r="F549" t="s">
        <v>27</v>
      </c>
      <c r="G549">
        <f>1</f>
        <v>1</v>
      </c>
      <c r="H549" s="3">
        <v>4195.38</v>
      </c>
      <c r="I549" s="3">
        <v>4461.51</v>
      </c>
      <c r="J549" s="3">
        <f t="shared" si="57"/>
        <v>4059.9741000000004</v>
      </c>
      <c r="K549" s="3">
        <f t="shared" si="58"/>
        <v>64959.585600000006</v>
      </c>
      <c r="L549" s="3">
        <f t="shared" si="61"/>
        <v>67126.080000000002</v>
      </c>
      <c r="M549" s="8">
        <f t="shared" si="62"/>
        <v>-2166.4943999999959</v>
      </c>
      <c r="N549" s="4">
        <f t="shared" si="59"/>
        <v>-3.3351419655608082E-2</v>
      </c>
      <c r="O549" s="4" t="str">
        <f t="shared" si="60"/>
        <v>Loss</v>
      </c>
      <c r="P549" t="s">
        <v>15</v>
      </c>
      <c r="Q549">
        <v>0.09</v>
      </c>
      <c r="R549" t="s">
        <v>25</v>
      </c>
      <c r="S549" t="s">
        <v>17</v>
      </c>
      <c r="T549" t="s">
        <v>37</v>
      </c>
      <c r="U549" t="str">
        <f t="shared" si="63"/>
        <v>High-Cost</v>
      </c>
    </row>
    <row r="550" spans="1:21" x14ac:dyDescent="0.3">
      <c r="A550">
        <v>1055</v>
      </c>
      <c r="B550" s="1">
        <v>45215</v>
      </c>
      <c r="C550" s="2" t="s">
        <v>22</v>
      </c>
      <c r="D550" t="s">
        <v>32</v>
      </c>
      <c r="E550">
        <v>46</v>
      </c>
      <c r="F550" t="s">
        <v>27</v>
      </c>
      <c r="G550">
        <f>1</f>
        <v>1</v>
      </c>
      <c r="H550" s="3">
        <v>4173.5200000000004</v>
      </c>
      <c r="I550" s="3">
        <v>4294.8500000000004</v>
      </c>
      <c r="J550" s="3">
        <f t="shared" si="57"/>
        <v>4166.0045</v>
      </c>
      <c r="K550" s="3">
        <f t="shared" si="58"/>
        <v>191636.20699999999</v>
      </c>
      <c r="L550" s="3">
        <f t="shared" si="61"/>
        <v>191981.92</v>
      </c>
      <c r="M550" s="8">
        <f t="shared" si="62"/>
        <v>-345.71300000001793</v>
      </c>
      <c r="N550" s="4">
        <f t="shared" si="59"/>
        <v>-1.8040066927437043E-3</v>
      </c>
      <c r="O550" s="4" t="str">
        <f t="shared" si="60"/>
        <v>Loss</v>
      </c>
      <c r="P550" t="s">
        <v>15</v>
      </c>
      <c r="Q550">
        <v>0.03</v>
      </c>
      <c r="R550" t="s">
        <v>25</v>
      </c>
      <c r="S550" t="s">
        <v>20</v>
      </c>
      <c r="T550" t="s">
        <v>48</v>
      </c>
      <c r="U550" t="str">
        <f t="shared" si="63"/>
        <v>High-Cost</v>
      </c>
    </row>
    <row r="551" spans="1:21" x14ac:dyDescent="0.3">
      <c r="A551">
        <v>1055</v>
      </c>
      <c r="B551" s="1">
        <v>45127</v>
      </c>
      <c r="C551" s="2" t="s">
        <v>36</v>
      </c>
      <c r="D551" t="s">
        <v>19</v>
      </c>
      <c r="E551">
        <v>43</v>
      </c>
      <c r="F551" t="s">
        <v>14</v>
      </c>
      <c r="G551">
        <f>1</f>
        <v>1</v>
      </c>
      <c r="H551" s="3">
        <v>4111.7</v>
      </c>
      <c r="I551" s="3">
        <v>4537.9399999999996</v>
      </c>
      <c r="J551" s="3">
        <f t="shared" si="57"/>
        <v>3948.0077999999994</v>
      </c>
      <c r="K551" s="3">
        <f t="shared" si="58"/>
        <v>169764.33539999998</v>
      </c>
      <c r="L551" s="3">
        <f t="shared" si="61"/>
        <v>176803.1</v>
      </c>
      <c r="M551" s="8">
        <f t="shared" si="62"/>
        <v>-7038.7646000000241</v>
      </c>
      <c r="N551" s="4">
        <f t="shared" si="59"/>
        <v>-4.1461974821833072E-2</v>
      </c>
      <c r="O551" s="4" t="str">
        <f t="shared" si="60"/>
        <v>Loss</v>
      </c>
      <c r="P551" t="s">
        <v>15</v>
      </c>
      <c r="Q551">
        <v>0.13</v>
      </c>
      <c r="R551" t="s">
        <v>25</v>
      </c>
      <c r="S551" t="s">
        <v>17</v>
      </c>
      <c r="T551" t="s">
        <v>39</v>
      </c>
      <c r="U551" t="str">
        <f t="shared" si="63"/>
        <v>High-Cost</v>
      </c>
    </row>
    <row r="552" spans="1:21" x14ac:dyDescent="0.3">
      <c r="A552">
        <v>1055</v>
      </c>
      <c r="B552" s="1">
        <v>45010</v>
      </c>
      <c r="C552" s="2" t="s">
        <v>22</v>
      </c>
      <c r="D552" t="s">
        <v>32</v>
      </c>
      <c r="E552">
        <v>11</v>
      </c>
      <c r="F552" t="s">
        <v>33</v>
      </c>
      <c r="G552">
        <f>1</f>
        <v>1</v>
      </c>
      <c r="H552" s="3">
        <v>2495.1999999999998</v>
      </c>
      <c r="I552" s="3">
        <v>2600.9299999999998</v>
      </c>
      <c r="J552" s="3">
        <f t="shared" si="57"/>
        <v>2054.7347</v>
      </c>
      <c r="K552" s="3">
        <f t="shared" si="58"/>
        <v>22602.081700000002</v>
      </c>
      <c r="L552" s="3">
        <f t="shared" si="61"/>
        <v>27447.199999999997</v>
      </c>
      <c r="M552" s="8">
        <f t="shared" si="62"/>
        <v>-4845.1182999999946</v>
      </c>
      <c r="N552" s="4">
        <f t="shared" si="59"/>
        <v>-0.21436602009982089</v>
      </c>
      <c r="O552" s="4" t="str">
        <f t="shared" si="60"/>
        <v>Loss</v>
      </c>
      <c r="P552" t="s">
        <v>28</v>
      </c>
      <c r="Q552">
        <v>0.21</v>
      </c>
      <c r="R552" t="s">
        <v>25</v>
      </c>
      <c r="S552" t="s">
        <v>20</v>
      </c>
      <c r="T552" t="s">
        <v>48</v>
      </c>
      <c r="U552" t="str">
        <f t="shared" si="63"/>
        <v>Low-Cost</v>
      </c>
    </row>
    <row r="553" spans="1:21" x14ac:dyDescent="0.3">
      <c r="A553">
        <v>1055</v>
      </c>
      <c r="B553" s="1">
        <v>45075</v>
      </c>
      <c r="C553" s="2" t="s">
        <v>36</v>
      </c>
      <c r="D553" t="s">
        <v>13</v>
      </c>
      <c r="E553">
        <v>40</v>
      </c>
      <c r="F553" t="s">
        <v>14</v>
      </c>
      <c r="G553">
        <f>1</f>
        <v>1</v>
      </c>
      <c r="H553" s="3">
        <v>959.73</v>
      </c>
      <c r="I553" s="3">
        <v>1111.4100000000001</v>
      </c>
      <c r="J553" s="3">
        <f t="shared" si="57"/>
        <v>855.78570000000013</v>
      </c>
      <c r="K553" s="3">
        <f t="shared" si="58"/>
        <v>34231.428</v>
      </c>
      <c r="L553" s="3">
        <f t="shared" si="61"/>
        <v>38389.199999999997</v>
      </c>
      <c r="M553" s="8">
        <f t="shared" si="62"/>
        <v>-4157.7719999999972</v>
      </c>
      <c r="N553" s="4">
        <f t="shared" si="59"/>
        <v>-0.12146066474352157</v>
      </c>
      <c r="O553" s="4" t="str">
        <f t="shared" si="60"/>
        <v>Loss</v>
      </c>
      <c r="P553" t="s">
        <v>28</v>
      </c>
      <c r="Q553">
        <v>0.23</v>
      </c>
      <c r="R553" t="s">
        <v>25</v>
      </c>
      <c r="S553" t="s">
        <v>17</v>
      </c>
      <c r="T553" t="s">
        <v>38</v>
      </c>
      <c r="U553" t="str">
        <f t="shared" si="63"/>
        <v>Low-Cost</v>
      </c>
    </row>
    <row r="554" spans="1:21" x14ac:dyDescent="0.3">
      <c r="A554">
        <v>1056</v>
      </c>
      <c r="B554" s="1">
        <v>45053</v>
      </c>
      <c r="C554" s="2" t="s">
        <v>22</v>
      </c>
      <c r="D554" t="s">
        <v>32</v>
      </c>
      <c r="E554">
        <v>28</v>
      </c>
      <c r="F554" t="s">
        <v>27</v>
      </c>
      <c r="G554">
        <f>1</f>
        <v>1</v>
      </c>
      <c r="H554" s="3">
        <v>1566.03</v>
      </c>
      <c r="I554" s="3">
        <v>1576.34</v>
      </c>
      <c r="J554" s="3">
        <f t="shared" si="57"/>
        <v>1261.0720000000001</v>
      </c>
      <c r="K554" s="3">
        <f t="shared" si="58"/>
        <v>35310.015999999996</v>
      </c>
      <c r="L554" s="3">
        <f t="shared" si="61"/>
        <v>43848.84</v>
      </c>
      <c r="M554" s="8">
        <f t="shared" si="62"/>
        <v>-8538.8240000000005</v>
      </c>
      <c r="N554" s="4">
        <f t="shared" si="59"/>
        <v>-0.24182441605237454</v>
      </c>
      <c r="O554" s="4" t="str">
        <f t="shared" si="60"/>
        <v>Loss</v>
      </c>
      <c r="P554" t="s">
        <v>15</v>
      </c>
      <c r="Q554">
        <v>0.2</v>
      </c>
      <c r="R554" t="s">
        <v>25</v>
      </c>
      <c r="S554" t="s">
        <v>17</v>
      </c>
      <c r="T554" t="s">
        <v>48</v>
      </c>
      <c r="U554" t="str">
        <f t="shared" si="63"/>
        <v>Low-Cost</v>
      </c>
    </row>
    <row r="555" spans="1:21" x14ac:dyDescent="0.3">
      <c r="A555">
        <v>1056</v>
      </c>
      <c r="B555" s="1">
        <v>44967</v>
      </c>
      <c r="C555" s="2" t="s">
        <v>12</v>
      </c>
      <c r="D555" t="s">
        <v>19</v>
      </c>
      <c r="E555">
        <v>42</v>
      </c>
      <c r="F555" t="s">
        <v>14</v>
      </c>
      <c r="G555">
        <f>1</f>
        <v>1</v>
      </c>
      <c r="H555" s="3">
        <v>1080.1199999999999</v>
      </c>
      <c r="I555" s="3">
        <v>1424.17</v>
      </c>
      <c r="J555" s="3">
        <f t="shared" si="57"/>
        <v>1281.7530000000002</v>
      </c>
      <c r="K555" s="3">
        <f t="shared" si="58"/>
        <v>53833.626000000004</v>
      </c>
      <c r="L555" s="3">
        <f t="shared" si="61"/>
        <v>45365.039999999994</v>
      </c>
      <c r="M555" s="8">
        <f t="shared" si="62"/>
        <v>8468.5860000000102</v>
      </c>
      <c r="N555" s="4">
        <f t="shared" si="59"/>
        <v>0.15731033982366355</v>
      </c>
      <c r="O555" s="4" t="str">
        <f t="shared" si="60"/>
        <v>Profit</v>
      </c>
      <c r="P555" t="s">
        <v>28</v>
      </c>
      <c r="Q555">
        <v>0.1</v>
      </c>
      <c r="R555" t="s">
        <v>16</v>
      </c>
      <c r="S555" t="s">
        <v>17</v>
      </c>
      <c r="T555" t="s">
        <v>21</v>
      </c>
      <c r="U555" t="str">
        <f t="shared" si="63"/>
        <v>Low-Cost</v>
      </c>
    </row>
    <row r="556" spans="1:21" x14ac:dyDescent="0.3">
      <c r="A556">
        <v>1056</v>
      </c>
      <c r="B556" s="1">
        <v>44940</v>
      </c>
      <c r="C556" s="2" t="s">
        <v>31</v>
      </c>
      <c r="D556" t="s">
        <v>19</v>
      </c>
      <c r="E556">
        <v>25</v>
      </c>
      <c r="F556" t="s">
        <v>24</v>
      </c>
      <c r="G556">
        <f>1</f>
        <v>1</v>
      </c>
      <c r="H556" s="3">
        <v>2361.7399999999998</v>
      </c>
      <c r="I556" s="3">
        <v>2584.35</v>
      </c>
      <c r="J556" s="3">
        <f t="shared" si="57"/>
        <v>2067.48</v>
      </c>
      <c r="K556" s="3">
        <f t="shared" si="58"/>
        <v>51687</v>
      </c>
      <c r="L556" s="3">
        <f t="shared" si="61"/>
        <v>59043.499999999993</v>
      </c>
      <c r="M556" s="8">
        <f t="shared" si="62"/>
        <v>-7356.4999999999927</v>
      </c>
      <c r="N556" s="4">
        <f t="shared" si="59"/>
        <v>-0.14232785806875989</v>
      </c>
      <c r="O556" s="4" t="str">
        <f t="shared" si="60"/>
        <v>Loss</v>
      </c>
      <c r="P556" t="s">
        <v>15</v>
      </c>
      <c r="Q556">
        <v>0.2</v>
      </c>
      <c r="R556" t="s">
        <v>16</v>
      </c>
      <c r="S556" t="s">
        <v>17</v>
      </c>
      <c r="T556" t="s">
        <v>35</v>
      </c>
      <c r="U556" t="str">
        <f t="shared" si="63"/>
        <v>Low-Cost</v>
      </c>
    </row>
    <row r="557" spans="1:21" x14ac:dyDescent="0.3">
      <c r="A557">
        <v>1056</v>
      </c>
      <c r="B557" s="1">
        <v>45063</v>
      </c>
      <c r="C557" s="2" t="s">
        <v>22</v>
      </c>
      <c r="D557" t="s">
        <v>19</v>
      </c>
      <c r="E557">
        <v>47</v>
      </c>
      <c r="F557" t="s">
        <v>14</v>
      </c>
      <c r="G557">
        <f>1</f>
        <v>1</v>
      </c>
      <c r="H557" s="3">
        <v>2461.6999999999998</v>
      </c>
      <c r="I557" s="3">
        <v>2529.02</v>
      </c>
      <c r="J557" s="3">
        <f t="shared" si="57"/>
        <v>1972.6356000000001</v>
      </c>
      <c r="K557" s="3">
        <f t="shared" si="58"/>
        <v>92713.873200000002</v>
      </c>
      <c r="L557" s="3">
        <f t="shared" si="61"/>
        <v>115699.9</v>
      </c>
      <c r="M557" s="8">
        <f t="shared" si="62"/>
        <v>-22986.026799999992</v>
      </c>
      <c r="N557" s="4">
        <f t="shared" si="59"/>
        <v>-0.24792435054908257</v>
      </c>
      <c r="O557" s="4" t="str">
        <f t="shared" si="60"/>
        <v>Loss</v>
      </c>
      <c r="P557" t="s">
        <v>15</v>
      </c>
      <c r="Q557">
        <v>0.22</v>
      </c>
      <c r="R557" t="s">
        <v>16</v>
      </c>
      <c r="S557" t="s">
        <v>20</v>
      </c>
      <c r="T557" t="s">
        <v>45</v>
      </c>
      <c r="U557" t="str">
        <f t="shared" si="63"/>
        <v>Low-Cost</v>
      </c>
    </row>
    <row r="558" spans="1:21" x14ac:dyDescent="0.3">
      <c r="A558">
        <v>1056</v>
      </c>
      <c r="B558" s="1">
        <v>45130</v>
      </c>
      <c r="C558" s="2" t="s">
        <v>12</v>
      </c>
      <c r="D558" t="s">
        <v>19</v>
      </c>
      <c r="E558">
        <v>35</v>
      </c>
      <c r="F558" t="s">
        <v>14</v>
      </c>
      <c r="G558">
        <f>1</f>
        <v>1</v>
      </c>
      <c r="H558" s="3">
        <v>2344.9299999999998</v>
      </c>
      <c r="I558" s="3">
        <v>2707.25</v>
      </c>
      <c r="J558" s="3">
        <f t="shared" si="57"/>
        <v>2382.38</v>
      </c>
      <c r="K558" s="3">
        <f t="shared" si="58"/>
        <v>83383.3</v>
      </c>
      <c r="L558" s="3">
        <f t="shared" si="61"/>
        <v>82072.549999999988</v>
      </c>
      <c r="M558" s="8">
        <f t="shared" si="62"/>
        <v>1310.7500000000146</v>
      </c>
      <c r="N558" s="4">
        <f t="shared" si="59"/>
        <v>1.5719574543104128E-2</v>
      </c>
      <c r="O558" s="4" t="str">
        <f t="shared" si="60"/>
        <v>Profit</v>
      </c>
      <c r="P558" t="s">
        <v>28</v>
      </c>
      <c r="Q558">
        <v>0.12</v>
      </c>
      <c r="R558" t="s">
        <v>29</v>
      </c>
      <c r="S558" t="s">
        <v>20</v>
      </c>
      <c r="T558" t="s">
        <v>21</v>
      </c>
      <c r="U558" t="str">
        <f t="shared" si="63"/>
        <v>Low-Cost</v>
      </c>
    </row>
    <row r="559" spans="1:21" x14ac:dyDescent="0.3">
      <c r="A559">
        <v>1056</v>
      </c>
      <c r="B559" s="1">
        <v>45285</v>
      </c>
      <c r="C559" s="2" t="s">
        <v>12</v>
      </c>
      <c r="D559" t="s">
        <v>13</v>
      </c>
      <c r="E559">
        <v>25</v>
      </c>
      <c r="F559" t="s">
        <v>27</v>
      </c>
      <c r="G559">
        <f>1</f>
        <v>1</v>
      </c>
      <c r="H559" s="3">
        <v>1154.28</v>
      </c>
      <c r="I559" s="3">
        <v>1408.4</v>
      </c>
      <c r="J559" s="3">
        <f t="shared" si="57"/>
        <v>999.96400000000006</v>
      </c>
      <c r="K559" s="3">
        <f t="shared" si="58"/>
        <v>24999.1</v>
      </c>
      <c r="L559" s="3">
        <f t="shared" si="61"/>
        <v>28857</v>
      </c>
      <c r="M559" s="8">
        <f t="shared" si="62"/>
        <v>-3857.9000000000015</v>
      </c>
      <c r="N559" s="4">
        <f t="shared" si="59"/>
        <v>-0.1543215555760008</v>
      </c>
      <c r="O559" s="4" t="str">
        <f t="shared" si="60"/>
        <v>Loss</v>
      </c>
      <c r="P559" t="s">
        <v>15</v>
      </c>
      <c r="Q559">
        <v>0.28999999999999998</v>
      </c>
      <c r="R559" t="s">
        <v>25</v>
      </c>
      <c r="S559" t="s">
        <v>20</v>
      </c>
      <c r="T559" t="s">
        <v>18</v>
      </c>
      <c r="U559" t="str">
        <f t="shared" si="63"/>
        <v>Low-Cost</v>
      </c>
    </row>
    <row r="560" spans="1:21" x14ac:dyDescent="0.3">
      <c r="A560">
        <v>1056</v>
      </c>
      <c r="B560" s="1">
        <v>45287</v>
      </c>
      <c r="C560" s="2" t="s">
        <v>12</v>
      </c>
      <c r="D560" t="s">
        <v>32</v>
      </c>
      <c r="E560">
        <v>4</v>
      </c>
      <c r="F560" t="s">
        <v>24</v>
      </c>
      <c r="G560">
        <f>1</f>
        <v>1</v>
      </c>
      <c r="H560" s="3">
        <v>1612.82</v>
      </c>
      <c r="I560" s="3">
        <v>1647.25</v>
      </c>
      <c r="J560" s="3">
        <f t="shared" si="57"/>
        <v>1581.36</v>
      </c>
      <c r="K560" s="3">
        <f t="shared" si="58"/>
        <v>6325.44</v>
      </c>
      <c r="L560" s="3">
        <f t="shared" si="61"/>
        <v>6451.28</v>
      </c>
      <c r="M560" s="8">
        <f t="shared" si="62"/>
        <v>-125.84000000000015</v>
      </c>
      <c r="N560" s="4">
        <f t="shared" si="59"/>
        <v>-1.9894268224819166E-2</v>
      </c>
      <c r="O560" s="4" t="str">
        <f t="shared" si="60"/>
        <v>Loss</v>
      </c>
      <c r="P560" t="s">
        <v>15</v>
      </c>
      <c r="Q560">
        <v>0.04</v>
      </c>
      <c r="R560" t="s">
        <v>29</v>
      </c>
      <c r="S560" t="s">
        <v>20</v>
      </c>
      <c r="T560" t="s">
        <v>44</v>
      </c>
      <c r="U560" t="str">
        <f t="shared" si="63"/>
        <v>Low-Cost</v>
      </c>
    </row>
    <row r="561" spans="1:21" x14ac:dyDescent="0.3">
      <c r="A561">
        <v>1056</v>
      </c>
      <c r="B561" s="1">
        <v>44985</v>
      </c>
      <c r="C561" s="2" t="s">
        <v>36</v>
      </c>
      <c r="D561" t="s">
        <v>13</v>
      </c>
      <c r="E561">
        <v>37</v>
      </c>
      <c r="F561" t="s">
        <v>33</v>
      </c>
      <c r="G561">
        <f>1</f>
        <v>1</v>
      </c>
      <c r="H561" s="3">
        <v>1555.41</v>
      </c>
      <c r="I561" s="3">
        <v>1609.94</v>
      </c>
      <c r="J561" s="3">
        <f t="shared" si="57"/>
        <v>1352.3496</v>
      </c>
      <c r="K561" s="3">
        <f t="shared" si="58"/>
        <v>50036.9352</v>
      </c>
      <c r="L561" s="3">
        <f t="shared" si="61"/>
        <v>57550.170000000006</v>
      </c>
      <c r="M561" s="8">
        <f t="shared" si="62"/>
        <v>-7513.2348000000056</v>
      </c>
      <c r="N561" s="4">
        <f t="shared" si="59"/>
        <v>-0.15015377680445954</v>
      </c>
      <c r="O561" s="4" t="str">
        <f t="shared" si="60"/>
        <v>Loss</v>
      </c>
      <c r="P561" t="s">
        <v>15</v>
      </c>
      <c r="Q561">
        <v>0.16</v>
      </c>
      <c r="R561" t="s">
        <v>29</v>
      </c>
      <c r="S561" t="s">
        <v>17</v>
      </c>
      <c r="T561" t="s">
        <v>38</v>
      </c>
      <c r="U561" t="str">
        <f t="shared" si="63"/>
        <v>Low-Cost</v>
      </c>
    </row>
    <row r="562" spans="1:21" x14ac:dyDescent="0.3">
      <c r="A562">
        <v>1056</v>
      </c>
      <c r="B562" s="1">
        <v>45045</v>
      </c>
      <c r="C562" s="2" t="s">
        <v>31</v>
      </c>
      <c r="D562" t="s">
        <v>13</v>
      </c>
      <c r="E562">
        <v>10</v>
      </c>
      <c r="F562" t="s">
        <v>27</v>
      </c>
      <c r="G562">
        <f>1</f>
        <v>1</v>
      </c>
      <c r="H562" s="3">
        <v>536.80999999999995</v>
      </c>
      <c r="I562" s="3">
        <v>839.92</v>
      </c>
      <c r="J562" s="3">
        <f t="shared" si="57"/>
        <v>713.9319999999999</v>
      </c>
      <c r="K562" s="3">
        <f t="shared" si="58"/>
        <v>7139.3199999999988</v>
      </c>
      <c r="L562" s="3">
        <f t="shared" si="61"/>
        <v>5368.0999999999995</v>
      </c>
      <c r="M562" s="8">
        <f t="shared" si="62"/>
        <v>1771.2199999999993</v>
      </c>
      <c r="N562" s="4">
        <f t="shared" si="59"/>
        <v>0.24809365597844046</v>
      </c>
      <c r="O562" s="4" t="str">
        <f t="shared" si="60"/>
        <v>Profit</v>
      </c>
      <c r="P562" t="s">
        <v>15</v>
      </c>
      <c r="Q562">
        <v>0.15</v>
      </c>
      <c r="R562" t="s">
        <v>25</v>
      </c>
      <c r="S562" t="s">
        <v>17</v>
      </c>
      <c r="T562" t="s">
        <v>51</v>
      </c>
      <c r="U562" t="str">
        <f t="shared" si="63"/>
        <v>Low-Cost</v>
      </c>
    </row>
    <row r="563" spans="1:21" x14ac:dyDescent="0.3">
      <c r="A563">
        <v>1057</v>
      </c>
      <c r="B563" s="1">
        <v>45079</v>
      </c>
      <c r="C563" s="2" t="s">
        <v>12</v>
      </c>
      <c r="D563" t="s">
        <v>23</v>
      </c>
      <c r="E563">
        <v>12</v>
      </c>
      <c r="F563" t="s">
        <v>33</v>
      </c>
      <c r="G563">
        <f>1</f>
        <v>1</v>
      </c>
      <c r="H563" s="3">
        <v>1878.3</v>
      </c>
      <c r="I563" s="3">
        <v>2087.4499999999998</v>
      </c>
      <c r="J563" s="3">
        <f t="shared" si="57"/>
        <v>1983.0774999999996</v>
      </c>
      <c r="K563" s="3">
        <f t="shared" si="58"/>
        <v>23796.929999999997</v>
      </c>
      <c r="L563" s="3">
        <f t="shared" si="61"/>
        <v>22539.599999999999</v>
      </c>
      <c r="M563" s="8">
        <f t="shared" si="62"/>
        <v>1257.3299999999981</v>
      </c>
      <c r="N563" s="4">
        <f t="shared" si="59"/>
        <v>5.2835806971739563E-2</v>
      </c>
      <c r="O563" s="4" t="str">
        <f t="shared" si="60"/>
        <v>Profit</v>
      </c>
      <c r="P563" t="s">
        <v>28</v>
      </c>
      <c r="Q563">
        <v>0.05</v>
      </c>
      <c r="R563" t="s">
        <v>25</v>
      </c>
      <c r="S563" t="s">
        <v>20</v>
      </c>
      <c r="T563" t="s">
        <v>30</v>
      </c>
      <c r="U563" t="str">
        <f t="shared" si="63"/>
        <v>Low-Cost</v>
      </c>
    </row>
    <row r="564" spans="1:21" x14ac:dyDescent="0.3">
      <c r="A564">
        <v>1057</v>
      </c>
      <c r="B564" s="1">
        <v>45079</v>
      </c>
      <c r="C564" s="2" t="s">
        <v>36</v>
      </c>
      <c r="D564" t="s">
        <v>32</v>
      </c>
      <c r="E564">
        <v>22</v>
      </c>
      <c r="F564" t="s">
        <v>24</v>
      </c>
      <c r="G564">
        <f>1</f>
        <v>1</v>
      </c>
      <c r="H564" s="3">
        <v>3462.61</v>
      </c>
      <c r="I564" s="3">
        <v>3672.89</v>
      </c>
      <c r="J564" s="3">
        <f t="shared" si="57"/>
        <v>2681.2096999999999</v>
      </c>
      <c r="K564" s="3">
        <f t="shared" si="58"/>
        <v>58986.613400000002</v>
      </c>
      <c r="L564" s="3">
        <f t="shared" si="61"/>
        <v>76177.42</v>
      </c>
      <c r="M564" s="8">
        <f t="shared" si="62"/>
        <v>-17190.806599999996</v>
      </c>
      <c r="N564" s="4">
        <f t="shared" si="59"/>
        <v>-0.29143572768664822</v>
      </c>
      <c r="O564" s="4" t="str">
        <f t="shared" si="60"/>
        <v>Loss</v>
      </c>
      <c r="P564" t="s">
        <v>15</v>
      </c>
      <c r="Q564">
        <v>0.27</v>
      </c>
      <c r="R564" t="s">
        <v>29</v>
      </c>
      <c r="S564" t="s">
        <v>17</v>
      </c>
      <c r="T564" t="s">
        <v>46</v>
      </c>
      <c r="U564" t="str">
        <f t="shared" si="63"/>
        <v>High-Cost</v>
      </c>
    </row>
    <row r="565" spans="1:21" x14ac:dyDescent="0.3">
      <c r="A565">
        <v>1057</v>
      </c>
      <c r="B565" s="1">
        <v>45237</v>
      </c>
      <c r="C565" s="2" t="s">
        <v>12</v>
      </c>
      <c r="D565" t="s">
        <v>32</v>
      </c>
      <c r="E565">
        <v>26</v>
      </c>
      <c r="F565" t="s">
        <v>27</v>
      </c>
      <c r="G565">
        <f>1</f>
        <v>1</v>
      </c>
      <c r="H565" s="3">
        <v>1291.82</v>
      </c>
      <c r="I565" s="3">
        <v>1308.44</v>
      </c>
      <c r="J565" s="3">
        <f t="shared" si="57"/>
        <v>1216.8491999999999</v>
      </c>
      <c r="K565" s="3">
        <f t="shared" si="58"/>
        <v>31638.0792</v>
      </c>
      <c r="L565" s="3">
        <f t="shared" si="61"/>
        <v>33587.32</v>
      </c>
      <c r="M565" s="8">
        <f t="shared" si="62"/>
        <v>-1949.2407999999996</v>
      </c>
      <c r="N565" s="4">
        <f t="shared" si="59"/>
        <v>-6.1610592339625965E-2</v>
      </c>
      <c r="O565" s="4" t="str">
        <f t="shared" si="60"/>
        <v>Loss</v>
      </c>
      <c r="P565" t="s">
        <v>15</v>
      </c>
      <c r="Q565">
        <v>7.0000000000000007E-2</v>
      </c>
      <c r="R565" t="s">
        <v>29</v>
      </c>
      <c r="S565" t="s">
        <v>17</v>
      </c>
      <c r="T565" t="s">
        <v>44</v>
      </c>
      <c r="U565" t="str">
        <f t="shared" si="63"/>
        <v>Low-Cost</v>
      </c>
    </row>
    <row r="566" spans="1:21" x14ac:dyDescent="0.3">
      <c r="A566">
        <v>1057</v>
      </c>
      <c r="B566" s="1">
        <v>45085</v>
      </c>
      <c r="C566" s="2" t="s">
        <v>31</v>
      </c>
      <c r="D566" t="s">
        <v>32</v>
      </c>
      <c r="E566">
        <v>43</v>
      </c>
      <c r="F566" t="s">
        <v>14</v>
      </c>
      <c r="G566">
        <f>1</f>
        <v>1</v>
      </c>
      <c r="H566" s="3">
        <v>4567.3900000000003</v>
      </c>
      <c r="I566" s="3">
        <v>4958.78</v>
      </c>
      <c r="J566" s="3">
        <f t="shared" si="57"/>
        <v>4760.4287999999997</v>
      </c>
      <c r="K566" s="3">
        <f t="shared" si="58"/>
        <v>204698.43839999998</v>
      </c>
      <c r="L566" s="3">
        <f t="shared" si="61"/>
        <v>196397.77000000002</v>
      </c>
      <c r="M566" s="8">
        <f t="shared" si="62"/>
        <v>8300.6683999999659</v>
      </c>
      <c r="N566" s="4">
        <f t="shared" si="59"/>
        <v>4.0550716775765917E-2</v>
      </c>
      <c r="O566" s="4" t="str">
        <f t="shared" si="60"/>
        <v>Profit</v>
      </c>
      <c r="P566" t="s">
        <v>28</v>
      </c>
      <c r="Q566">
        <v>0.04</v>
      </c>
      <c r="R566" t="s">
        <v>16</v>
      </c>
      <c r="S566" t="s">
        <v>20</v>
      </c>
      <c r="T566" t="s">
        <v>34</v>
      </c>
      <c r="U566" t="str">
        <f t="shared" si="63"/>
        <v>High-Cost</v>
      </c>
    </row>
    <row r="567" spans="1:21" x14ac:dyDescent="0.3">
      <c r="A567">
        <v>1057</v>
      </c>
      <c r="B567" s="1">
        <v>44935</v>
      </c>
      <c r="C567" s="2" t="s">
        <v>31</v>
      </c>
      <c r="D567" t="s">
        <v>13</v>
      </c>
      <c r="E567">
        <v>12</v>
      </c>
      <c r="F567" t="s">
        <v>14</v>
      </c>
      <c r="G567">
        <f>1</f>
        <v>1</v>
      </c>
      <c r="H567" s="3">
        <v>639.16</v>
      </c>
      <c r="I567" s="3">
        <v>746.28</v>
      </c>
      <c r="J567" s="3">
        <f t="shared" si="57"/>
        <v>716.42879999999991</v>
      </c>
      <c r="K567" s="3">
        <f t="shared" si="58"/>
        <v>8597.1455999999998</v>
      </c>
      <c r="L567" s="3">
        <f t="shared" si="61"/>
        <v>7669.92</v>
      </c>
      <c r="M567" s="8">
        <f t="shared" si="62"/>
        <v>927.22559999999976</v>
      </c>
      <c r="N567" s="4">
        <f t="shared" si="59"/>
        <v>0.1078527273052116</v>
      </c>
      <c r="O567" s="4" t="str">
        <f t="shared" si="60"/>
        <v>Profit</v>
      </c>
      <c r="P567" t="s">
        <v>15</v>
      </c>
      <c r="Q567">
        <v>0.04</v>
      </c>
      <c r="R567" t="s">
        <v>25</v>
      </c>
      <c r="S567" t="s">
        <v>20</v>
      </c>
      <c r="T567" t="s">
        <v>51</v>
      </c>
      <c r="U567" t="str">
        <f t="shared" si="63"/>
        <v>Low-Cost</v>
      </c>
    </row>
    <row r="568" spans="1:21" x14ac:dyDescent="0.3">
      <c r="A568">
        <v>1057</v>
      </c>
      <c r="B568" s="1">
        <v>45187</v>
      </c>
      <c r="C568" s="2" t="s">
        <v>31</v>
      </c>
      <c r="D568" t="s">
        <v>19</v>
      </c>
      <c r="E568">
        <v>25</v>
      </c>
      <c r="F568" t="s">
        <v>24</v>
      </c>
      <c r="G568">
        <f>1</f>
        <v>1</v>
      </c>
      <c r="H568" s="3">
        <v>1821.91</v>
      </c>
      <c r="I568" s="3">
        <v>2027.74</v>
      </c>
      <c r="J568" s="3">
        <f t="shared" si="57"/>
        <v>1987.1851999999999</v>
      </c>
      <c r="K568" s="3">
        <f t="shared" si="58"/>
        <v>49679.63</v>
      </c>
      <c r="L568" s="3">
        <f t="shared" si="61"/>
        <v>45547.75</v>
      </c>
      <c r="M568" s="8">
        <f t="shared" si="62"/>
        <v>4131.8799999999974</v>
      </c>
      <c r="N568" s="4">
        <f t="shared" si="59"/>
        <v>8.3170506704659392E-2</v>
      </c>
      <c r="O568" s="4" t="str">
        <f t="shared" si="60"/>
        <v>Profit</v>
      </c>
      <c r="P568" t="s">
        <v>28</v>
      </c>
      <c r="Q568">
        <v>0.02</v>
      </c>
      <c r="R568" t="s">
        <v>25</v>
      </c>
      <c r="S568" t="s">
        <v>20</v>
      </c>
      <c r="T568" t="s">
        <v>35</v>
      </c>
      <c r="U568" t="str">
        <f t="shared" si="63"/>
        <v>Low-Cost</v>
      </c>
    </row>
    <row r="569" spans="1:21" x14ac:dyDescent="0.3">
      <c r="A569">
        <v>1057</v>
      </c>
      <c r="B569" s="1">
        <v>45221</v>
      </c>
      <c r="C569" s="2" t="s">
        <v>36</v>
      </c>
      <c r="D569" t="s">
        <v>23</v>
      </c>
      <c r="E569">
        <v>40</v>
      </c>
      <c r="F569" t="s">
        <v>27</v>
      </c>
      <c r="G569">
        <f>1</f>
        <v>1</v>
      </c>
      <c r="H569" s="3">
        <v>3233.37</v>
      </c>
      <c r="I569" s="3">
        <v>3723.21</v>
      </c>
      <c r="J569" s="3">
        <f t="shared" si="57"/>
        <v>2904.1038000000003</v>
      </c>
      <c r="K569" s="3">
        <f t="shared" si="58"/>
        <v>116164.152</v>
      </c>
      <c r="L569" s="3">
        <f t="shared" si="61"/>
        <v>129334.79999999999</v>
      </c>
      <c r="M569" s="8">
        <f t="shared" si="62"/>
        <v>-13170.647999999986</v>
      </c>
      <c r="N569" s="4">
        <f t="shared" si="59"/>
        <v>-0.11337962506712042</v>
      </c>
      <c r="O569" s="4" t="str">
        <f t="shared" si="60"/>
        <v>Loss</v>
      </c>
      <c r="P569" t="s">
        <v>28</v>
      </c>
      <c r="Q569">
        <v>0.22</v>
      </c>
      <c r="R569" t="s">
        <v>25</v>
      </c>
      <c r="S569" t="s">
        <v>20</v>
      </c>
      <c r="T569" t="s">
        <v>37</v>
      </c>
      <c r="U569" t="str">
        <f t="shared" si="63"/>
        <v>High-Cost</v>
      </c>
    </row>
    <row r="570" spans="1:21" x14ac:dyDescent="0.3">
      <c r="A570">
        <v>1057</v>
      </c>
      <c r="B570" s="1">
        <v>45287</v>
      </c>
      <c r="C570" s="2" t="s">
        <v>12</v>
      </c>
      <c r="D570" t="s">
        <v>23</v>
      </c>
      <c r="E570">
        <v>31</v>
      </c>
      <c r="F570" t="s">
        <v>14</v>
      </c>
      <c r="G570">
        <f>1</f>
        <v>1</v>
      </c>
      <c r="H570" s="3">
        <v>2403.16</v>
      </c>
      <c r="I570" s="3">
        <v>2453.35</v>
      </c>
      <c r="J570" s="3">
        <f t="shared" si="57"/>
        <v>1987.2135000000001</v>
      </c>
      <c r="K570" s="3">
        <f t="shared" si="58"/>
        <v>61603.618499999997</v>
      </c>
      <c r="L570" s="3">
        <f t="shared" si="61"/>
        <v>74497.959999999992</v>
      </c>
      <c r="M570" s="8">
        <f t="shared" si="62"/>
        <v>-12894.341499999995</v>
      </c>
      <c r="N570" s="4">
        <f t="shared" si="59"/>
        <v>-0.20931143030177676</v>
      </c>
      <c r="O570" s="4" t="str">
        <f t="shared" si="60"/>
        <v>Loss</v>
      </c>
      <c r="P570" t="s">
        <v>15</v>
      </c>
      <c r="Q570">
        <v>0.19</v>
      </c>
      <c r="R570" t="s">
        <v>29</v>
      </c>
      <c r="S570" t="s">
        <v>17</v>
      </c>
      <c r="T570" t="s">
        <v>30</v>
      </c>
      <c r="U570" t="str">
        <f t="shared" si="63"/>
        <v>Low-Cost</v>
      </c>
    </row>
    <row r="571" spans="1:21" x14ac:dyDescent="0.3">
      <c r="A571">
        <v>1057</v>
      </c>
      <c r="B571" s="1">
        <v>44957</v>
      </c>
      <c r="C571" s="2" t="s">
        <v>31</v>
      </c>
      <c r="D571" t="s">
        <v>13</v>
      </c>
      <c r="E571">
        <v>36</v>
      </c>
      <c r="F571" t="s">
        <v>24</v>
      </c>
      <c r="G571">
        <f>1</f>
        <v>1</v>
      </c>
      <c r="H571" s="3">
        <v>4995.3</v>
      </c>
      <c r="I571" s="3">
        <v>5165.09</v>
      </c>
      <c r="J571" s="3">
        <f t="shared" si="57"/>
        <v>3925.4684000000002</v>
      </c>
      <c r="K571" s="3">
        <f t="shared" si="58"/>
        <v>141316.86239999998</v>
      </c>
      <c r="L571" s="3">
        <f t="shared" si="61"/>
        <v>179830.80000000002</v>
      </c>
      <c r="M571" s="8">
        <f t="shared" si="62"/>
        <v>-38513.937600000034</v>
      </c>
      <c r="N571" s="4">
        <f t="shared" si="59"/>
        <v>-0.27253603671857379</v>
      </c>
      <c r="O571" s="4" t="str">
        <f t="shared" si="60"/>
        <v>Loss</v>
      </c>
      <c r="P571" t="s">
        <v>15</v>
      </c>
      <c r="Q571">
        <v>0.24</v>
      </c>
      <c r="R571" t="s">
        <v>16</v>
      </c>
      <c r="S571" t="s">
        <v>17</v>
      </c>
      <c r="T571" t="s">
        <v>51</v>
      </c>
      <c r="U571" t="str">
        <f t="shared" si="63"/>
        <v>High-Cost</v>
      </c>
    </row>
    <row r="572" spans="1:21" x14ac:dyDescent="0.3">
      <c r="A572">
        <v>1058</v>
      </c>
      <c r="B572" s="1">
        <v>44987</v>
      </c>
      <c r="C572" s="2" t="s">
        <v>36</v>
      </c>
      <c r="D572" t="s">
        <v>19</v>
      </c>
      <c r="E572">
        <v>39</v>
      </c>
      <c r="F572" t="s">
        <v>24</v>
      </c>
      <c r="G572">
        <f>1</f>
        <v>1</v>
      </c>
      <c r="H572" s="3">
        <v>3542.8</v>
      </c>
      <c r="I572" s="3">
        <v>3603.02</v>
      </c>
      <c r="J572" s="3">
        <f t="shared" si="57"/>
        <v>2666.2348000000002</v>
      </c>
      <c r="K572" s="3">
        <f t="shared" si="58"/>
        <v>103983.1572</v>
      </c>
      <c r="L572" s="3">
        <f t="shared" si="61"/>
        <v>138169.20000000001</v>
      </c>
      <c r="M572" s="8">
        <f t="shared" si="62"/>
        <v>-34186.04280000001</v>
      </c>
      <c r="N572" s="4">
        <f t="shared" si="59"/>
        <v>-0.32876519352309114</v>
      </c>
      <c r="O572" s="4" t="str">
        <f t="shared" si="60"/>
        <v>Loss</v>
      </c>
      <c r="P572" t="s">
        <v>15</v>
      </c>
      <c r="Q572">
        <v>0.26</v>
      </c>
      <c r="R572" t="s">
        <v>16</v>
      </c>
      <c r="S572" t="s">
        <v>17</v>
      </c>
      <c r="T572" t="s">
        <v>39</v>
      </c>
      <c r="U572" t="str">
        <f t="shared" si="63"/>
        <v>High-Cost</v>
      </c>
    </row>
    <row r="573" spans="1:21" x14ac:dyDescent="0.3">
      <c r="A573">
        <v>1058</v>
      </c>
      <c r="B573" s="1">
        <v>44987</v>
      </c>
      <c r="C573" s="2" t="s">
        <v>36</v>
      </c>
      <c r="D573" t="s">
        <v>32</v>
      </c>
      <c r="E573">
        <v>49</v>
      </c>
      <c r="F573" t="s">
        <v>14</v>
      </c>
      <c r="G573">
        <f>1</f>
        <v>1</v>
      </c>
      <c r="H573" s="3">
        <v>1307.22</v>
      </c>
      <c r="I573" s="3">
        <v>1528.4</v>
      </c>
      <c r="J573" s="3">
        <f t="shared" si="57"/>
        <v>1161.5840000000001</v>
      </c>
      <c r="K573" s="3">
        <f t="shared" si="58"/>
        <v>56917.616000000002</v>
      </c>
      <c r="L573" s="3">
        <f t="shared" si="61"/>
        <v>64053.78</v>
      </c>
      <c r="M573" s="8">
        <f t="shared" si="62"/>
        <v>-7136.163999999997</v>
      </c>
      <c r="N573" s="4">
        <f t="shared" si="59"/>
        <v>-0.12537707130952211</v>
      </c>
      <c r="O573" s="4" t="str">
        <f t="shared" si="60"/>
        <v>Loss</v>
      </c>
      <c r="P573" t="s">
        <v>15</v>
      </c>
      <c r="Q573">
        <v>0.24</v>
      </c>
      <c r="R573" t="s">
        <v>16</v>
      </c>
      <c r="S573" t="s">
        <v>20</v>
      </c>
      <c r="T573" t="s">
        <v>46</v>
      </c>
      <c r="U573" t="str">
        <f t="shared" si="63"/>
        <v>Low-Cost</v>
      </c>
    </row>
    <row r="574" spans="1:21" x14ac:dyDescent="0.3">
      <c r="A574">
        <v>1058</v>
      </c>
      <c r="B574" s="1">
        <v>45171</v>
      </c>
      <c r="C574" s="2" t="s">
        <v>22</v>
      </c>
      <c r="D574" t="s">
        <v>23</v>
      </c>
      <c r="E574">
        <v>9</v>
      </c>
      <c r="F574" t="s">
        <v>14</v>
      </c>
      <c r="G574">
        <f>1</f>
        <v>1</v>
      </c>
      <c r="H574" s="3">
        <v>760.55</v>
      </c>
      <c r="I574" s="3">
        <v>1086.8900000000001</v>
      </c>
      <c r="J574" s="3">
        <f t="shared" si="57"/>
        <v>923.8565000000001</v>
      </c>
      <c r="K574" s="3">
        <f t="shared" si="58"/>
        <v>8314.7085000000006</v>
      </c>
      <c r="L574" s="3">
        <f t="shared" si="61"/>
        <v>6844.95</v>
      </c>
      <c r="M574" s="8">
        <f t="shared" si="62"/>
        <v>1469.7585000000008</v>
      </c>
      <c r="N574" s="4">
        <f t="shared" si="59"/>
        <v>0.17676608867286217</v>
      </c>
      <c r="O574" s="4" t="str">
        <f t="shared" si="60"/>
        <v>Profit</v>
      </c>
      <c r="P574" t="s">
        <v>15</v>
      </c>
      <c r="Q574">
        <v>0.15</v>
      </c>
      <c r="R574" t="s">
        <v>16</v>
      </c>
      <c r="S574" t="s">
        <v>20</v>
      </c>
      <c r="T574" t="s">
        <v>26</v>
      </c>
      <c r="U574" t="str">
        <f t="shared" si="63"/>
        <v>Low-Cost</v>
      </c>
    </row>
    <row r="575" spans="1:21" x14ac:dyDescent="0.3">
      <c r="A575">
        <v>1058</v>
      </c>
      <c r="B575" s="1">
        <v>45233</v>
      </c>
      <c r="C575" s="2" t="s">
        <v>22</v>
      </c>
      <c r="D575" t="s">
        <v>19</v>
      </c>
      <c r="E575">
        <v>42</v>
      </c>
      <c r="F575" t="s">
        <v>27</v>
      </c>
      <c r="G575">
        <f>1</f>
        <v>1</v>
      </c>
      <c r="H575" s="3">
        <v>3600.95</v>
      </c>
      <c r="I575" s="3">
        <v>3702.84</v>
      </c>
      <c r="J575" s="3">
        <f t="shared" si="57"/>
        <v>3665.8116</v>
      </c>
      <c r="K575" s="3">
        <f t="shared" si="58"/>
        <v>153964.08720000001</v>
      </c>
      <c r="L575" s="3">
        <f t="shared" si="61"/>
        <v>151239.9</v>
      </c>
      <c r="M575" s="8">
        <f t="shared" si="62"/>
        <v>2724.1872000000149</v>
      </c>
      <c r="N575" s="4">
        <f t="shared" si="59"/>
        <v>1.7693653432707877E-2</v>
      </c>
      <c r="O575" s="4" t="str">
        <f t="shared" si="60"/>
        <v>Profit</v>
      </c>
      <c r="P575" t="s">
        <v>15</v>
      </c>
      <c r="Q575">
        <v>0.01</v>
      </c>
      <c r="R575" t="s">
        <v>16</v>
      </c>
      <c r="S575" t="s">
        <v>20</v>
      </c>
      <c r="T575" t="s">
        <v>45</v>
      </c>
      <c r="U575" t="str">
        <f t="shared" si="63"/>
        <v>High-Cost</v>
      </c>
    </row>
    <row r="576" spans="1:21" x14ac:dyDescent="0.3">
      <c r="A576">
        <v>1058</v>
      </c>
      <c r="B576" s="1">
        <v>44990</v>
      </c>
      <c r="C576" s="2" t="s">
        <v>36</v>
      </c>
      <c r="D576" t="s">
        <v>13</v>
      </c>
      <c r="E576">
        <v>48</v>
      </c>
      <c r="F576" t="s">
        <v>14</v>
      </c>
      <c r="G576">
        <f>1</f>
        <v>1</v>
      </c>
      <c r="H576" s="3">
        <v>2596.7199999999998</v>
      </c>
      <c r="I576" s="3">
        <v>2715.05</v>
      </c>
      <c r="J576" s="3">
        <f t="shared" si="57"/>
        <v>2606.4479999999999</v>
      </c>
      <c r="K576" s="3">
        <f t="shared" si="58"/>
        <v>125109.504</v>
      </c>
      <c r="L576" s="3">
        <f t="shared" si="61"/>
        <v>124642.56</v>
      </c>
      <c r="M576" s="8">
        <f t="shared" si="62"/>
        <v>466.94400000000314</v>
      </c>
      <c r="N576" s="4">
        <f t="shared" si="59"/>
        <v>3.7322824011835516E-3</v>
      </c>
      <c r="O576" s="4" t="str">
        <f t="shared" si="60"/>
        <v>Profit</v>
      </c>
      <c r="P576" t="s">
        <v>15</v>
      </c>
      <c r="Q576">
        <v>0.04</v>
      </c>
      <c r="R576" t="s">
        <v>16</v>
      </c>
      <c r="S576" t="s">
        <v>17</v>
      </c>
      <c r="T576" t="s">
        <v>38</v>
      </c>
      <c r="U576" t="str">
        <f t="shared" si="63"/>
        <v>Low-Cost</v>
      </c>
    </row>
    <row r="577" spans="1:21" x14ac:dyDescent="0.3">
      <c r="A577">
        <v>1058</v>
      </c>
      <c r="B577" s="1">
        <v>45021</v>
      </c>
      <c r="C577" s="2" t="s">
        <v>40</v>
      </c>
      <c r="D577" t="s">
        <v>13</v>
      </c>
      <c r="E577">
        <v>33</v>
      </c>
      <c r="F577" t="s">
        <v>14</v>
      </c>
      <c r="G577">
        <f>1</f>
        <v>1</v>
      </c>
      <c r="H577" s="3">
        <v>1011.65</v>
      </c>
      <c r="I577" s="3">
        <v>1084.28</v>
      </c>
      <c r="J577" s="3">
        <f t="shared" si="57"/>
        <v>1008.3803999999999</v>
      </c>
      <c r="K577" s="3">
        <f t="shared" si="58"/>
        <v>33276.553199999995</v>
      </c>
      <c r="L577" s="3">
        <f t="shared" si="61"/>
        <v>33384.449999999997</v>
      </c>
      <c r="M577" s="8">
        <f t="shared" si="62"/>
        <v>-107.89680000000226</v>
      </c>
      <c r="N577" s="4">
        <f t="shared" si="59"/>
        <v>-3.2424271633999125E-3</v>
      </c>
      <c r="O577" s="4" t="str">
        <f t="shared" si="60"/>
        <v>Loss</v>
      </c>
      <c r="P577" t="s">
        <v>15</v>
      </c>
      <c r="Q577">
        <v>7.0000000000000007E-2</v>
      </c>
      <c r="R577" t="s">
        <v>25</v>
      </c>
      <c r="S577" t="s">
        <v>20</v>
      </c>
      <c r="T577" t="s">
        <v>47</v>
      </c>
      <c r="U577" t="str">
        <f t="shared" si="63"/>
        <v>Low-Cost</v>
      </c>
    </row>
    <row r="578" spans="1:21" x14ac:dyDescent="0.3">
      <c r="A578">
        <v>1058</v>
      </c>
      <c r="B578" s="1">
        <v>44994</v>
      </c>
      <c r="C578" s="2" t="s">
        <v>36</v>
      </c>
      <c r="D578" t="s">
        <v>23</v>
      </c>
      <c r="E578">
        <v>40</v>
      </c>
      <c r="F578" t="s">
        <v>14</v>
      </c>
      <c r="G578">
        <f>1</f>
        <v>1</v>
      </c>
      <c r="H578" s="3">
        <v>2249.7600000000002</v>
      </c>
      <c r="I578" s="3">
        <v>2598.4</v>
      </c>
      <c r="J578" s="3">
        <f t="shared" ref="J578:J641" si="64">I578*(1-Q578)</f>
        <v>2130.6880000000001</v>
      </c>
      <c r="K578" s="3">
        <f t="shared" ref="K578:K641" si="65">E578*I578*(1-Q578)</f>
        <v>85227.520000000004</v>
      </c>
      <c r="L578" s="3">
        <f t="shared" si="61"/>
        <v>89990.400000000009</v>
      </c>
      <c r="M578" s="8">
        <f t="shared" si="62"/>
        <v>-4762.8800000000047</v>
      </c>
      <c r="N578" s="4">
        <f t="shared" ref="N578:N641" si="66">(M578/K578)</f>
        <v>-5.5884296527694395E-2</v>
      </c>
      <c r="O578" s="4" t="str">
        <f t="shared" ref="O578:O641" si="67">IF(M578&lt;0,"Loss","Profit")</f>
        <v>Loss</v>
      </c>
      <c r="P578" t="s">
        <v>15</v>
      </c>
      <c r="Q578">
        <v>0.18</v>
      </c>
      <c r="R578" t="s">
        <v>29</v>
      </c>
      <c r="S578" t="s">
        <v>20</v>
      </c>
      <c r="T578" t="s">
        <v>37</v>
      </c>
      <c r="U578" t="str">
        <f t="shared" si="63"/>
        <v>Low-Cost</v>
      </c>
    </row>
    <row r="579" spans="1:21" x14ac:dyDescent="0.3">
      <c r="A579">
        <v>1058</v>
      </c>
      <c r="B579" s="1">
        <v>45119</v>
      </c>
      <c r="C579" s="2" t="s">
        <v>36</v>
      </c>
      <c r="D579" t="s">
        <v>32</v>
      </c>
      <c r="E579">
        <v>14</v>
      </c>
      <c r="F579" t="s">
        <v>33</v>
      </c>
      <c r="G579">
        <f>1</f>
        <v>1</v>
      </c>
      <c r="H579" s="3">
        <v>2703.97</v>
      </c>
      <c r="I579" s="3">
        <v>2796.88</v>
      </c>
      <c r="J579" s="3">
        <f t="shared" si="64"/>
        <v>2433.2856000000002</v>
      </c>
      <c r="K579" s="3">
        <f t="shared" si="65"/>
        <v>34065.998399999997</v>
      </c>
      <c r="L579" s="3">
        <f t="shared" ref="L579:L642" si="68">H579*E579</f>
        <v>37855.579999999994</v>
      </c>
      <c r="M579" s="8">
        <f t="shared" ref="M579:M642" si="69">K579-L579</f>
        <v>-3789.5815999999977</v>
      </c>
      <c r="N579" s="4">
        <f t="shared" si="66"/>
        <v>-0.11124234656219552</v>
      </c>
      <c r="O579" s="4" t="str">
        <f t="shared" si="67"/>
        <v>Loss</v>
      </c>
      <c r="P579" t="s">
        <v>28</v>
      </c>
      <c r="Q579">
        <v>0.13</v>
      </c>
      <c r="R579" t="s">
        <v>25</v>
      </c>
      <c r="S579" t="s">
        <v>17</v>
      </c>
      <c r="T579" t="s">
        <v>46</v>
      </c>
      <c r="U579" t="str">
        <f t="shared" si="63"/>
        <v>Low-Cost</v>
      </c>
    </row>
    <row r="580" spans="1:21" x14ac:dyDescent="0.3">
      <c r="A580">
        <v>1058</v>
      </c>
      <c r="B580" s="1">
        <v>44940</v>
      </c>
      <c r="C580" s="2" t="s">
        <v>12</v>
      </c>
      <c r="D580" t="s">
        <v>32</v>
      </c>
      <c r="E580">
        <v>6</v>
      </c>
      <c r="F580" t="s">
        <v>24</v>
      </c>
      <c r="G580">
        <f>1</f>
        <v>1</v>
      </c>
      <c r="H580" s="3">
        <v>4987.71</v>
      </c>
      <c r="I580" s="3">
        <v>4998.78</v>
      </c>
      <c r="J580" s="3">
        <f t="shared" si="64"/>
        <v>4148.9874</v>
      </c>
      <c r="K580" s="3">
        <f t="shared" si="65"/>
        <v>24893.9244</v>
      </c>
      <c r="L580" s="3">
        <f t="shared" si="68"/>
        <v>29926.260000000002</v>
      </c>
      <c r="M580" s="8">
        <f t="shared" si="69"/>
        <v>-5032.3356000000022</v>
      </c>
      <c r="N580" s="4">
        <f t="shared" si="66"/>
        <v>-0.20215115620741589</v>
      </c>
      <c r="O580" s="4" t="str">
        <f t="shared" si="67"/>
        <v>Loss</v>
      </c>
      <c r="P580" t="s">
        <v>15</v>
      </c>
      <c r="Q580">
        <v>0.17</v>
      </c>
      <c r="R580" t="s">
        <v>16</v>
      </c>
      <c r="S580" t="s">
        <v>20</v>
      </c>
      <c r="T580" t="s">
        <v>44</v>
      </c>
      <c r="U580" t="str">
        <f t="shared" si="63"/>
        <v>High-Cost</v>
      </c>
    </row>
    <row r="581" spans="1:21" x14ac:dyDescent="0.3">
      <c r="A581">
        <v>1058</v>
      </c>
      <c r="B581" s="1">
        <v>45097</v>
      </c>
      <c r="C581" s="2" t="s">
        <v>36</v>
      </c>
      <c r="D581" t="s">
        <v>19</v>
      </c>
      <c r="E581">
        <v>48</v>
      </c>
      <c r="F581" t="s">
        <v>27</v>
      </c>
      <c r="G581">
        <f>1</f>
        <v>1</v>
      </c>
      <c r="H581" s="3">
        <v>2614.48</v>
      </c>
      <c r="I581" s="3">
        <v>3049.04</v>
      </c>
      <c r="J581" s="3">
        <f t="shared" si="64"/>
        <v>2744.136</v>
      </c>
      <c r="K581" s="3">
        <f t="shared" si="65"/>
        <v>131718.52799999999</v>
      </c>
      <c r="L581" s="3">
        <f t="shared" si="68"/>
        <v>125495.04000000001</v>
      </c>
      <c r="M581" s="8">
        <f t="shared" si="69"/>
        <v>6223.487999999983</v>
      </c>
      <c r="N581" s="4">
        <f t="shared" si="66"/>
        <v>4.7248387106178284E-2</v>
      </c>
      <c r="O581" s="4" t="str">
        <f t="shared" si="67"/>
        <v>Profit</v>
      </c>
      <c r="P581" t="s">
        <v>28</v>
      </c>
      <c r="Q581">
        <v>0.1</v>
      </c>
      <c r="R581" t="s">
        <v>29</v>
      </c>
      <c r="S581" t="s">
        <v>20</v>
      </c>
      <c r="T581" t="s">
        <v>39</v>
      </c>
      <c r="U581" t="str">
        <f t="shared" si="63"/>
        <v>High-Cost</v>
      </c>
    </row>
    <row r="582" spans="1:21" x14ac:dyDescent="0.3">
      <c r="A582">
        <v>1058</v>
      </c>
      <c r="B582" s="1">
        <v>45280</v>
      </c>
      <c r="C582" s="2" t="s">
        <v>22</v>
      </c>
      <c r="D582" t="s">
        <v>13</v>
      </c>
      <c r="E582">
        <v>2</v>
      </c>
      <c r="F582" t="s">
        <v>27</v>
      </c>
      <c r="G582">
        <f>1</f>
        <v>1</v>
      </c>
      <c r="H582" s="3">
        <v>2250.91</v>
      </c>
      <c r="I582" s="3">
        <v>2558.6799999999998</v>
      </c>
      <c r="J582" s="3">
        <f t="shared" si="64"/>
        <v>2328.3987999999999</v>
      </c>
      <c r="K582" s="3">
        <f t="shared" si="65"/>
        <v>4656.7975999999999</v>
      </c>
      <c r="L582" s="3">
        <f t="shared" si="68"/>
        <v>4501.82</v>
      </c>
      <c r="M582" s="8">
        <f t="shared" si="69"/>
        <v>154.97760000000017</v>
      </c>
      <c r="N582" s="4">
        <f t="shared" si="66"/>
        <v>3.327986597484936E-2</v>
      </c>
      <c r="O582" s="4" t="str">
        <f t="shared" si="67"/>
        <v>Profit</v>
      </c>
      <c r="P582" t="s">
        <v>28</v>
      </c>
      <c r="Q582">
        <v>0.09</v>
      </c>
      <c r="R582" t="s">
        <v>29</v>
      </c>
      <c r="S582" t="s">
        <v>20</v>
      </c>
      <c r="T582" t="s">
        <v>43</v>
      </c>
      <c r="U582" t="str">
        <f t="shared" si="63"/>
        <v>Low-Cost</v>
      </c>
    </row>
    <row r="583" spans="1:21" x14ac:dyDescent="0.3">
      <c r="A583">
        <v>1058</v>
      </c>
      <c r="B583" s="1">
        <v>45252</v>
      </c>
      <c r="C583" s="2" t="s">
        <v>40</v>
      </c>
      <c r="D583" t="s">
        <v>19</v>
      </c>
      <c r="E583">
        <v>15</v>
      </c>
      <c r="F583" t="s">
        <v>27</v>
      </c>
      <c r="G583">
        <f>1</f>
        <v>1</v>
      </c>
      <c r="H583" s="3">
        <v>894.48</v>
      </c>
      <c r="I583" s="3">
        <v>1336.37</v>
      </c>
      <c r="J583" s="3">
        <f t="shared" si="64"/>
        <v>988.91379999999992</v>
      </c>
      <c r="K583" s="3">
        <f t="shared" si="65"/>
        <v>14833.706999999999</v>
      </c>
      <c r="L583" s="3">
        <f t="shared" si="68"/>
        <v>13417.2</v>
      </c>
      <c r="M583" s="8">
        <f t="shared" si="69"/>
        <v>1416.5069999999978</v>
      </c>
      <c r="N583" s="4">
        <f t="shared" si="66"/>
        <v>9.5492448381244016E-2</v>
      </c>
      <c r="O583" s="4" t="str">
        <f t="shared" si="67"/>
        <v>Profit</v>
      </c>
      <c r="P583" t="s">
        <v>15</v>
      </c>
      <c r="Q583">
        <v>0.26</v>
      </c>
      <c r="R583" t="s">
        <v>16</v>
      </c>
      <c r="S583" t="s">
        <v>20</v>
      </c>
      <c r="T583" t="s">
        <v>49</v>
      </c>
      <c r="U583" t="str">
        <f t="shared" si="63"/>
        <v>Low-Cost</v>
      </c>
    </row>
    <row r="584" spans="1:21" x14ac:dyDescent="0.3">
      <c r="A584">
        <v>1058</v>
      </c>
      <c r="B584" s="1">
        <v>45196</v>
      </c>
      <c r="C584" s="2" t="s">
        <v>36</v>
      </c>
      <c r="D584" t="s">
        <v>19</v>
      </c>
      <c r="E584">
        <v>29</v>
      </c>
      <c r="F584" t="s">
        <v>33</v>
      </c>
      <c r="G584">
        <f>1</f>
        <v>1</v>
      </c>
      <c r="H584" s="3">
        <v>3578.77</v>
      </c>
      <c r="I584" s="3">
        <v>3635.02</v>
      </c>
      <c r="J584" s="3">
        <f t="shared" si="64"/>
        <v>2908.0160000000001</v>
      </c>
      <c r="K584" s="3">
        <f t="shared" si="65"/>
        <v>84332.464000000007</v>
      </c>
      <c r="L584" s="3">
        <f t="shared" si="68"/>
        <v>103784.33</v>
      </c>
      <c r="M584" s="8">
        <f t="shared" si="69"/>
        <v>-19451.865999999995</v>
      </c>
      <c r="N584" s="4">
        <f t="shared" si="66"/>
        <v>-0.23065691523017748</v>
      </c>
      <c r="O584" s="4" t="str">
        <f t="shared" si="67"/>
        <v>Loss</v>
      </c>
      <c r="P584" t="s">
        <v>28</v>
      </c>
      <c r="Q584">
        <v>0.2</v>
      </c>
      <c r="R584" t="s">
        <v>25</v>
      </c>
      <c r="S584" t="s">
        <v>20</v>
      </c>
      <c r="T584" t="s">
        <v>39</v>
      </c>
      <c r="U584" t="str">
        <f t="shared" ref="U584:U647" si="70">IF(I584 &gt;=2800, "High-Cost", "Low-Cost")</f>
        <v>High-Cost</v>
      </c>
    </row>
    <row r="585" spans="1:21" x14ac:dyDescent="0.3">
      <c r="A585">
        <v>1058</v>
      </c>
      <c r="B585" s="1">
        <v>45289</v>
      </c>
      <c r="C585" s="2" t="s">
        <v>22</v>
      </c>
      <c r="D585" t="s">
        <v>13</v>
      </c>
      <c r="E585">
        <v>34</v>
      </c>
      <c r="F585" t="s">
        <v>33</v>
      </c>
      <c r="G585">
        <f>1</f>
        <v>1</v>
      </c>
      <c r="H585" s="3">
        <v>3160.61</v>
      </c>
      <c r="I585" s="3">
        <v>3273.22</v>
      </c>
      <c r="J585" s="3">
        <f t="shared" si="64"/>
        <v>3011.3624</v>
      </c>
      <c r="K585" s="3">
        <f t="shared" si="65"/>
        <v>102386.3216</v>
      </c>
      <c r="L585" s="3">
        <f t="shared" si="68"/>
        <v>107460.74</v>
      </c>
      <c r="M585" s="8">
        <f t="shared" si="69"/>
        <v>-5074.4184000000096</v>
      </c>
      <c r="N585" s="4">
        <f t="shared" si="66"/>
        <v>-4.9561487518074973E-2</v>
      </c>
      <c r="O585" s="4" t="str">
        <f t="shared" si="67"/>
        <v>Loss</v>
      </c>
      <c r="P585" t="s">
        <v>15</v>
      </c>
      <c r="Q585">
        <v>0.08</v>
      </c>
      <c r="R585" t="s">
        <v>29</v>
      </c>
      <c r="S585" t="s">
        <v>20</v>
      </c>
      <c r="T585" t="s">
        <v>43</v>
      </c>
      <c r="U585" t="str">
        <f t="shared" si="70"/>
        <v>High-Cost</v>
      </c>
    </row>
    <row r="586" spans="1:21" x14ac:dyDescent="0.3">
      <c r="A586">
        <v>1058</v>
      </c>
      <c r="B586" s="1">
        <v>45291</v>
      </c>
      <c r="C586" s="2" t="s">
        <v>40</v>
      </c>
      <c r="D586" t="s">
        <v>19</v>
      </c>
      <c r="E586">
        <v>44</v>
      </c>
      <c r="F586" t="s">
        <v>27</v>
      </c>
      <c r="G586">
        <f>1</f>
        <v>1</v>
      </c>
      <c r="H586" s="3">
        <v>1910.47</v>
      </c>
      <c r="I586" s="3">
        <v>2217.8000000000002</v>
      </c>
      <c r="J586" s="3">
        <f t="shared" si="64"/>
        <v>1729.8840000000002</v>
      </c>
      <c r="K586" s="3">
        <f t="shared" si="65"/>
        <v>76114.896000000008</v>
      </c>
      <c r="L586" s="3">
        <f t="shared" si="68"/>
        <v>84060.680000000008</v>
      </c>
      <c r="M586" s="8">
        <f t="shared" si="69"/>
        <v>-7945.7839999999997</v>
      </c>
      <c r="N586" s="4">
        <f t="shared" si="66"/>
        <v>-0.10439197079110506</v>
      </c>
      <c r="O586" s="4" t="str">
        <f t="shared" si="67"/>
        <v>Loss</v>
      </c>
      <c r="P586" t="s">
        <v>28</v>
      </c>
      <c r="Q586">
        <v>0.22</v>
      </c>
      <c r="R586" t="s">
        <v>25</v>
      </c>
      <c r="S586" t="s">
        <v>17</v>
      </c>
      <c r="T586" t="s">
        <v>49</v>
      </c>
      <c r="U586" t="str">
        <f t="shared" si="70"/>
        <v>Low-Cost</v>
      </c>
    </row>
    <row r="587" spans="1:21" x14ac:dyDescent="0.3">
      <c r="A587">
        <v>1059</v>
      </c>
      <c r="B587" s="1">
        <v>45018</v>
      </c>
      <c r="C587" s="2" t="s">
        <v>36</v>
      </c>
      <c r="D587" t="s">
        <v>19</v>
      </c>
      <c r="E587">
        <v>12</v>
      </c>
      <c r="F587" t="s">
        <v>24</v>
      </c>
      <c r="G587">
        <f>1</f>
        <v>1</v>
      </c>
      <c r="H587" s="3">
        <v>3496.15</v>
      </c>
      <c r="I587" s="3">
        <v>3955.75</v>
      </c>
      <c r="J587" s="3">
        <f t="shared" si="64"/>
        <v>2848.14</v>
      </c>
      <c r="K587" s="3">
        <f t="shared" si="65"/>
        <v>34177.68</v>
      </c>
      <c r="L587" s="3">
        <f t="shared" si="68"/>
        <v>41953.8</v>
      </c>
      <c r="M587" s="8">
        <f t="shared" si="69"/>
        <v>-7776.1200000000026</v>
      </c>
      <c r="N587" s="4">
        <f t="shared" si="66"/>
        <v>-0.22752041683344226</v>
      </c>
      <c r="O587" s="4" t="str">
        <f t="shared" si="67"/>
        <v>Loss</v>
      </c>
      <c r="P587" t="s">
        <v>15</v>
      </c>
      <c r="Q587">
        <v>0.28000000000000003</v>
      </c>
      <c r="R587" t="s">
        <v>16</v>
      </c>
      <c r="S587" t="s">
        <v>20</v>
      </c>
      <c r="T587" t="s">
        <v>39</v>
      </c>
      <c r="U587" t="str">
        <f t="shared" si="70"/>
        <v>High-Cost</v>
      </c>
    </row>
    <row r="588" spans="1:21" x14ac:dyDescent="0.3">
      <c r="A588">
        <v>1059</v>
      </c>
      <c r="B588" s="1">
        <v>45079</v>
      </c>
      <c r="C588" s="2" t="s">
        <v>12</v>
      </c>
      <c r="D588" t="s">
        <v>19</v>
      </c>
      <c r="E588">
        <v>47</v>
      </c>
      <c r="F588" t="s">
        <v>14</v>
      </c>
      <c r="G588">
        <f>1</f>
        <v>1</v>
      </c>
      <c r="H588" s="3">
        <v>287.17</v>
      </c>
      <c r="I588" s="3">
        <v>657.44</v>
      </c>
      <c r="J588" s="3">
        <f t="shared" si="64"/>
        <v>565.39840000000004</v>
      </c>
      <c r="K588" s="3">
        <f t="shared" si="65"/>
        <v>26573.724800000004</v>
      </c>
      <c r="L588" s="3">
        <f t="shared" si="68"/>
        <v>13496.990000000002</v>
      </c>
      <c r="M588" s="8">
        <f t="shared" si="69"/>
        <v>13076.734800000002</v>
      </c>
      <c r="N588" s="4">
        <f t="shared" si="66"/>
        <v>0.49209265537362684</v>
      </c>
      <c r="O588" s="4" t="str">
        <f t="shared" si="67"/>
        <v>Profit</v>
      </c>
      <c r="P588" t="s">
        <v>15</v>
      </c>
      <c r="Q588">
        <v>0.14000000000000001</v>
      </c>
      <c r="R588" t="s">
        <v>29</v>
      </c>
      <c r="S588" t="s">
        <v>20</v>
      </c>
      <c r="T588" t="s">
        <v>21</v>
      </c>
      <c r="U588" t="str">
        <f t="shared" si="70"/>
        <v>Low-Cost</v>
      </c>
    </row>
    <row r="589" spans="1:21" x14ac:dyDescent="0.3">
      <c r="A589">
        <v>1059</v>
      </c>
      <c r="B589" s="1">
        <v>45238</v>
      </c>
      <c r="C589" s="2" t="s">
        <v>22</v>
      </c>
      <c r="D589" t="s">
        <v>23</v>
      </c>
      <c r="E589">
        <v>17</v>
      </c>
      <c r="F589" t="s">
        <v>27</v>
      </c>
      <c r="G589">
        <f>1</f>
        <v>1</v>
      </c>
      <c r="H589" s="3">
        <v>1780.14</v>
      </c>
      <c r="I589" s="3">
        <v>2185.42</v>
      </c>
      <c r="J589" s="3">
        <f t="shared" si="64"/>
        <v>1857.607</v>
      </c>
      <c r="K589" s="3">
        <f t="shared" si="65"/>
        <v>31579.319</v>
      </c>
      <c r="L589" s="3">
        <f t="shared" si="68"/>
        <v>30262.38</v>
      </c>
      <c r="M589" s="8">
        <f t="shared" si="69"/>
        <v>1316.9389999999985</v>
      </c>
      <c r="N589" s="4">
        <f t="shared" si="66"/>
        <v>4.1702577563499661E-2</v>
      </c>
      <c r="O589" s="4" t="str">
        <f t="shared" si="67"/>
        <v>Profit</v>
      </c>
      <c r="P589" t="s">
        <v>15</v>
      </c>
      <c r="Q589">
        <v>0.15</v>
      </c>
      <c r="R589" t="s">
        <v>29</v>
      </c>
      <c r="S589" t="s">
        <v>20</v>
      </c>
      <c r="T589" t="s">
        <v>26</v>
      </c>
      <c r="U589" t="str">
        <f t="shared" si="70"/>
        <v>Low-Cost</v>
      </c>
    </row>
    <row r="590" spans="1:21" x14ac:dyDescent="0.3">
      <c r="A590">
        <v>1059</v>
      </c>
      <c r="B590" s="1">
        <v>45025</v>
      </c>
      <c r="C590" s="2" t="s">
        <v>31</v>
      </c>
      <c r="D590" t="s">
        <v>23</v>
      </c>
      <c r="E590">
        <v>1</v>
      </c>
      <c r="F590" t="s">
        <v>33</v>
      </c>
      <c r="G590">
        <f>1</f>
        <v>1</v>
      </c>
      <c r="H590" s="3">
        <v>332.62</v>
      </c>
      <c r="I590" s="3">
        <v>612.46</v>
      </c>
      <c r="J590" s="3">
        <f t="shared" si="64"/>
        <v>465.46960000000001</v>
      </c>
      <c r="K590" s="3">
        <f t="shared" si="65"/>
        <v>465.46960000000001</v>
      </c>
      <c r="L590" s="3">
        <f t="shared" si="68"/>
        <v>332.62</v>
      </c>
      <c r="M590" s="8">
        <f t="shared" si="69"/>
        <v>132.84960000000001</v>
      </c>
      <c r="N590" s="4">
        <f t="shared" si="66"/>
        <v>0.28540983127576969</v>
      </c>
      <c r="O590" s="4" t="str">
        <f t="shared" si="67"/>
        <v>Profit</v>
      </c>
      <c r="P590" t="s">
        <v>15</v>
      </c>
      <c r="Q590">
        <v>0.24</v>
      </c>
      <c r="R590" t="s">
        <v>16</v>
      </c>
      <c r="S590" t="s">
        <v>20</v>
      </c>
      <c r="T590" t="s">
        <v>42</v>
      </c>
      <c r="U590" t="str">
        <f t="shared" si="70"/>
        <v>Low-Cost</v>
      </c>
    </row>
    <row r="591" spans="1:21" x14ac:dyDescent="0.3">
      <c r="A591">
        <v>1059</v>
      </c>
      <c r="B591" s="1">
        <v>45154</v>
      </c>
      <c r="C591" s="2" t="s">
        <v>40</v>
      </c>
      <c r="D591" t="s">
        <v>19</v>
      </c>
      <c r="E591">
        <v>21</v>
      </c>
      <c r="F591" t="s">
        <v>27</v>
      </c>
      <c r="G591">
        <f>1</f>
        <v>1</v>
      </c>
      <c r="H591" s="3">
        <v>3110.54</v>
      </c>
      <c r="I591" s="3">
        <v>3192.99</v>
      </c>
      <c r="J591" s="3">
        <f t="shared" si="64"/>
        <v>2650.1816999999996</v>
      </c>
      <c r="K591" s="3">
        <f t="shared" si="65"/>
        <v>55653.815699999992</v>
      </c>
      <c r="L591" s="3">
        <f t="shared" si="68"/>
        <v>65321.34</v>
      </c>
      <c r="M591" s="8">
        <f t="shared" si="69"/>
        <v>-9667.5243000000046</v>
      </c>
      <c r="N591" s="4">
        <f t="shared" si="66"/>
        <v>-0.17370820272436424</v>
      </c>
      <c r="O591" s="4" t="str">
        <f t="shared" si="67"/>
        <v>Loss</v>
      </c>
      <c r="P591" t="s">
        <v>28</v>
      </c>
      <c r="Q591">
        <v>0.17</v>
      </c>
      <c r="R591" t="s">
        <v>29</v>
      </c>
      <c r="S591" t="s">
        <v>17</v>
      </c>
      <c r="T591" t="s">
        <v>49</v>
      </c>
      <c r="U591" t="str">
        <f t="shared" si="70"/>
        <v>High-Cost</v>
      </c>
    </row>
    <row r="592" spans="1:21" x14ac:dyDescent="0.3">
      <c r="A592">
        <v>1059</v>
      </c>
      <c r="B592" s="1">
        <v>45217</v>
      </c>
      <c r="C592" s="2" t="s">
        <v>40</v>
      </c>
      <c r="D592" t="s">
        <v>13</v>
      </c>
      <c r="E592">
        <v>28</v>
      </c>
      <c r="F592" t="s">
        <v>33</v>
      </c>
      <c r="G592">
        <f>1</f>
        <v>1</v>
      </c>
      <c r="H592" s="3">
        <v>224.32</v>
      </c>
      <c r="I592" s="3">
        <v>715.06</v>
      </c>
      <c r="J592" s="3">
        <f t="shared" si="64"/>
        <v>707.90939999999989</v>
      </c>
      <c r="K592" s="3">
        <f t="shared" si="65"/>
        <v>19821.463199999998</v>
      </c>
      <c r="L592" s="3">
        <f t="shared" si="68"/>
        <v>6280.96</v>
      </c>
      <c r="M592" s="8">
        <f t="shared" si="69"/>
        <v>13540.503199999999</v>
      </c>
      <c r="N592" s="4">
        <f t="shared" si="66"/>
        <v>0.68312329233091129</v>
      </c>
      <c r="O592" s="4" t="str">
        <f t="shared" si="67"/>
        <v>Profit</v>
      </c>
      <c r="P592" t="s">
        <v>15</v>
      </c>
      <c r="Q592">
        <v>0.01</v>
      </c>
      <c r="R592" t="s">
        <v>29</v>
      </c>
      <c r="S592" t="s">
        <v>17</v>
      </c>
      <c r="T592" t="s">
        <v>47</v>
      </c>
      <c r="U592" t="str">
        <f t="shared" si="70"/>
        <v>Low-Cost</v>
      </c>
    </row>
    <row r="593" spans="1:21" x14ac:dyDescent="0.3">
      <c r="A593">
        <v>1059</v>
      </c>
      <c r="B593" s="1">
        <v>45067</v>
      </c>
      <c r="C593" s="2" t="s">
        <v>40</v>
      </c>
      <c r="D593" t="s">
        <v>13</v>
      </c>
      <c r="E593">
        <v>37</v>
      </c>
      <c r="F593" t="s">
        <v>33</v>
      </c>
      <c r="G593">
        <f>1</f>
        <v>1</v>
      </c>
      <c r="H593" s="3">
        <v>4146.99</v>
      </c>
      <c r="I593" s="3">
        <v>4172.3500000000004</v>
      </c>
      <c r="J593" s="3">
        <f t="shared" si="64"/>
        <v>3922.009</v>
      </c>
      <c r="K593" s="3">
        <f t="shared" si="65"/>
        <v>145114.33300000001</v>
      </c>
      <c r="L593" s="3">
        <f t="shared" si="68"/>
        <v>153438.63</v>
      </c>
      <c r="M593" s="8">
        <f t="shared" si="69"/>
        <v>-8324.2969999999914</v>
      </c>
      <c r="N593" s="4">
        <f t="shared" si="66"/>
        <v>-5.7363713341810216E-2</v>
      </c>
      <c r="O593" s="4" t="str">
        <f t="shared" si="67"/>
        <v>Loss</v>
      </c>
      <c r="P593" t="s">
        <v>15</v>
      </c>
      <c r="Q593">
        <v>0.06</v>
      </c>
      <c r="R593" t="s">
        <v>16</v>
      </c>
      <c r="S593" t="s">
        <v>20</v>
      </c>
      <c r="T593" t="s">
        <v>47</v>
      </c>
      <c r="U593" t="str">
        <f t="shared" si="70"/>
        <v>High-Cost</v>
      </c>
    </row>
    <row r="594" spans="1:21" x14ac:dyDescent="0.3">
      <c r="A594">
        <v>1059</v>
      </c>
      <c r="B594" s="1">
        <v>45105</v>
      </c>
      <c r="C594" s="2" t="s">
        <v>12</v>
      </c>
      <c r="D594" t="s">
        <v>13</v>
      </c>
      <c r="E594">
        <v>13</v>
      </c>
      <c r="F594" t="s">
        <v>33</v>
      </c>
      <c r="G594">
        <f>1</f>
        <v>1</v>
      </c>
      <c r="H594" s="3">
        <v>1969.78</v>
      </c>
      <c r="I594" s="3">
        <v>2437.6999999999998</v>
      </c>
      <c r="J594" s="3">
        <f t="shared" si="64"/>
        <v>1974.537</v>
      </c>
      <c r="K594" s="3">
        <f t="shared" si="65"/>
        <v>25668.981</v>
      </c>
      <c r="L594" s="3">
        <f t="shared" si="68"/>
        <v>25607.14</v>
      </c>
      <c r="M594" s="8">
        <f t="shared" si="69"/>
        <v>61.841000000000349</v>
      </c>
      <c r="N594" s="4">
        <f t="shared" si="66"/>
        <v>2.4091723781322037E-3</v>
      </c>
      <c r="O594" s="4" t="str">
        <f t="shared" si="67"/>
        <v>Profit</v>
      </c>
      <c r="P594" t="s">
        <v>28</v>
      </c>
      <c r="Q594">
        <v>0.19</v>
      </c>
      <c r="R594" t="s">
        <v>29</v>
      </c>
      <c r="S594" t="s">
        <v>20</v>
      </c>
      <c r="T594" t="s">
        <v>18</v>
      </c>
      <c r="U594" t="str">
        <f t="shared" si="70"/>
        <v>Low-Cost</v>
      </c>
    </row>
    <row r="595" spans="1:21" x14ac:dyDescent="0.3">
      <c r="A595">
        <v>1059</v>
      </c>
      <c r="B595" s="1">
        <v>45136</v>
      </c>
      <c r="C595" s="2" t="s">
        <v>12</v>
      </c>
      <c r="D595" t="s">
        <v>23</v>
      </c>
      <c r="E595">
        <v>16</v>
      </c>
      <c r="F595" t="s">
        <v>14</v>
      </c>
      <c r="G595">
        <f>1</f>
        <v>1</v>
      </c>
      <c r="H595" s="3">
        <v>4287.21</v>
      </c>
      <c r="I595" s="3">
        <v>4464.28</v>
      </c>
      <c r="J595" s="3">
        <f t="shared" si="64"/>
        <v>3571.424</v>
      </c>
      <c r="K595" s="3">
        <f t="shared" si="65"/>
        <v>57142.784</v>
      </c>
      <c r="L595" s="3">
        <f t="shared" si="68"/>
        <v>68595.360000000001</v>
      </c>
      <c r="M595" s="8">
        <f t="shared" si="69"/>
        <v>-11452.576000000001</v>
      </c>
      <c r="N595" s="4">
        <f t="shared" si="66"/>
        <v>-0.20042033653803079</v>
      </c>
      <c r="O595" s="4" t="str">
        <f t="shared" si="67"/>
        <v>Loss</v>
      </c>
      <c r="P595" t="s">
        <v>15</v>
      </c>
      <c r="Q595">
        <v>0.2</v>
      </c>
      <c r="R595" t="s">
        <v>29</v>
      </c>
      <c r="S595" t="s">
        <v>20</v>
      </c>
      <c r="T595" t="s">
        <v>30</v>
      </c>
      <c r="U595" t="str">
        <f t="shared" si="70"/>
        <v>High-Cost</v>
      </c>
    </row>
    <row r="596" spans="1:21" x14ac:dyDescent="0.3">
      <c r="A596">
        <v>1059</v>
      </c>
      <c r="B596" s="1">
        <v>45169</v>
      </c>
      <c r="C596" s="2" t="s">
        <v>40</v>
      </c>
      <c r="D596" t="s">
        <v>13</v>
      </c>
      <c r="E596">
        <v>35</v>
      </c>
      <c r="F596" t="s">
        <v>24</v>
      </c>
      <c r="G596">
        <f>1</f>
        <v>1</v>
      </c>
      <c r="H596" s="3">
        <v>3333.64</v>
      </c>
      <c r="I596" s="3">
        <v>3764.52</v>
      </c>
      <c r="J596" s="3">
        <f t="shared" si="64"/>
        <v>3689.2296000000001</v>
      </c>
      <c r="K596" s="3">
        <f t="shared" si="65"/>
        <v>129123.03600000001</v>
      </c>
      <c r="L596" s="3">
        <f t="shared" si="68"/>
        <v>116677.4</v>
      </c>
      <c r="M596" s="8">
        <f t="shared" si="69"/>
        <v>12445.636000000013</v>
      </c>
      <c r="N596" s="4">
        <f t="shared" si="66"/>
        <v>9.6385868746146991E-2</v>
      </c>
      <c r="O596" s="4" t="str">
        <f t="shared" si="67"/>
        <v>Profit</v>
      </c>
      <c r="P596" t="s">
        <v>15</v>
      </c>
      <c r="Q596">
        <v>0.02</v>
      </c>
      <c r="R596" t="s">
        <v>29</v>
      </c>
      <c r="S596" t="s">
        <v>17</v>
      </c>
      <c r="T596" t="s">
        <v>47</v>
      </c>
      <c r="U596" t="str">
        <f t="shared" si="70"/>
        <v>High-Cost</v>
      </c>
    </row>
    <row r="597" spans="1:21" x14ac:dyDescent="0.3">
      <c r="A597">
        <v>1060</v>
      </c>
      <c r="B597" s="1">
        <v>45206</v>
      </c>
      <c r="C597" s="2" t="s">
        <v>40</v>
      </c>
      <c r="D597" t="s">
        <v>23</v>
      </c>
      <c r="E597">
        <v>23</v>
      </c>
      <c r="F597" t="s">
        <v>33</v>
      </c>
      <c r="G597">
        <f>1</f>
        <v>1</v>
      </c>
      <c r="H597" s="3">
        <v>647.70000000000005</v>
      </c>
      <c r="I597" s="3">
        <v>902.26</v>
      </c>
      <c r="J597" s="3">
        <f t="shared" si="64"/>
        <v>748.87579999999991</v>
      </c>
      <c r="K597" s="3">
        <f t="shared" si="65"/>
        <v>17224.143399999997</v>
      </c>
      <c r="L597" s="3">
        <f t="shared" si="68"/>
        <v>14897.1</v>
      </c>
      <c r="M597" s="8">
        <f t="shared" si="69"/>
        <v>2327.0433999999968</v>
      </c>
      <c r="N597" s="4">
        <f t="shared" si="66"/>
        <v>0.13510357792306799</v>
      </c>
      <c r="O597" s="4" t="str">
        <f t="shared" si="67"/>
        <v>Profit</v>
      </c>
      <c r="P597" t="s">
        <v>28</v>
      </c>
      <c r="Q597">
        <v>0.17</v>
      </c>
      <c r="R597" t="s">
        <v>25</v>
      </c>
      <c r="S597" t="s">
        <v>17</v>
      </c>
      <c r="T597" t="s">
        <v>41</v>
      </c>
      <c r="U597" t="str">
        <f t="shared" si="70"/>
        <v>Low-Cost</v>
      </c>
    </row>
    <row r="598" spans="1:21" x14ac:dyDescent="0.3">
      <c r="A598">
        <v>1060</v>
      </c>
      <c r="B598" s="1">
        <v>44937</v>
      </c>
      <c r="C598" s="2" t="s">
        <v>31</v>
      </c>
      <c r="D598" t="s">
        <v>19</v>
      </c>
      <c r="E598">
        <v>34</v>
      </c>
      <c r="F598" t="s">
        <v>33</v>
      </c>
      <c r="G598">
        <f>1</f>
        <v>1</v>
      </c>
      <c r="H598" s="3">
        <v>4984.21</v>
      </c>
      <c r="I598" s="3">
        <v>5184.6400000000003</v>
      </c>
      <c r="J598" s="3">
        <f t="shared" si="64"/>
        <v>4303.2511999999997</v>
      </c>
      <c r="K598" s="3">
        <f t="shared" si="65"/>
        <v>146310.54079999999</v>
      </c>
      <c r="L598" s="3">
        <f t="shared" si="68"/>
        <v>169463.14</v>
      </c>
      <c r="M598" s="8">
        <f t="shared" si="69"/>
        <v>-23152.599200000026</v>
      </c>
      <c r="N598" s="4">
        <f t="shared" si="66"/>
        <v>-0.15824286530147272</v>
      </c>
      <c r="O598" s="4" t="str">
        <f t="shared" si="67"/>
        <v>Loss</v>
      </c>
      <c r="P598" t="s">
        <v>28</v>
      </c>
      <c r="Q598">
        <v>0.17</v>
      </c>
      <c r="R598" t="s">
        <v>16</v>
      </c>
      <c r="S598" t="s">
        <v>17</v>
      </c>
      <c r="T598" t="s">
        <v>35</v>
      </c>
      <c r="U598" t="str">
        <f t="shared" si="70"/>
        <v>High-Cost</v>
      </c>
    </row>
    <row r="599" spans="1:21" x14ac:dyDescent="0.3">
      <c r="A599">
        <v>1060</v>
      </c>
      <c r="B599" s="1">
        <v>45150</v>
      </c>
      <c r="C599" s="2" t="s">
        <v>22</v>
      </c>
      <c r="D599" t="s">
        <v>13</v>
      </c>
      <c r="E599">
        <v>5</v>
      </c>
      <c r="F599" t="s">
        <v>14</v>
      </c>
      <c r="G599">
        <f>1</f>
        <v>1</v>
      </c>
      <c r="H599" s="3">
        <v>3970.08</v>
      </c>
      <c r="I599" s="3">
        <v>4096.4799999999996</v>
      </c>
      <c r="J599" s="3">
        <f t="shared" si="64"/>
        <v>3563.9375999999997</v>
      </c>
      <c r="K599" s="3">
        <f t="shared" si="65"/>
        <v>17819.687999999998</v>
      </c>
      <c r="L599" s="3">
        <f t="shared" si="68"/>
        <v>19850.400000000001</v>
      </c>
      <c r="M599" s="8">
        <f t="shared" si="69"/>
        <v>-2030.7120000000032</v>
      </c>
      <c r="N599" s="4">
        <f t="shared" si="66"/>
        <v>-0.11395889759686047</v>
      </c>
      <c r="O599" s="4" t="str">
        <f t="shared" si="67"/>
        <v>Loss</v>
      </c>
      <c r="P599" t="s">
        <v>15</v>
      </c>
      <c r="Q599">
        <v>0.13</v>
      </c>
      <c r="R599" t="s">
        <v>16</v>
      </c>
      <c r="S599" t="s">
        <v>20</v>
      </c>
      <c r="T599" t="s">
        <v>43</v>
      </c>
      <c r="U599" t="str">
        <f t="shared" si="70"/>
        <v>High-Cost</v>
      </c>
    </row>
    <row r="600" spans="1:21" x14ac:dyDescent="0.3">
      <c r="A600">
        <v>1060</v>
      </c>
      <c r="B600" s="1">
        <v>45059</v>
      </c>
      <c r="C600" s="2" t="s">
        <v>31</v>
      </c>
      <c r="D600" t="s">
        <v>19</v>
      </c>
      <c r="E600">
        <v>31</v>
      </c>
      <c r="F600" t="s">
        <v>33</v>
      </c>
      <c r="G600">
        <f>1</f>
        <v>1</v>
      </c>
      <c r="H600" s="3">
        <v>3161.4</v>
      </c>
      <c r="I600" s="3">
        <v>3339.66</v>
      </c>
      <c r="J600" s="3">
        <f t="shared" si="64"/>
        <v>3272.8667999999998</v>
      </c>
      <c r="K600" s="3">
        <f t="shared" si="65"/>
        <v>101458.87079999999</v>
      </c>
      <c r="L600" s="3">
        <f t="shared" si="68"/>
        <v>98003.400000000009</v>
      </c>
      <c r="M600" s="8">
        <f t="shared" si="69"/>
        <v>3455.470799999981</v>
      </c>
      <c r="N600" s="4">
        <f t="shared" si="66"/>
        <v>3.40578480004134E-2</v>
      </c>
      <c r="O600" s="4" t="str">
        <f t="shared" si="67"/>
        <v>Profit</v>
      </c>
      <c r="P600" t="s">
        <v>15</v>
      </c>
      <c r="Q600">
        <v>0.02</v>
      </c>
      <c r="R600" t="s">
        <v>25</v>
      </c>
      <c r="S600" t="s">
        <v>17</v>
      </c>
      <c r="T600" t="s">
        <v>35</v>
      </c>
      <c r="U600" t="str">
        <f t="shared" si="70"/>
        <v>High-Cost</v>
      </c>
    </row>
    <row r="601" spans="1:21" x14ac:dyDescent="0.3">
      <c r="A601">
        <v>1060</v>
      </c>
      <c r="B601" s="1">
        <v>45000</v>
      </c>
      <c r="C601" s="2" t="s">
        <v>22</v>
      </c>
      <c r="D601" t="s">
        <v>23</v>
      </c>
      <c r="E601">
        <v>44</v>
      </c>
      <c r="F601" t="s">
        <v>27</v>
      </c>
      <c r="G601">
        <f>1</f>
        <v>1</v>
      </c>
      <c r="H601" s="3">
        <v>2211.9499999999998</v>
      </c>
      <c r="I601" s="3">
        <v>2512.84</v>
      </c>
      <c r="J601" s="3">
        <f t="shared" si="64"/>
        <v>2412.3263999999999</v>
      </c>
      <c r="K601" s="3">
        <f t="shared" si="65"/>
        <v>106142.3616</v>
      </c>
      <c r="L601" s="3">
        <f t="shared" si="68"/>
        <v>97325.799999999988</v>
      </c>
      <c r="M601" s="8">
        <f t="shared" si="69"/>
        <v>8816.5616000000155</v>
      </c>
      <c r="N601" s="4">
        <f t="shared" si="66"/>
        <v>8.3063552262247903E-2</v>
      </c>
      <c r="O601" s="4" t="str">
        <f t="shared" si="67"/>
        <v>Profit</v>
      </c>
      <c r="P601" t="s">
        <v>15</v>
      </c>
      <c r="Q601">
        <v>0.04</v>
      </c>
      <c r="R601" t="s">
        <v>16</v>
      </c>
      <c r="S601" t="s">
        <v>17</v>
      </c>
      <c r="T601" t="s">
        <v>26</v>
      </c>
      <c r="U601" t="str">
        <f t="shared" si="70"/>
        <v>Low-Cost</v>
      </c>
    </row>
    <row r="602" spans="1:21" x14ac:dyDescent="0.3">
      <c r="A602">
        <v>1060</v>
      </c>
      <c r="B602" s="1">
        <v>45276</v>
      </c>
      <c r="C602" s="2" t="s">
        <v>36</v>
      </c>
      <c r="D602" t="s">
        <v>32</v>
      </c>
      <c r="E602">
        <v>44</v>
      </c>
      <c r="F602" t="s">
        <v>27</v>
      </c>
      <c r="G602">
        <f>1</f>
        <v>1</v>
      </c>
      <c r="H602" s="3">
        <v>3784.96</v>
      </c>
      <c r="I602" s="3">
        <v>4276.99</v>
      </c>
      <c r="J602" s="3">
        <f t="shared" si="64"/>
        <v>4020.3705999999997</v>
      </c>
      <c r="K602" s="3">
        <f t="shared" si="65"/>
        <v>176896.3064</v>
      </c>
      <c r="L602" s="3">
        <f t="shared" si="68"/>
        <v>166538.23999999999</v>
      </c>
      <c r="M602" s="8">
        <f t="shared" si="69"/>
        <v>10358.066400000011</v>
      </c>
      <c r="N602" s="4">
        <f t="shared" si="66"/>
        <v>5.8554452666627357E-2</v>
      </c>
      <c r="O602" s="4" t="str">
        <f t="shared" si="67"/>
        <v>Profit</v>
      </c>
      <c r="P602" t="s">
        <v>28</v>
      </c>
      <c r="Q602">
        <v>0.06</v>
      </c>
      <c r="R602" t="s">
        <v>25</v>
      </c>
      <c r="S602" t="s">
        <v>20</v>
      </c>
      <c r="T602" t="s">
        <v>46</v>
      </c>
      <c r="U602" t="str">
        <f t="shared" si="70"/>
        <v>High-Cost</v>
      </c>
    </row>
    <row r="603" spans="1:21" x14ac:dyDescent="0.3">
      <c r="A603">
        <v>1060</v>
      </c>
      <c r="B603" s="1">
        <v>44943</v>
      </c>
      <c r="C603" s="2" t="s">
        <v>12</v>
      </c>
      <c r="D603" t="s">
        <v>23</v>
      </c>
      <c r="E603">
        <v>3</v>
      </c>
      <c r="F603" t="s">
        <v>33</v>
      </c>
      <c r="G603">
        <f>1</f>
        <v>1</v>
      </c>
      <c r="H603" s="3">
        <v>1190.4100000000001</v>
      </c>
      <c r="I603" s="3">
        <v>1582.89</v>
      </c>
      <c r="J603" s="3">
        <f t="shared" si="64"/>
        <v>1551.2322000000001</v>
      </c>
      <c r="K603" s="3">
        <f t="shared" si="65"/>
        <v>4653.6966000000002</v>
      </c>
      <c r="L603" s="3">
        <f t="shared" si="68"/>
        <v>3571.2300000000005</v>
      </c>
      <c r="M603" s="8">
        <f t="shared" si="69"/>
        <v>1082.4665999999997</v>
      </c>
      <c r="N603" s="4">
        <f t="shared" si="66"/>
        <v>0.23260360376737918</v>
      </c>
      <c r="O603" s="4" t="str">
        <f t="shared" si="67"/>
        <v>Profit</v>
      </c>
      <c r="P603" t="s">
        <v>28</v>
      </c>
      <c r="Q603">
        <v>0.02</v>
      </c>
      <c r="R603" t="s">
        <v>29</v>
      </c>
      <c r="S603" t="s">
        <v>20</v>
      </c>
      <c r="T603" t="s">
        <v>30</v>
      </c>
      <c r="U603" t="str">
        <f t="shared" si="70"/>
        <v>Low-Cost</v>
      </c>
    </row>
    <row r="604" spans="1:21" x14ac:dyDescent="0.3">
      <c r="A604">
        <v>1060</v>
      </c>
      <c r="B604" s="1">
        <v>45155</v>
      </c>
      <c r="C604" s="2" t="s">
        <v>12</v>
      </c>
      <c r="D604" t="s">
        <v>32</v>
      </c>
      <c r="E604">
        <v>16</v>
      </c>
      <c r="F604" t="s">
        <v>27</v>
      </c>
      <c r="G604">
        <f>1</f>
        <v>1</v>
      </c>
      <c r="H604" s="3">
        <v>3975.99</v>
      </c>
      <c r="I604" s="3">
        <v>4422.59</v>
      </c>
      <c r="J604" s="3">
        <f t="shared" si="64"/>
        <v>3361.1684</v>
      </c>
      <c r="K604" s="3">
        <f t="shared" si="65"/>
        <v>53778.6944</v>
      </c>
      <c r="L604" s="3">
        <f t="shared" si="68"/>
        <v>63615.839999999997</v>
      </c>
      <c r="M604" s="8">
        <f t="shared" si="69"/>
        <v>-9837.1455999999962</v>
      </c>
      <c r="N604" s="4">
        <f t="shared" si="66"/>
        <v>-0.18291901113910264</v>
      </c>
      <c r="O604" s="4" t="str">
        <f t="shared" si="67"/>
        <v>Loss</v>
      </c>
      <c r="P604" t="s">
        <v>28</v>
      </c>
      <c r="Q604">
        <v>0.24</v>
      </c>
      <c r="R604" t="s">
        <v>16</v>
      </c>
      <c r="S604" t="s">
        <v>17</v>
      </c>
      <c r="T604" t="s">
        <v>44</v>
      </c>
      <c r="U604" t="str">
        <f t="shared" si="70"/>
        <v>High-Cost</v>
      </c>
    </row>
    <row r="605" spans="1:21" x14ac:dyDescent="0.3">
      <c r="A605">
        <v>1060</v>
      </c>
      <c r="B605" s="1">
        <v>45221</v>
      </c>
      <c r="C605" s="2" t="s">
        <v>12</v>
      </c>
      <c r="D605" t="s">
        <v>13</v>
      </c>
      <c r="E605">
        <v>11</v>
      </c>
      <c r="F605" t="s">
        <v>14</v>
      </c>
      <c r="G605">
        <f>1</f>
        <v>1</v>
      </c>
      <c r="H605" s="3">
        <v>3648.04</v>
      </c>
      <c r="I605" s="3">
        <v>4143.51</v>
      </c>
      <c r="J605" s="3">
        <f t="shared" si="64"/>
        <v>3439.1133</v>
      </c>
      <c r="K605" s="3">
        <f t="shared" si="65"/>
        <v>37830.246299999999</v>
      </c>
      <c r="L605" s="3">
        <f t="shared" si="68"/>
        <v>40128.44</v>
      </c>
      <c r="M605" s="8">
        <f t="shared" si="69"/>
        <v>-2298.1937000000034</v>
      </c>
      <c r="N605" s="4">
        <f t="shared" si="66"/>
        <v>-6.075016487534747E-2</v>
      </c>
      <c r="O605" s="4" t="str">
        <f t="shared" si="67"/>
        <v>Loss</v>
      </c>
      <c r="P605" t="s">
        <v>15</v>
      </c>
      <c r="Q605">
        <v>0.17</v>
      </c>
      <c r="R605" t="s">
        <v>29</v>
      </c>
      <c r="S605" t="s">
        <v>20</v>
      </c>
      <c r="T605" t="s">
        <v>18</v>
      </c>
      <c r="U605" t="str">
        <f t="shared" si="70"/>
        <v>High-Cost</v>
      </c>
    </row>
    <row r="606" spans="1:21" x14ac:dyDescent="0.3">
      <c r="A606">
        <v>1060</v>
      </c>
      <c r="B606" s="1">
        <v>45039</v>
      </c>
      <c r="C606" s="2" t="s">
        <v>36</v>
      </c>
      <c r="D606" t="s">
        <v>32</v>
      </c>
      <c r="E606">
        <v>23</v>
      </c>
      <c r="F606" t="s">
        <v>27</v>
      </c>
      <c r="G606">
        <f>1</f>
        <v>1</v>
      </c>
      <c r="H606" s="3">
        <v>4110.6000000000004</v>
      </c>
      <c r="I606" s="3">
        <v>4488.37</v>
      </c>
      <c r="J606" s="3">
        <f t="shared" si="64"/>
        <v>3949.7655999999997</v>
      </c>
      <c r="K606" s="3">
        <f t="shared" si="65"/>
        <v>90844.608800000002</v>
      </c>
      <c r="L606" s="3">
        <f t="shared" si="68"/>
        <v>94543.8</v>
      </c>
      <c r="M606" s="8">
        <f t="shared" si="69"/>
        <v>-3699.1912000000011</v>
      </c>
      <c r="N606" s="4">
        <f t="shared" si="66"/>
        <v>-4.0719986016385386E-2</v>
      </c>
      <c r="O606" s="4" t="str">
        <f t="shared" si="67"/>
        <v>Loss</v>
      </c>
      <c r="P606" t="s">
        <v>28</v>
      </c>
      <c r="Q606">
        <v>0.12</v>
      </c>
      <c r="R606" t="s">
        <v>29</v>
      </c>
      <c r="S606" t="s">
        <v>17</v>
      </c>
      <c r="T606" t="s">
        <v>46</v>
      </c>
      <c r="U606" t="str">
        <f t="shared" si="70"/>
        <v>High-Cost</v>
      </c>
    </row>
    <row r="607" spans="1:21" x14ac:dyDescent="0.3">
      <c r="A607">
        <v>1060</v>
      </c>
      <c r="B607" s="1">
        <v>45222</v>
      </c>
      <c r="C607" s="2" t="s">
        <v>12</v>
      </c>
      <c r="D607" t="s">
        <v>19</v>
      </c>
      <c r="E607">
        <v>46</v>
      </c>
      <c r="F607" t="s">
        <v>27</v>
      </c>
      <c r="G607">
        <f>1</f>
        <v>1</v>
      </c>
      <c r="H607" s="3">
        <v>1747.05</v>
      </c>
      <c r="I607" s="3">
        <v>1830.27</v>
      </c>
      <c r="J607" s="3">
        <f t="shared" si="64"/>
        <v>1555.7294999999999</v>
      </c>
      <c r="K607" s="3">
        <f t="shared" si="65"/>
        <v>71563.557000000001</v>
      </c>
      <c r="L607" s="3">
        <f t="shared" si="68"/>
        <v>80364.3</v>
      </c>
      <c r="M607" s="8">
        <f t="shared" si="69"/>
        <v>-8800.7430000000022</v>
      </c>
      <c r="N607" s="4">
        <f t="shared" si="66"/>
        <v>-0.12297799842453334</v>
      </c>
      <c r="O607" s="4" t="str">
        <f t="shared" si="67"/>
        <v>Loss</v>
      </c>
      <c r="P607" t="s">
        <v>28</v>
      </c>
      <c r="Q607">
        <v>0.15</v>
      </c>
      <c r="R607" t="s">
        <v>25</v>
      </c>
      <c r="S607" t="s">
        <v>20</v>
      </c>
      <c r="T607" t="s">
        <v>21</v>
      </c>
      <c r="U607" t="str">
        <f t="shared" si="70"/>
        <v>Low-Cost</v>
      </c>
    </row>
    <row r="608" spans="1:21" x14ac:dyDescent="0.3">
      <c r="A608">
        <v>1061</v>
      </c>
      <c r="B608" s="1">
        <v>45049</v>
      </c>
      <c r="C608" s="2" t="s">
        <v>12</v>
      </c>
      <c r="D608" t="s">
        <v>23</v>
      </c>
      <c r="E608">
        <v>41</v>
      </c>
      <c r="F608" t="s">
        <v>14</v>
      </c>
      <c r="G608">
        <f>1</f>
        <v>1</v>
      </c>
      <c r="H608" s="3">
        <v>2894.18</v>
      </c>
      <c r="I608" s="3">
        <v>3193.92</v>
      </c>
      <c r="J608" s="3">
        <f t="shared" si="64"/>
        <v>2299.6223999999997</v>
      </c>
      <c r="K608" s="3">
        <f t="shared" si="65"/>
        <v>94284.518400000001</v>
      </c>
      <c r="L608" s="3">
        <f t="shared" si="68"/>
        <v>118661.37999999999</v>
      </c>
      <c r="M608" s="8">
        <f t="shared" si="69"/>
        <v>-24376.861599999989</v>
      </c>
      <c r="N608" s="4">
        <f t="shared" si="66"/>
        <v>-0.25854575081543812</v>
      </c>
      <c r="O608" s="4" t="str">
        <f t="shared" si="67"/>
        <v>Loss</v>
      </c>
      <c r="P608" t="s">
        <v>28</v>
      </c>
      <c r="Q608">
        <v>0.28000000000000003</v>
      </c>
      <c r="R608" t="s">
        <v>25</v>
      </c>
      <c r="S608" t="s">
        <v>20</v>
      </c>
      <c r="T608" t="s">
        <v>30</v>
      </c>
      <c r="U608" t="str">
        <f t="shared" si="70"/>
        <v>High-Cost</v>
      </c>
    </row>
    <row r="609" spans="1:21" x14ac:dyDescent="0.3">
      <c r="A609">
        <v>1061</v>
      </c>
      <c r="B609" s="1">
        <v>45024</v>
      </c>
      <c r="C609" s="2" t="s">
        <v>31</v>
      </c>
      <c r="D609" t="s">
        <v>32</v>
      </c>
      <c r="E609">
        <v>29</v>
      </c>
      <c r="F609" t="s">
        <v>27</v>
      </c>
      <c r="G609">
        <f>1</f>
        <v>1</v>
      </c>
      <c r="H609" s="3">
        <v>1221.74</v>
      </c>
      <c r="I609" s="3">
        <v>1611.92</v>
      </c>
      <c r="J609" s="3">
        <f t="shared" si="64"/>
        <v>1370.1320000000001</v>
      </c>
      <c r="K609" s="3">
        <f t="shared" si="65"/>
        <v>39733.828000000001</v>
      </c>
      <c r="L609" s="3">
        <f t="shared" si="68"/>
        <v>35430.46</v>
      </c>
      <c r="M609" s="8">
        <f t="shared" si="69"/>
        <v>4303.3680000000022</v>
      </c>
      <c r="N609" s="4">
        <f t="shared" si="66"/>
        <v>0.10830489325116126</v>
      </c>
      <c r="O609" s="4" t="str">
        <f t="shared" si="67"/>
        <v>Profit</v>
      </c>
      <c r="P609" t="s">
        <v>28</v>
      </c>
      <c r="Q609">
        <v>0.15</v>
      </c>
      <c r="R609" t="s">
        <v>16</v>
      </c>
      <c r="S609" t="s">
        <v>20</v>
      </c>
      <c r="T609" t="s">
        <v>34</v>
      </c>
      <c r="U609" t="str">
        <f t="shared" si="70"/>
        <v>Low-Cost</v>
      </c>
    </row>
    <row r="610" spans="1:21" x14ac:dyDescent="0.3">
      <c r="A610">
        <v>1061</v>
      </c>
      <c r="B610" s="1">
        <v>44998</v>
      </c>
      <c r="C610" s="2" t="s">
        <v>12</v>
      </c>
      <c r="D610" t="s">
        <v>23</v>
      </c>
      <c r="E610">
        <v>11</v>
      </c>
      <c r="F610" t="s">
        <v>27</v>
      </c>
      <c r="G610">
        <f>1</f>
        <v>1</v>
      </c>
      <c r="H610" s="3">
        <v>2594.71</v>
      </c>
      <c r="I610" s="3">
        <v>2769.52</v>
      </c>
      <c r="J610" s="3">
        <f t="shared" si="64"/>
        <v>2741.8247999999999</v>
      </c>
      <c r="K610" s="3">
        <f t="shared" si="65"/>
        <v>30160.072800000002</v>
      </c>
      <c r="L610" s="3">
        <f t="shared" si="68"/>
        <v>28541.81</v>
      </c>
      <c r="M610" s="8">
        <f t="shared" si="69"/>
        <v>1618.2628000000004</v>
      </c>
      <c r="N610" s="4">
        <f t="shared" si="66"/>
        <v>5.3655798867965607E-2</v>
      </c>
      <c r="O610" s="4" t="str">
        <f t="shared" si="67"/>
        <v>Profit</v>
      </c>
      <c r="P610" t="s">
        <v>15</v>
      </c>
      <c r="Q610">
        <v>0.01</v>
      </c>
      <c r="R610" t="s">
        <v>25</v>
      </c>
      <c r="S610" t="s">
        <v>20</v>
      </c>
      <c r="T610" t="s">
        <v>30</v>
      </c>
      <c r="U610" t="str">
        <f t="shared" si="70"/>
        <v>Low-Cost</v>
      </c>
    </row>
    <row r="611" spans="1:21" x14ac:dyDescent="0.3">
      <c r="A611">
        <v>1061</v>
      </c>
      <c r="B611" s="1">
        <v>45275</v>
      </c>
      <c r="C611" s="2" t="s">
        <v>40</v>
      </c>
      <c r="D611" t="s">
        <v>13</v>
      </c>
      <c r="E611">
        <v>32</v>
      </c>
      <c r="F611" t="s">
        <v>24</v>
      </c>
      <c r="G611">
        <f>1</f>
        <v>1</v>
      </c>
      <c r="H611" s="3">
        <v>2759.26</v>
      </c>
      <c r="I611" s="3">
        <v>3193.25</v>
      </c>
      <c r="J611" s="3">
        <f t="shared" si="64"/>
        <v>2554.6000000000004</v>
      </c>
      <c r="K611" s="3">
        <f t="shared" si="65"/>
        <v>81747.200000000012</v>
      </c>
      <c r="L611" s="3">
        <f t="shared" si="68"/>
        <v>88296.320000000007</v>
      </c>
      <c r="M611" s="8">
        <f t="shared" si="69"/>
        <v>-6549.1199999999953</v>
      </c>
      <c r="N611" s="4">
        <f t="shared" si="66"/>
        <v>-8.0114303609175541E-2</v>
      </c>
      <c r="O611" s="4" t="str">
        <f t="shared" si="67"/>
        <v>Loss</v>
      </c>
      <c r="P611" t="s">
        <v>28</v>
      </c>
      <c r="Q611">
        <v>0.2</v>
      </c>
      <c r="R611" t="s">
        <v>25</v>
      </c>
      <c r="S611" t="s">
        <v>17</v>
      </c>
      <c r="T611" t="s">
        <v>47</v>
      </c>
      <c r="U611" t="str">
        <f t="shared" si="70"/>
        <v>High-Cost</v>
      </c>
    </row>
    <row r="612" spans="1:21" x14ac:dyDescent="0.3">
      <c r="A612">
        <v>1061</v>
      </c>
      <c r="B612" s="1">
        <v>45215</v>
      </c>
      <c r="C612" s="2" t="s">
        <v>36</v>
      </c>
      <c r="D612" t="s">
        <v>32</v>
      </c>
      <c r="E612">
        <v>37</v>
      </c>
      <c r="F612" t="s">
        <v>14</v>
      </c>
      <c r="G612">
        <f>1</f>
        <v>1</v>
      </c>
      <c r="H612" s="3">
        <v>4651.7700000000004</v>
      </c>
      <c r="I612" s="3">
        <v>4984.3900000000003</v>
      </c>
      <c r="J612" s="3">
        <f t="shared" si="64"/>
        <v>4386.2632000000003</v>
      </c>
      <c r="K612" s="3">
        <f t="shared" si="65"/>
        <v>162291.73840000003</v>
      </c>
      <c r="L612" s="3">
        <f t="shared" si="68"/>
        <v>172115.49000000002</v>
      </c>
      <c r="M612" s="8">
        <f t="shared" si="69"/>
        <v>-9823.7515999999887</v>
      </c>
      <c r="N612" s="4">
        <f t="shared" si="66"/>
        <v>-6.0531433681407822E-2</v>
      </c>
      <c r="O612" s="4" t="str">
        <f t="shared" si="67"/>
        <v>Loss</v>
      </c>
      <c r="P612" t="s">
        <v>15</v>
      </c>
      <c r="Q612">
        <v>0.12</v>
      </c>
      <c r="R612" t="s">
        <v>16</v>
      </c>
      <c r="S612" t="s">
        <v>20</v>
      </c>
      <c r="T612" t="s">
        <v>46</v>
      </c>
      <c r="U612" t="str">
        <f t="shared" si="70"/>
        <v>High-Cost</v>
      </c>
    </row>
    <row r="613" spans="1:21" x14ac:dyDescent="0.3">
      <c r="A613">
        <v>1061</v>
      </c>
      <c r="B613" s="1">
        <v>45034</v>
      </c>
      <c r="C613" s="2" t="s">
        <v>36</v>
      </c>
      <c r="D613" t="s">
        <v>13</v>
      </c>
      <c r="E613">
        <v>47</v>
      </c>
      <c r="F613" t="s">
        <v>33</v>
      </c>
      <c r="G613">
        <f>1</f>
        <v>1</v>
      </c>
      <c r="H613" s="3">
        <v>146.27000000000001</v>
      </c>
      <c r="I613" s="3">
        <v>498.46</v>
      </c>
      <c r="J613" s="3">
        <f t="shared" si="64"/>
        <v>468.55239999999998</v>
      </c>
      <c r="K613" s="3">
        <f t="shared" si="65"/>
        <v>22021.962799999998</v>
      </c>
      <c r="L613" s="3">
        <f t="shared" si="68"/>
        <v>6874.6900000000005</v>
      </c>
      <c r="M613" s="8">
        <f t="shared" si="69"/>
        <v>15147.272799999997</v>
      </c>
      <c r="N613" s="4">
        <f t="shared" si="66"/>
        <v>0.68782573731347862</v>
      </c>
      <c r="O613" s="4" t="str">
        <f t="shared" si="67"/>
        <v>Profit</v>
      </c>
      <c r="P613" t="s">
        <v>28</v>
      </c>
      <c r="Q613">
        <v>0.06</v>
      </c>
      <c r="R613" t="s">
        <v>16</v>
      </c>
      <c r="S613" t="s">
        <v>20</v>
      </c>
      <c r="T613" t="s">
        <v>38</v>
      </c>
      <c r="U613" t="str">
        <f t="shared" si="70"/>
        <v>Low-Cost</v>
      </c>
    </row>
    <row r="614" spans="1:21" x14ac:dyDescent="0.3">
      <c r="A614">
        <v>1061</v>
      </c>
      <c r="B614" s="1">
        <v>45190</v>
      </c>
      <c r="C614" s="2" t="s">
        <v>31</v>
      </c>
      <c r="D614" t="s">
        <v>23</v>
      </c>
      <c r="E614">
        <v>25</v>
      </c>
      <c r="F614" t="s">
        <v>24</v>
      </c>
      <c r="G614">
        <f>1</f>
        <v>1</v>
      </c>
      <c r="H614" s="3">
        <v>2747.66</v>
      </c>
      <c r="I614" s="3">
        <v>3027.01</v>
      </c>
      <c r="J614" s="3">
        <f t="shared" si="64"/>
        <v>2330.7977000000001</v>
      </c>
      <c r="K614" s="3">
        <f t="shared" si="65"/>
        <v>58269.942500000005</v>
      </c>
      <c r="L614" s="3">
        <f t="shared" si="68"/>
        <v>68691.5</v>
      </c>
      <c r="M614" s="8">
        <f t="shared" si="69"/>
        <v>-10421.557499999995</v>
      </c>
      <c r="N614" s="4">
        <f t="shared" si="66"/>
        <v>-0.17884962731857842</v>
      </c>
      <c r="O614" s="4" t="str">
        <f t="shared" si="67"/>
        <v>Loss</v>
      </c>
      <c r="P614" t="s">
        <v>28</v>
      </c>
      <c r="Q614">
        <v>0.23</v>
      </c>
      <c r="R614" t="s">
        <v>16</v>
      </c>
      <c r="S614" t="s">
        <v>17</v>
      </c>
      <c r="T614" t="s">
        <v>42</v>
      </c>
      <c r="U614" t="str">
        <f t="shared" si="70"/>
        <v>High-Cost</v>
      </c>
    </row>
    <row r="615" spans="1:21" x14ac:dyDescent="0.3">
      <c r="A615">
        <v>1061</v>
      </c>
      <c r="B615" s="1">
        <v>45007</v>
      </c>
      <c r="C615" s="2" t="s">
        <v>40</v>
      </c>
      <c r="D615" t="s">
        <v>32</v>
      </c>
      <c r="E615">
        <v>34</v>
      </c>
      <c r="F615" t="s">
        <v>27</v>
      </c>
      <c r="G615">
        <f>1</f>
        <v>1</v>
      </c>
      <c r="H615" s="3">
        <v>2680.82</v>
      </c>
      <c r="I615" s="3">
        <v>2771.02</v>
      </c>
      <c r="J615" s="3">
        <f t="shared" si="64"/>
        <v>2216.8160000000003</v>
      </c>
      <c r="K615" s="3">
        <f t="shared" si="65"/>
        <v>75371.743999999992</v>
      </c>
      <c r="L615" s="3">
        <f t="shared" si="68"/>
        <v>91147.88</v>
      </c>
      <c r="M615" s="8">
        <f t="shared" si="69"/>
        <v>-15776.136000000013</v>
      </c>
      <c r="N615" s="4">
        <f t="shared" si="66"/>
        <v>-0.2093110118295792</v>
      </c>
      <c r="O615" s="4" t="str">
        <f t="shared" si="67"/>
        <v>Loss</v>
      </c>
      <c r="P615" t="s">
        <v>28</v>
      </c>
      <c r="Q615">
        <v>0.2</v>
      </c>
      <c r="R615" t="s">
        <v>25</v>
      </c>
      <c r="S615" t="s">
        <v>17</v>
      </c>
      <c r="T615" t="s">
        <v>50</v>
      </c>
      <c r="U615" t="str">
        <f t="shared" si="70"/>
        <v>Low-Cost</v>
      </c>
    </row>
    <row r="616" spans="1:21" x14ac:dyDescent="0.3">
      <c r="A616">
        <v>1061</v>
      </c>
      <c r="B616" s="1">
        <v>45038</v>
      </c>
      <c r="C616" s="2" t="s">
        <v>36</v>
      </c>
      <c r="D616" t="s">
        <v>23</v>
      </c>
      <c r="E616">
        <v>39</v>
      </c>
      <c r="F616" t="s">
        <v>33</v>
      </c>
      <c r="G616">
        <f>1</f>
        <v>1</v>
      </c>
      <c r="H616" s="3">
        <v>3494.19</v>
      </c>
      <c r="I616" s="3">
        <v>3746</v>
      </c>
      <c r="J616" s="3">
        <f t="shared" si="64"/>
        <v>2809.5</v>
      </c>
      <c r="K616" s="3">
        <f t="shared" si="65"/>
        <v>109570.5</v>
      </c>
      <c r="L616" s="3">
        <f t="shared" si="68"/>
        <v>136273.41</v>
      </c>
      <c r="M616" s="8">
        <f t="shared" si="69"/>
        <v>-26702.910000000003</v>
      </c>
      <c r="N616" s="4">
        <f t="shared" si="66"/>
        <v>-0.24370528563801391</v>
      </c>
      <c r="O616" s="4" t="str">
        <f t="shared" si="67"/>
        <v>Loss</v>
      </c>
      <c r="P616" t="s">
        <v>15</v>
      </c>
      <c r="Q616">
        <v>0.25</v>
      </c>
      <c r="R616" t="s">
        <v>25</v>
      </c>
      <c r="S616" t="s">
        <v>20</v>
      </c>
      <c r="T616" t="s">
        <v>37</v>
      </c>
      <c r="U616" t="str">
        <f t="shared" si="70"/>
        <v>High-Cost</v>
      </c>
    </row>
    <row r="617" spans="1:21" x14ac:dyDescent="0.3">
      <c r="A617">
        <v>1061</v>
      </c>
      <c r="B617" s="1">
        <v>45282</v>
      </c>
      <c r="C617" s="2" t="s">
        <v>40</v>
      </c>
      <c r="D617" t="s">
        <v>13</v>
      </c>
      <c r="E617">
        <v>45</v>
      </c>
      <c r="F617" t="s">
        <v>27</v>
      </c>
      <c r="G617">
        <f>1</f>
        <v>1</v>
      </c>
      <c r="H617" s="3">
        <v>1364.51</v>
      </c>
      <c r="I617" s="3">
        <v>1844.8</v>
      </c>
      <c r="J617" s="3">
        <f t="shared" si="64"/>
        <v>1512.7360000000001</v>
      </c>
      <c r="K617" s="3">
        <f t="shared" si="65"/>
        <v>68073.12000000001</v>
      </c>
      <c r="L617" s="3">
        <f t="shared" si="68"/>
        <v>61402.95</v>
      </c>
      <c r="M617" s="8">
        <f t="shared" si="69"/>
        <v>6670.1700000000128</v>
      </c>
      <c r="N617" s="4">
        <f t="shared" si="66"/>
        <v>9.7985372199775947E-2</v>
      </c>
      <c r="O617" s="4" t="str">
        <f t="shared" si="67"/>
        <v>Profit</v>
      </c>
      <c r="P617" t="s">
        <v>15</v>
      </c>
      <c r="Q617">
        <v>0.18</v>
      </c>
      <c r="R617" t="s">
        <v>16</v>
      </c>
      <c r="S617" t="s">
        <v>17</v>
      </c>
      <c r="T617" t="s">
        <v>47</v>
      </c>
      <c r="U617" t="str">
        <f t="shared" si="70"/>
        <v>Low-Cost</v>
      </c>
    </row>
    <row r="618" spans="1:21" x14ac:dyDescent="0.3">
      <c r="A618">
        <v>1061</v>
      </c>
      <c r="B618" s="1">
        <v>45009</v>
      </c>
      <c r="C618" s="2" t="s">
        <v>31</v>
      </c>
      <c r="D618" t="s">
        <v>32</v>
      </c>
      <c r="E618">
        <v>13</v>
      </c>
      <c r="F618" t="s">
        <v>33</v>
      </c>
      <c r="G618">
        <f>1</f>
        <v>1</v>
      </c>
      <c r="H618" s="3">
        <v>637.37</v>
      </c>
      <c r="I618" s="3">
        <v>692.71</v>
      </c>
      <c r="J618" s="3">
        <f t="shared" si="64"/>
        <v>637.29320000000007</v>
      </c>
      <c r="K618" s="3">
        <f t="shared" si="65"/>
        <v>8284.8115999999991</v>
      </c>
      <c r="L618" s="3">
        <f t="shared" si="68"/>
        <v>8285.81</v>
      </c>
      <c r="M618" s="8">
        <f t="shared" si="69"/>
        <v>-0.99840000000040163</v>
      </c>
      <c r="N618" s="4">
        <f t="shared" si="66"/>
        <v>-1.2050968063056518E-4</v>
      </c>
      <c r="O618" s="4" t="str">
        <f t="shared" si="67"/>
        <v>Loss</v>
      </c>
      <c r="P618" t="s">
        <v>28</v>
      </c>
      <c r="Q618">
        <v>0.08</v>
      </c>
      <c r="R618" t="s">
        <v>29</v>
      </c>
      <c r="S618" t="s">
        <v>17</v>
      </c>
      <c r="T618" t="s">
        <v>34</v>
      </c>
      <c r="U618" t="str">
        <f t="shared" si="70"/>
        <v>Low-Cost</v>
      </c>
    </row>
    <row r="619" spans="1:21" x14ac:dyDescent="0.3">
      <c r="A619">
        <v>1061</v>
      </c>
      <c r="B619" s="1">
        <v>44951</v>
      </c>
      <c r="C619" s="2" t="s">
        <v>12</v>
      </c>
      <c r="D619" t="s">
        <v>32</v>
      </c>
      <c r="E619">
        <v>38</v>
      </c>
      <c r="F619" t="s">
        <v>14</v>
      </c>
      <c r="G619">
        <f>1</f>
        <v>1</v>
      </c>
      <c r="H619" s="3">
        <v>4440.8599999999997</v>
      </c>
      <c r="I619" s="3">
        <v>4506.8100000000004</v>
      </c>
      <c r="J619" s="3">
        <f t="shared" si="64"/>
        <v>3425.1756000000005</v>
      </c>
      <c r="K619" s="3">
        <f t="shared" si="65"/>
        <v>130156.67280000003</v>
      </c>
      <c r="L619" s="3">
        <f t="shared" si="68"/>
        <v>168752.68</v>
      </c>
      <c r="M619" s="8">
        <f t="shared" si="69"/>
        <v>-38596.007199999964</v>
      </c>
      <c r="N619" s="4">
        <f t="shared" si="66"/>
        <v>-0.29653498641062337</v>
      </c>
      <c r="O619" s="4" t="str">
        <f t="shared" si="67"/>
        <v>Loss</v>
      </c>
      <c r="P619" t="s">
        <v>15</v>
      </c>
      <c r="Q619">
        <v>0.24</v>
      </c>
      <c r="R619" t="s">
        <v>25</v>
      </c>
      <c r="S619" t="s">
        <v>17</v>
      </c>
      <c r="T619" t="s">
        <v>44</v>
      </c>
      <c r="U619" t="str">
        <f t="shared" si="70"/>
        <v>High-Cost</v>
      </c>
    </row>
    <row r="620" spans="1:21" x14ac:dyDescent="0.3">
      <c r="A620">
        <v>1062</v>
      </c>
      <c r="B620" s="1">
        <v>45231</v>
      </c>
      <c r="C620" s="2" t="s">
        <v>12</v>
      </c>
      <c r="D620" t="s">
        <v>32</v>
      </c>
      <c r="E620">
        <v>36</v>
      </c>
      <c r="F620" t="s">
        <v>24</v>
      </c>
      <c r="G620">
        <f>1</f>
        <v>1</v>
      </c>
      <c r="H620" s="3">
        <v>1050.6400000000001</v>
      </c>
      <c r="I620" s="3">
        <v>1167.33</v>
      </c>
      <c r="J620" s="3">
        <f t="shared" si="64"/>
        <v>910.51739999999995</v>
      </c>
      <c r="K620" s="3">
        <f t="shared" si="65"/>
        <v>32778.626400000001</v>
      </c>
      <c r="L620" s="3">
        <f t="shared" si="68"/>
        <v>37823.040000000001</v>
      </c>
      <c r="M620" s="8">
        <f t="shared" si="69"/>
        <v>-5044.4135999999999</v>
      </c>
      <c r="N620" s="4">
        <f t="shared" si="66"/>
        <v>-0.15389337974211145</v>
      </c>
      <c r="O620" s="4" t="str">
        <f t="shared" si="67"/>
        <v>Loss</v>
      </c>
      <c r="P620" t="s">
        <v>28</v>
      </c>
      <c r="Q620">
        <v>0.22</v>
      </c>
      <c r="R620" t="s">
        <v>16</v>
      </c>
      <c r="S620" t="s">
        <v>17</v>
      </c>
      <c r="T620" t="s">
        <v>44</v>
      </c>
      <c r="U620" t="str">
        <f t="shared" si="70"/>
        <v>Low-Cost</v>
      </c>
    </row>
    <row r="621" spans="1:21" x14ac:dyDescent="0.3">
      <c r="A621">
        <v>1062</v>
      </c>
      <c r="B621" s="1">
        <v>45018</v>
      </c>
      <c r="C621" s="2" t="s">
        <v>12</v>
      </c>
      <c r="D621" t="s">
        <v>32</v>
      </c>
      <c r="E621">
        <v>10</v>
      </c>
      <c r="F621" t="s">
        <v>27</v>
      </c>
      <c r="G621">
        <f>1</f>
        <v>1</v>
      </c>
      <c r="H621" s="3">
        <v>1524.88</v>
      </c>
      <c r="I621" s="3">
        <v>1636.14</v>
      </c>
      <c r="J621" s="3">
        <f t="shared" si="64"/>
        <v>1308.9120000000003</v>
      </c>
      <c r="K621" s="3">
        <f t="shared" si="65"/>
        <v>13089.120000000003</v>
      </c>
      <c r="L621" s="3">
        <f t="shared" si="68"/>
        <v>15248.800000000001</v>
      </c>
      <c r="M621" s="8">
        <f t="shared" si="69"/>
        <v>-2159.6799999999985</v>
      </c>
      <c r="N621" s="4">
        <f t="shared" si="66"/>
        <v>-0.1649981052966126</v>
      </c>
      <c r="O621" s="4" t="str">
        <f t="shared" si="67"/>
        <v>Loss</v>
      </c>
      <c r="P621" t="s">
        <v>28</v>
      </c>
      <c r="Q621">
        <v>0.2</v>
      </c>
      <c r="R621" t="s">
        <v>25</v>
      </c>
      <c r="S621" t="s">
        <v>17</v>
      </c>
      <c r="T621" t="s">
        <v>44</v>
      </c>
      <c r="U621" t="str">
        <f t="shared" si="70"/>
        <v>Low-Cost</v>
      </c>
    </row>
    <row r="622" spans="1:21" x14ac:dyDescent="0.3">
      <c r="A622">
        <v>1062</v>
      </c>
      <c r="B622" s="1">
        <v>45021</v>
      </c>
      <c r="C622" s="2" t="s">
        <v>12</v>
      </c>
      <c r="D622" t="s">
        <v>13</v>
      </c>
      <c r="E622">
        <v>48</v>
      </c>
      <c r="F622" t="s">
        <v>24</v>
      </c>
      <c r="G622">
        <f>1</f>
        <v>1</v>
      </c>
      <c r="H622" s="3">
        <v>2487.19</v>
      </c>
      <c r="I622" s="3">
        <v>2521.4499999999998</v>
      </c>
      <c r="J622" s="3">
        <f t="shared" si="64"/>
        <v>1790.2294999999997</v>
      </c>
      <c r="K622" s="3">
        <f t="shared" si="65"/>
        <v>85931.015999999989</v>
      </c>
      <c r="L622" s="3">
        <f t="shared" si="68"/>
        <v>119385.12</v>
      </c>
      <c r="M622" s="8">
        <f t="shared" si="69"/>
        <v>-33454.104000000007</v>
      </c>
      <c r="N622" s="4">
        <f t="shared" si="66"/>
        <v>-0.38931349304656204</v>
      </c>
      <c r="O622" s="4" t="str">
        <f t="shared" si="67"/>
        <v>Loss</v>
      </c>
      <c r="P622" t="s">
        <v>28</v>
      </c>
      <c r="Q622">
        <v>0.28999999999999998</v>
      </c>
      <c r="R622" t="s">
        <v>16</v>
      </c>
      <c r="S622" t="s">
        <v>17</v>
      </c>
      <c r="T622" t="s">
        <v>18</v>
      </c>
      <c r="U622" t="str">
        <f t="shared" si="70"/>
        <v>Low-Cost</v>
      </c>
    </row>
    <row r="623" spans="1:21" x14ac:dyDescent="0.3">
      <c r="A623">
        <v>1062</v>
      </c>
      <c r="B623" s="1">
        <v>45051</v>
      </c>
      <c r="C623" s="2" t="s">
        <v>36</v>
      </c>
      <c r="D623" t="s">
        <v>23</v>
      </c>
      <c r="E623">
        <v>26</v>
      </c>
      <c r="F623" t="s">
        <v>27</v>
      </c>
      <c r="G623">
        <f>1</f>
        <v>1</v>
      </c>
      <c r="H623" s="3">
        <v>992.17</v>
      </c>
      <c r="I623" s="3">
        <v>1263.49</v>
      </c>
      <c r="J623" s="3">
        <f t="shared" si="64"/>
        <v>947.61750000000006</v>
      </c>
      <c r="K623" s="3">
        <f t="shared" si="65"/>
        <v>24638.055</v>
      </c>
      <c r="L623" s="3">
        <f t="shared" si="68"/>
        <v>25796.42</v>
      </c>
      <c r="M623" s="8">
        <f t="shared" si="69"/>
        <v>-1158.364999999998</v>
      </c>
      <c r="N623" s="4">
        <f t="shared" si="66"/>
        <v>-4.7015277788770175E-2</v>
      </c>
      <c r="O623" s="4" t="str">
        <f t="shared" si="67"/>
        <v>Loss</v>
      </c>
      <c r="P623" t="s">
        <v>15</v>
      </c>
      <c r="Q623">
        <v>0.25</v>
      </c>
      <c r="R623" t="s">
        <v>25</v>
      </c>
      <c r="S623" t="s">
        <v>20</v>
      </c>
      <c r="T623" t="s">
        <v>37</v>
      </c>
      <c r="U623" t="str">
        <f t="shared" si="70"/>
        <v>Low-Cost</v>
      </c>
    </row>
    <row r="624" spans="1:21" x14ac:dyDescent="0.3">
      <c r="A624">
        <v>1062</v>
      </c>
      <c r="B624" s="1">
        <v>44932</v>
      </c>
      <c r="C624" s="2" t="s">
        <v>36</v>
      </c>
      <c r="D624" t="s">
        <v>32</v>
      </c>
      <c r="E624">
        <v>15</v>
      </c>
      <c r="F624" t="s">
        <v>27</v>
      </c>
      <c r="G624">
        <f>1</f>
        <v>1</v>
      </c>
      <c r="H624" s="3">
        <v>4756.55</v>
      </c>
      <c r="I624" s="3">
        <v>4888.46</v>
      </c>
      <c r="J624" s="3">
        <f t="shared" si="64"/>
        <v>3470.8065999999999</v>
      </c>
      <c r="K624" s="3">
        <f t="shared" si="65"/>
        <v>52062.098999999995</v>
      </c>
      <c r="L624" s="3">
        <f t="shared" si="68"/>
        <v>71348.25</v>
      </c>
      <c r="M624" s="8">
        <f t="shared" si="69"/>
        <v>-19286.151000000005</v>
      </c>
      <c r="N624" s="4">
        <f t="shared" si="66"/>
        <v>-0.37044512938289342</v>
      </c>
      <c r="O624" s="4" t="str">
        <f t="shared" si="67"/>
        <v>Loss</v>
      </c>
      <c r="P624" t="s">
        <v>28</v>
      </c>
      <c r="Q624">
        <v>0.28999999999999998</v>
      </c>
      <c r="R624" t="s">
        <v>29</v>
      </c>
      <c r="S624" t="s">
        <v>17</v>
      </c>
      <c r="T624" t="s">
        <v>46</v>
      </c>
      <c r="U624" t="str">
        <f t="shared" si="70"/>
        <v>High-Cost</v>
      </c>
    </row>
    <row r="625" spans="1:21" x14ac:dyDescent="0.3">
      <c r="A625">
        <v>1062</v>
      </c>
      <c r="B625" s="1">
        <v>45236</v>
      </c>
      <c r="C625" s="2" t="s">
        <v>22</v>
      </c>
      <c r="D625" t="s">
        <v>32</v>
      </c>
      <c r="E625">
        <v>25</v>
      </c>
      <c r="F625" t="s">
        <v>24</v>
      </c>
      <c r="G625">
        <f>1</f>
        <v>1</v>
      </c>
      <c r="H625" s="3">
        <v>2361.0500000000002</v>
      </c>
      <c r="I625" s="3">
        <v>2616.19</v>
      </c>
      <c r="J625" s="3">
        <f t="shared" si="64"/>
        <v>1831.3329999999999</v>
      </c>
      <c r="K625" s="3">
        <f t="shared" si="65"/>
        <v>45783.324999999997</v>
      </c>
      <c r="L625" s="3">
        <f t="shared" si="68"/>
        <v>59026.250000000007</v>
      </c>
      <c r="M625" s="8">
        <f t="shared" si="69"/>
        <v>-13242.92500000001</v>
      </c>
      <c r="N625" s="4">
        <f t="shared" si="66"/>
        <v>-0.28925214584130821</v>
      </c>
      <c r="O625" s="4" t="str">
        <f t="shared" si="67"/>
        <v>Loss</v>
      </c>
      <c r="P625" t="s">
        <v>28</v>
      </c>
      <c r="Q625">
        <v>0.3</v>
      </c>
      <c r="R625" t="s">
        <v>25</v>
      </c>
      <c r="S625" t="s">
        <v>20</v>
      </c>
      <c r="T625" t="s">
        <v>48</v>
      </c>
      <c r="U625" t="str">
        <f t="shared" si="70"/>
        <v>Low-Cost</v>
      </c>
    </row>
    <row r="626" spans="1:21" x14ac:dyDescent="0.3">
      <c r="A626">
        <v>1062</v>
      </c>
      <c r="B626" s="1">
        <v>45208</v>
      </c>
      <c r="C626" s="2" t="s">
        <v>12</v>
      </c>
      <c r="D626" t="s">
        <v>32</v>
      </c>
      <c r="E626">
        <v>4</v>
      </c>
      <c r="F626" t="s">
        <v>33</v>
      </c>
      <c r="G626">
        <f>1</f>
        <v>1</v>
      </c>
      <c r="H626" s="3">
        <v>1581.59</v>
      </c>
      <c r="I626" s="3">
        <v>2034.15</v>
      </c>
      <c r="J626" s="3">
        <f t="shared" si="64"/>
        <v>1606.9785000000002</v>
      </c>
      <c r="K626" s="3">
        <f t="shared" si="65"/>
        <v>6427.9140000000007</v>
      </c>
      <c r="L626" s="3">
        <f t="shared" si="68"/>
        <v>6326.36</v>
      </c>
      <c r="M626" s="8">
        <f t="shared" si="69"/>
        <v>101.554000000001</v>
      </c>
      <c r="N626" s="4">
        <f t="shared" si="66"/>
        <v>1.5798904590198466E-2</v>
      </c>
      <c r="O626" s="4" t="str">
        <f t="shared" si="67"/>
        <v>Profit</v>
      </c>
      <c r="P626" t="s">
        <v>15</v>
      </c>
      <c r="Q626">
        <v>0.21</v>
      </c>
      <c r="R626" t="s">
        <v>16</v>
      </c>
      <c r="S626" t="s">
        <v>17</v>
      </c>
      <c r="T626" t="s">
        <v>44</v>
      </c>
      <c r="U626" t="str">
        <f t="shared" si="70"/>
        <v>Low-Cost</v>
      </c>
    </row>
    <row r="627" spans="1:21" x14ac:dyDescent="0.3">
      <c r="A627">
        <v>1062</v>
      </c>
      <c r="B627" s="1">
        <v>45270</v>
      </c>
      <c r="C627" s="2" t="s">
        <v>22</v>
      </c>
      <c r="D627" t="s">
        <v>19</v>
      </c>
      <c r="E627">
        <v>11</v>
      </c>
      <c r="F627" t="s">
        <v>33</v>
      </c>
      <c r="G627">
        <f>1</f>
        <v>1</v>
      </c>
      <c r="H627" s="3">
        <v>1190.08</v>
      </c>
      <c r="I627" s="3">
        <v>1292.94</v>
      </c>
      <c r="J627" s="3">
        <f t="shared" si="64"/>
        <v>1124.8578</v>
      </c>
      <c r="K627" s="3">
        <f t="shared" si="65"/>
        <v>12373.435799999999</v>
      </c>
      <c r="L627" s="3">
        <f t="shared" si="68"/>
        <v>13090.88</v>
      </c>
      <c r="M627" s="8">
        <f t="shared" si="69"/>
        <v>-717.44419999999991</v>
      </c>
      <c r="N627" s="4">
        <f t="shared" si="66"/>
        <v>-5.7982617891790406E-2</v>
      </c>
      <c r="O627" s="4" t="str">
        <f t="shared" si="67"/>
        <v>Loss</v>
      </c>
      <c r="P627" t="s">
        <v>15</v>
      </c>
      <c r="Q627">
        <v>0.13</v>
      </c>
      <c r="R627" t="s">
        <v>16</v>
      </c>
      <c r="S627" t="s">
        <v>20</v>
      </c>
      <c r="T627" t="s">
        <v>45</v>
      </c>
      <c r="U627" t="str">
        <f t="shared" si="70"/>
        <v>Low-Cost</v>
      </c>
    </row>
    <row r="628" spans="1:21" x14ac:dyDescent="0.3">
      <c r="A628">
        <v>1062</v>
      </c>
      <c r="B628" s="1">
        <v>45242</v>
      </c>
      <c r="C628" s="2" t="s">
        <v>36</v>
      </c>
      <c r="D628" t="s">
        <v>23</v>
      </c>
      <c r="E628">
        <v>9</v>
      </c>
      <c r="F628" t="s">
        <v>33</v>
      </c>
      <c r="G628">
        <f>1</f>
        <v>1</v>
      </c>
      <c r="H628" s="3">
        <v>1468.05</v>
      </c>
      <c r="I628" s="3">
        <v>1838.21</v>
      </c>
      <c r="J628" s="3">
        <f t="shared" si="64"/>
        <v>1562.4784999999999</v>
      </c>
      <c r="K628" s="3">
        <f t="shared" si="65"/>
        <v>14062.306499999999</v>
      </c>
      <c r="L628" s="3">
        <f t="shared" si="68"/>
        <v>13212.449999999999</v>
      </c>
      <c r="M628" s="8">
        <f t="shared" si="69"/>
        <v>849.85649999999987</v>
      </c>
      <c r="N628" s="4">
        <f t="shared" si="66"/>
        <v>6.043507158658503E-2</v>
      </c>
      <c r="O628" s="4" t="str">
        <f t="shared" si="67"/>
        <v>Profit</v>
      </c>
      <c r="P628" t="s">
        <v>28</v>
      </c>
      <c r="Q628">
        <v>0.15</v>
      </c>
      <c r="R628" t="s">
        <v>25</v>
      </c>
      <c r="S628" t="s">
        <v>20</v>
      </c>
      <c r="T628" t="s">
        <v>37</v>
      </c>
      <c r="U628" t="str">
        <f t="shared" si="70"/>
        <v>Low-Cost</v>
      </c>
    </row>
    <row r="629" spans="1:21" x14ac:dyDescent="0.3">
      <c r="A629">
        <v>1062</v>
      </c>
      <c r="B629" s="1">
        <v>44999</v>
      </c>
      <c r="C629" s="2" t="s">
        <v>40</v>
      </c>
      <c r="D629" t="s">
        <v>32</v>
      </c>
      <c r="E629">
        <v>24</v>
      </c>
      <c r="F629" t="s">
        <v>24</v>
      </c>
      <c r="G629">
        <f>1</f>
        <v>1</v>
      </c>
      <c r="H629" s="3">
        <v>3018.01</v>
      </c>
      <c r="I629" s="3">
        <v>3418.19</v>
      </c>
      <c r="J629" s="3">
        <f t="shared" si="64"/>
        <v>2632.0063</v>
      </c>
      <c r="K629" s="3">
        <f t="shared" si="65"/>
        <v>63168.1512</v>
      </c>
      <c r="L629" s="3">
        <f t="shared" si="68"/>
        <v>72432.240000000005</v>
      </c>
      <c r="M629" s="8">
        <f t="shared" si="69"/>
        <v>-9264.088800000005</v>
      </c>
      <c r="N629" s="4">
        <f t="shared" si="66"/>
        <v>-0.14665758968738038</v>
      </c>
      <c r="O629" s="4" t="str">
        <f t="shared" si="67"/>
        <v>Loss</v>
      </c>
      <c r="P629" t="s">
        <v>15</v>
      </c>
      <c r="Q629">
        <v>0.23</v>
      </c>
      <c r="R629" t="s">
        <v>25</v>
      </c>
      <c r="S629" t="s">
        <v>20</v>
      </c>
      <c r="T629" t="s">
        <v>50</v>
      </c>
      <c r="U629" t="str">
        <f t="shared" si="70"/>
        <v>High-Cost</v>
      </c>
    </row>
    <row r="630" spans="1:21" x14ac:dyDescent="0.3">
      <c r="A630">
        <v>1062</v>
      </c>
      <c r="B630" s="1">
        <v>45001</v>
      </c>
      <c r="C630" s="2" t="s">
        <v>22</v>
      </c>
      <c r="D630" t="s">
        <v>19</v>
      </c>
      <c r="E630">
        <v>45</v>
      </c>
      <c r="F630" t="s">
        <v>14</v>
      </c>
      <c r="G630">
        <f>1</f>
        <v>1</v>
      </c>
      <c r="H630" s="3">
        <v>4849.6000000000004</v>
      </c>
      <c r="I630" s="3">
        <v>5166.72</v>
      </c>
      <c r="J630" s="3">
        <f t="shared" si="64"/>
        <v>3875.04</v>
      </c>
      <c r="K630" s="3">
        <f t="shared" si="65"/>
        <v>174376.80000000002</v>
      </c>
      <c r="L630" s="3">
        <f t="shared" si="68"/>
        <v>218232.00000000003</v>
      </c>
      <c r="M630" s="8">
        <f t="shared" si="69"/>
        <v>-43855.200000000012</v>
      </c>
      <c r="N630" s="4">
        <f t="shared" si="66"/>
        <v>-0.2514967587431356</v>
      </c>
      <c r="O630" s="4" t="str">
        <f t="shared" si="67"/>
        <v>Loss</v>
      </c>
      <c r="P630" t="s">
        <v>15</v>
      </c>
      <c r="Q630">
        <v>0.25</v>
      </c>
      <c r="R630" t="s">
        <v>29</v>
      </c>
      <c r="S630" t="s">
        <v>17</v>
      </c>
      <c r="T630" t="s">
        <v>45</v>
      </c>
      <c r="U630" t="str">
        <f t="shared" si="70"/>
        <v>High-Cost</v>
      </c>
    </row>
    <row r="631" spans="1:21" x14ac:dyDescent="0.3">
      <c r="A631">
        <v>1062</v>
      </c>
      <c r="B631" s="1">
        <v>45062</v>
      </c>
      <c r="C631" s="2" t="s">
        <v>31</v>
      </c>
      <c r="D631" t="s">
        <v>13</v>
      </c>
      <c r="E631">
        <v>46</v>
      </c>
      <c r="F631" t="s">
        <v>14</v>
      </c>
      <c r="G631">
        <f>1</f>
        <v>1</v>
      </c>
      <c r="H631" s="3">
        <v>159.32</v>
      </c>
      <c r="I631" s="3">
        <v>303.36</v>
      </c>
      <c r="J631" s="3">
        <f t="shared" si="64"/>
        <v>294.25920000000002</v>
      </c>
      <c r="K631" s="3">
        <f t="shared" si="65"/>
        <v>13535.923200000001</v>
      </c>
      <c r="L631" s="3">
        <f t="shared" si="68"/>
        <v>7328.7199999999993</v>
      </c>
      <c r="M631" s="8">
        <f t="shared" si="69"/>
        <v>6207.2032000000017</v>
      </c>
      <c r="N631" s="4">
        <f t="shared" si="66"/>
        <v>0.45857257818956904</v>
      </c>
      <c r="O631" s="4" t="str">
        <f t="shared" si="67"/>
        <v>Profit</v>
      </c>
      <c r="P631" t="s">
        <v>28</v>
      </c>
      <c r="Q631">
        <v>0.03</v>
      </c>
      <c r="R631" t="s">
        <v>16</v>
      </c>
      <c r="S631" t="s">
        <v>20</v>
      </c>
      <c r="T631" t="s">
        <v>51</v>
      </c>
      <c r="U631" t="str">
        <f t="shared" si="70"/>
        <v>Low-Cost</v>
      </c>
    </row>
    <row r="632" spans="1:21" x14ac:dyDescent="0.3">
      <c r="A632">
        <v>1062</v>
      </c>
      <c r="B632" s="1">
        <v>45247</v>
      </c>
      <c r="C632" s="2" t="s">
        <v>31</v>
      </c>
      <c r="D632" t="s">
        <v>13</v>
      </c>
      <c r="E632">
        <v>28</v>
      </c>
      <c r="F632" t="s">
        <v>27</v>
      </c>
      <c r="G632">
        <f>1</f>
        <v>1</v>
      </c>
      <c r="H632" s="3">
        <v>2094.88</v>
      </c>
      <c r="I632" s="3">
        <v>2168.91</v>
      </c>
      <c r="J632" s="3">
        <f t="shared" si="64"/>
        <v>1995.3971999999999</v>
      </c>
      <c r="K632" s="3">
        <f t="shared" si="65"/>
        <v>55871.121599999999</v>
      </c>
      <c r="L632" s="3">
        <f t="shared" si="68"/>
        <v>58656.639999999999</v>
      </c>
      <c r="M632" s="8">
        <f t="shared" si="69"/>
        <v>-2785.5184000000008</v>
      </c>
      <c r="N632" s="4">
        <f t="shared" si="66"/>
        <v>-4.9856138918106148E-2</v>
      </c>
      <c r="O632" s="4" t="str">
        <f t="shared" si="67"/>
        <v>Loss</v>
      </c>
      <c r="P632" t="s">
        <v>15</v>
      </c>
      <c r="Q632">
        <v>0.08</v>
      </c>
      <c r="R632" t="s">
        <v>16</v>
      </c>
      <c r="S632" t="s">
        <v>20</v>
      </c>
      <c r="T632" t="s">
        <v>51</v>
      </c>
      <c r="U632" t="str">
        <f t="shared" si="70"/>
        <v>Low-Cost</v>
      </c>
    </row>
    <row r="633" spans="1:21" x14ac:dyDescent="0.3">
      <c r="A633">
        <v>1062</v>
      </c>
      <c r="B633" s="1">
        <v>45248</v>
      </c>
      <c r="C633" s="2" t="s">
        <v>40</v>
      </c>
      <c r="D633" t="s">
        <v>32</v>
      </c>
      <c r="E633">
        <v>12</v>
      </c>
      <c r="F633" t="s">
        <v>14</v>
      </c>
      <c r="G633">
        <f>1</f>
        <v>1</v>
      </c>
      <c r="H633" s="3">
        <v>1088.99</v>
      </c>
      <c r="I633" s="3">
        <v>1545</v>
      </c>
      <c r="J633" s="3">
        <f t="shared" si="64"/>
        <v>1483.2</v>
      </c>
      <c r="K633" s="3">
        <f t="shared" si="65"/>
        <v>17798.399999999998</v>
      </c>
      <c r="L633" s="3">
        <f t="shared" si="68"/>
        <v>13067.880000000001</v>
      </c>
      <c r="M633" s="8">
        <f t="shared" si="69"/>
        <v>4730.5199999999968</v>
      </c>
      <c r="N633" s="4">
        <f t="shared" si="66"/>
        <v>0.26578344120819836</v>
      </c>
      <c r="O633" s="4" t="str">
        <f t="shared" si="67"/>
        <v>Profit</v>
      </c>
      <c r="P633" t="s">
        <v>15</v>
      </c>
      <c r="Q633">
        <v>0.04</v>
      </c>
      <c r="R633" t="s">
        <v>25</v>
      </c>
      <c r="S633" t="s">
        <v>20</v>
      </c>
      <c r="T633" t="s">
        <v>50</v>
      </c>
      <c r="U633" t="str">
        <f t="shared" si="70"/>
        <v>Low-Cost</v>
      </c>
    </row>
    <row r="634" spans="1:21" x14ac:dyDescent="0.3">
      <c r="A634">
        <v>1062</v>
      </c>
      <c r="B634" s="1">
        <v>45126</v>
      </c>
      <c r="C634" s="2" t="s">
        <v>31</v>
      </c>
      <c r="D634" t="s">
        <v>13</v>
      </c>
      <c r="E634">
        <v>10</v>
      </c>
      <c r="F634" t="s">
        <v>33</v>
      </c>
      <c r="G634">
        <f>1</f>
        <v>1</v>
      </c>
      <c r="H634" s="3">
        <v>2940.4</v>
      </c>
      <c r="I634" s="3">
        <v>3054.79</v>
      </c>
      <c r="J634" s="3">
        <f t="shared" si="64"/>
        <v>2810.4068000000002</v>
      </c>
      <c r="K634" s="3">
        <f t="shared" si="65"/>
        <v>28104.068000000003</v>
      </c>
      <c r="L634" s="3">
        <f t="shared" si="68"/>
        <v>29404</v>
      </c>
      <c r="M634" s="8">
        <f t="shared" si="69"/>
        <v>-1299.9319999999971</v>
      </c>
      <c r="N634" s="4">
        <f t="shared" si="66"/>
        <v>-4.62542291030607E-2</v>
      </c>
      <c r="O634" s="4" t="str">
        <f t="shared" si="67"/>
        <v>Loss</v>
      </c>
      <c r="P634" t="s">
        <v>15</v>
      </c>
      <c r="Q634">
        <v>0.08</v>
      </c>
      <c r="R634" t="s">
        <v>29</v>
      </c>
      <c r="S634" t="s">
        <v>17</v>
      </c>
      <c r="T634" t="s">
        <v>51</v>
      </c>
      <c r="U634" t="str">
        <f t="shared" si="70"/>
        <v>High-Cost</v>
      </c>
    </row>
    <row r="635" spans="1:21" x14ac:dyDescent="0.3">
      <c r="A635">
        <v>1062</v>
      </c>
      <c r="B635" s="1">
        <v>45127</v>
      </c>
      <c r="C635" s="2" t="s">
        <v>36</v>
      </c>
      <c r="D635" t="s">
        <v>13</v>
      </c>
      <c r="E635">
        <v>48</v>
      </c>
      <c r="F635" t="s">
        <v>33</v>
      </c>
      <c r="G635">
        <f>1</f>
        <v>1</v>
      </c>
      <c r="H635" s="3">
        <v>1679.69</v>
      </c>
      <c r="I635" s="3">
        <v>1939.04</v>
      </c>
      <c r="J635" s="3">
        <f t="shared" si="64"/>
        <v>1764.5264</v>
      </c>
      <c r="K635" s="3">
        <f t="shared" si="65"/>
        <v>84697.267200000002</v>
      </c>
      <c r="L635" s="3">
        <f t="shared" si="68"/>
        <v>80625.119999999995</v>
      </c>
      <c r="M635" s="8">
        <f t="shared" si="69"/>
        <v>4072.1472000000067</v>
      </c>
      <c r="N635" s="4">
        <f t="shared" si="66"/>
        <v>4.80788499395646E-2</v>
      </c>
      <c r="O635" s="4" t="str">
        <f t="shared" si="67"/>
        <v>Profit</v>
      </c>
      <c r="P635" t="s">
        <v>28</v>
      </c>
      <c r="Q635">
        <v>0.09</v>
      </c>
      <c r="R635" t="s">
        <v>29</v>
      </c>
      <c r="S635" t="s">
        <v>17</v>
      </c>
      <c r="T635" t="s">
        <v>38</v>
      </c>
      <c r="U635" t="str">
        <f t="shared" si="70"/>
        <v>Low-Cost</v>
      </c>
    </row>
    <row r="636" spans="1:21" x14ac:dyDescent="0.3">
      <c r="A636">
        <v>1062</v>
      </c>
      <c r="B636" s="1">
        <v>45190</v>
      </c>
      <c r="C636" s="2" t="s">
        <v>22</v>
      </c>
      <c r="D636" t="s">
        <v>13</v>
      </c>
      <c r="E636">
        <v>37</v>
      </c>
      <c r="F636" t="s">
        <v>33</v>
      </c>
      <c r="G636">
        <f>1</f>
        <v>1</v>
      </c>
      <c r="H636" s="3">
        <v>4658.4399999999996</v>
      </c>
      <c r="I636" s="3">
        <v>4823.5</v>
      </c>
      <c r="J636" s="3">
        <f t="shared" si="64"/>
        <v>4148.21</v>
      </c>
      <c r="K636" s="3">
        <f t="shared" si="65"/>
        <v>153483.76999999999</v>
      </c>
      <c r="L636" s="3">
        <f t="shared" si="68"/>
        <v>172362.28</v>
      </c>
      <c r="M636" s="8">
        <f t="shared" si="69"/>
        <v>-18878.510000000009</v>
      </c>
      <c r="N636" s="4">
        <f t="shared" si="66"/>
        <v>-0.12300004098153186</v>
      </c>
      <c r="O636" s="4" t="str">
        <f t="shared" si="67"/>
        <v>Loss</v>
      </c>
      <c r="P636" t="s">
        <v>15</v>
      </c>
      <c r="Q636">
        <v>0.14000000000000001</v>
      </c>
      <c r="R636" t="s">
        <v>29</v>
      </c>
      <c r="S636" t="s">
        <v>17</v>
      </c>
      <c r="T636" t="s">
        <v>43</v>
      </c>
      <c r="U636" t="str">
        <f t="shared" si="70"/>
        <v>High-Cost</v>
      </c>
    </row>
    <row r="637" spans="1:21" x14ac:dyDescent="0.3">
      <c r="A637">
        <v>1062</v>
      </c>
      <c r="B637" s="1">
        <v>45134</v>
      </c>
      <c r="C637" s="2" t="s">
        <v>22</v>
      </c>
      <c r="D637" t="s">
        <v>23</v>
      </c>
      <c r="E637">
        <v>44</v>
      </c>
      <c r="F637" t="s">
        <v>33</v>
      </c>
      <c r="G637">
        <f>1</f>
        <v>1</v>
      </c>
      <c r="H637" s="3">
        <v>987.74</v>
      </c>
      <c r="I637" s="3">
        <v>1462.19</v>
      </c>
      <c r="J637" s="3">
        <f t="shared" si="64"/>
        <v>1111.2644</v>
      </c>
      <c r="K637" s="3">
        <f t="shared" si="65"/>
        <v>48895.633600000001</v>
      </c>
      <c r="L637" s="3">
        <f t="shared" si="68"/>
        <v>43460.56</v>
      </c>
      <c r="M637" s="8">
        <f t="shared" si="69"/>
        <v>5435.0736000000034</v>
      </c>
      <c r="N637" s="4">
        <f t="shared" si="66"/>
        <v>0.11115662483203824</v>
      </c>
      <c r="O637" s="4" t="str">
        <f t="shared" si="67"/>
        <v>Profit</v>
      </c>
      <c r="P637" t="s">
        <v>28</v>
      </c>
      <c r="Q637">
        <v>0.24</v>
      </c>
      <c r="R637" t="s">
        <v>25</v>
      </c>
      <c r="S637" t="s">
        <v>17</v>
      </c>
      <c r="T637" t="s">
        <v>26</v>
      </c>
      <c r="U637" t="str">
        <f t="shared" si="70"/>
        <v>Low-Cost</v>
      </c>
    </row>
    <row r="638" spans="1:21" x14ac:dyDescent="0.3">
      <c r="A638">
        <v>1062</v>
      </c>
      <c r="B638" s="1">
        <v>45074</v>
      </c>
      <c r="C638" s="2" t="s">
        <v>12</v>
      </c>
      <c r="D638" t="s">
        <v>23</v>
      </c>
      <c r="E638">
        <v>28</v>
      </c>
      <c r="F638" t="s">
        <v>33</v>
      </c>
      <c r="G638">
        <f>1</f>
        <v>1</v>
      </c>
      <c r="H638" s="3">
        <v>933.16</v>
      </c>
      <c r="I638" s="3">
        <v>1004.7</v>
      </c>
      <c r="J638" s="3">
        <f t="shared" si="64"/>
        <v>823.85400000000016</v>
      </c>
      <c r="K638" s="3">
        <f t="shared" si="65"/>
        <v>23067.912000000004</v>
      </c>
      <c r="L638" s="3">
        <f t="shared" si="68"/>
        <v>26128.48</v>
      </c>
      <c r="M638" s="8">
        <f t="shared" si="69"/>
        <v>-3060.5679999999957</v>
      </c>
      <c r="N638" s="4">
        <f t="shared" si="66"/>
        <v>-0.13267642082213574</v>
      </c>
      <c r="O638" s="4" t="str">
        <f t="shared" si="67"/>
        <v>Loss</v>
      </c>
      <c r="P638" t="s">
        <v>15</v>
      </c>
      <c r="Q638">
        <v>0.18</v>
      </c>
      <c r="R638" t="s">
        <v>25</v>
      </c>
      <c r="S638" t="s">
        <v>17</v>
      </c>
      <c r="T638" t="s">
        <v>30</v>
      </c>
      <c r="U638" t="str">
        <f t="shared" si="70"/>
        <v>Low-Cost</v>
      </c>
    </row>
    <row r="639" spans="1:21" x14ac:dyDescent="0.3">
      <c r="A639">
        <v>1063</v>
      </c>
      <c r="B639" s="1">
        <v>45139</v>
      </c>
      <c r="C639" s="2" t="s">
        <v>12</v>
      </c>
      <c r="D639" t="s">
        <v>23</v>
      </c>
      <c r="E639">
        <v>4</v>
      </c>
      <c r="F639" t="s">
        <v>33</v>
      </c>
      <c r="G639">
        <f>1</f>
        <v>1</v>
      </c>
      <c r="H639" s="3">
        <v>1046.26</v>
      </c>
      <c r="I639" s="3">
        <v>1475.29</v>
      </c>
      <c r="J639" s="3">
        <f t="shared" si="64"/>
        <v>1342.5138999999999</v>
      </c>
      <c r="K639" s="3">
        <f t="shared" si="65"/>
        <v>5370.0555999999997</v>
      </c>
      <c r="L639" s="3">
        <f t="shared" si="68"/>
        <v>4185.04</v>
      </c>
      <c r="M639" s="8">
        <f t="shared" si="69"/>
        <v>1185.0155999999997</v>
      </c>
      <c r="N639" s="4">
        <f t="shared" si="66"/>
        <v>0.22067101130200584</v>
      </c>
      <c r="O639" s="4" t="str">
        <f t="shared" si="67"/>
        <v>Profit</v>
      </c>
      <c r="P639" t="s">
        <v>15</v>
      </c>
      <c r="Q639">
        <v>0.09</v>
      </c>
      <c r="R639" t="s">
        <v>25</v>
      </c>
      <c r="S639" t="s">
        <v>20</v>
      </c>
      <c r="T639" t="s">
        <v>30</v>
      </c>
      <c r="U639" t="str">
        <f t="shared" si="70"/>
        <v>Low-Cost</v>
      </c>
    </row>
    <row r="640" spans="1:21" x14ac:dyDescent="0.3">
      <c r="A640">
        <v>1063</v>
      </c>
      <c r="B640" s="1">
        <v>45264</v>
      </c>
      <c r="C640" s="2" t="s">
        <v>22</v>
      </c>
      <c r="D640" t="s">
        <v>23</v>
      </c>
      <c r="E640">
        <v>14</v>
      </c>
      <c r="F640" t="s">
        <v>27</v>
      </c>
      <c r="G640">
        <f>1</f>
        <v>1</v>
      </c>
      <c r="H640" s="3">
        <v>2188.35</v>
      </c>
      <c r="I640" s="3">
        <v>2605.36</v>
      </c>
      <c r="J640" s="3">
        <f t="shared" si="64"/>
        <v>2084.288</v>
      </c>
      <c r="K640" s="3">
        <f t="shared" si="65"/>
        <v>29180.032000000003</v>
      </c>
      <c r="L640" s="3">
        <f t="shared" si="68"/>
        <v>30636.899999999998</v>
      </c>
      <c r="M640" s="8">
        <f t="shared" si="69"/>
        <v>-1456.8679999999949</v>
      </c>
      <c r="N640" s="4">
        <f t="shared" si="66"/>
        <v>-4.9926881505818595E-2</v>
      </c>
      <c r="O640" s="4" t="str">
        <f t="shared" si="67"/>
        <v>Loss</v>
      </c>
      <c r="P640" t="s">
        <v>15</v>
      </c>
      <c r="Q640">
        <v>0.2</v>
      </c>
      <c r="R640" t="s">
        <v>29</v>
      </c>
      <c r="S640" t="s">
        <v>20</v>
      </c>
      <c r="T640" t="s">
        <v>26</v>
      </c>
      <c r="U640" t="str">
        <f t="shared" si="70"/>
        <v>Low-Cost</v>
      </c>
    </row>
    <row r="641" spans="1:21" x14ac:dyDescent="0.3">
      <c r="A641">
        <v>1063</v>
      </c>
      <c r="B641" s="1">
        <v>45204</v>
      </c>
      <c r="C641" s="2" t="s">
        <v>40</v>
      </c>
      <c r="D641" t="s">
        <v>23</v>
      </c>
      <c r="E641">
        <v>27</v>
      </c>
      <c r="F641" t="s">
        <v>24</v>
      </c>
      <c r="G641">
        <f>1</f>
        <v>1</v>
      </c>
      <c r="H641" s="3">
        <v>2069.08</v>
      </c>
      <c r="I641" s="3">
        <v>2246.2399999999998</v>
      </c>
      <c r="J641" s="3">
        <f t="shared" si="64"/>
        <v>2111.4655999999995</v>
      </c>
      <c r="K641" s="3">
        <f t="shared" si="65"/>
        <v>57009.571199999991</v>
      </c>
      <c r="L641" s="3">
        <f t="shared" si="68"/>
        <v>55865.159999999996</v>
      </c>
      <c r="M641" s="8">
        <f t="shared" si="69"/>
        <v>1144.411199999995</v>
      </c>
      <c r="N641" s="4">
        <f t="shared" si="66"/>
        <v>2.007401872898134E-2</v>
      </c>
      <c r="O641" s="4" t="str">
        <f t="shared" si="67"/>
        <v>Profit</v>
      </c>
      <c r="P641" t="s">
        <v>28</v>
      </c>
      <c r="Q641">
        <v>0.06</v>
      </c>
      <c r="R641" t="s">
        <v>25</v>
      </c>
      <c r="S641" t="s">
        <v>20</v>
      </c>
      <c r="T641" t="s">
        <v>41</v>
      </c>
      <c r="U641" t="str">
        <f t="shared" si="70"/>
        <v>Low-Cost</v>
      </c>
    </row>
    <row r="642" spans="1:21" x14ac:dyDescent="0.3">
      <c r="A642">
        <v>1063</v>
      </c>
      <c r="B642" s="1">
        <v>45056</v>
      </c>
      <c r="C642" s="2" t="s">
        <v>22</v>
      </c>
      <c r="D642" t="s">
        <v>32</v>
      </c>
      <c r="E642">
        <v>47</v>
      </c>
      <c r="F642" t="s">
        <v>33</v>
      </c>
      <c r="G642">
        <f>1</f>
        <v>1</v>
      </c>
      <c r="H642" s="3">
        <v>4291.33</v>
      </c>
      <c r="I642" s="3">
        <v>4658.6400000000003</v>
      </c>
      <c r="J642" s="3">
        <f t="shared" ref="J642:J705" si="71">I642*(1-Q642)</f>
        <v>3540.5664000000002</v>
      </c>
      <c r="K642" s="3">
        <f t="shared" ref="K642:K705" si="72">E642*I642*(1-Q642)</f>
        <v>166406.6208</v>
      </c>
      <c r="L642" s="3">
        <f t="shared" si="68"/>
        <v>201692.51</v>
      </c>
      <c r="M642" s="8">
        <f t="shared" si="69"/>
        <v>-35285.889200000005</v>
      </c>
      <c r="N642" s="4">
        <f t="shared" ref="N642:N705" si="73">(M642/K642)</f>
        <v>-0.21204618560465358</v>
      </c>
      <c r="O642" s="4" t="str">
        <f t="shared" ref="O642:O705" si="74">IF(M642&lt;0,"Loss","Profit")</f>
        <v>Loss</v>
      </c>
      <c r="P642" t="s">
        <v>28</v>
      </c>
      <c r="Q642">
        <v>0.24</v>
      </c>
      <c r="R642" t="s">
        <v>29</v>
      </c>
      <c r="S642" t="s">
        <v>20</v>
      </c>
      <c r="T642" t="s">
        <v>48</v>
      </c>
      <c r="U642" t="str">
        <f t="shared" si="70"/>
        <v>High-Cost</v>
      </c>
    </row>
    <row r="643" spans="1:21" x14ac:dyDescent="0.3">
      <c r="A643">
        <v>1063</v>
      </c>
      <c r="B643" s="1">
        <v>45028</v>
      </c>
      <c r="C643" s="2" t="s">
        <v>31</v>
      </c>
      <c r="D643" t="s">
        <v>13</v>
      </c>
      <c r="E643">
        <v>40</v>
      </c>
      <c r="F643" t="s">
        <v>33</v>
      </c>
      <c r="G643">
        <f>1</f>
        <v>1</v>
      </c>
      <c r="H643" s="3">
        <v>2101.3200000000002</v>
      </c>
      <c r="I643" s="3">
        <v>2440.63</v>
      </c>
      <c r="J643" s="3">
        <f t="shared" si="71"/>
        <v>1806.0662</v>
      </c>
      <c r="K643" s="3">
        <f t="shared" si="72"/>
        <v>72242.648000000001</v>
      </c>
      <c r="L643" s="3">
        <f t="shared" ref="L643:L706" si="75">H643*E643</f>
        <v>84052.800000000003</v>
      </c>
      <c r="M643" s="8">
        <f t="shared" ref="M643:M706" si="76">K643-L643</f>
        <v>-11810.152000000002</v>
      </c>
      <c r="N643" s="4">
        <f t="shared" si="73"/>
        <v>-0.16347894667426921</v>
      </c>
      <c r="O643" s="4" t="str">
        <f t="shared" si="74"/>
        <v>Loss</v>
      </c>
      <c r="P643" t="s">
        <v>28</v>
      </c>
      <c r="Q643">
        <v>0.26</v>
      </c>
      <c r="R643" t="s">
        <v>25</v>
      </c>
      <c r="S643" t="s">
        <v>20</v>
      </c>
      <c r="T643" t="s">
        <v>51</v>
      </c>
      <c r="U643" t="str">
        <f t="shared" si="70"/>
        <v>Low-Cost</v>
      </c>
    </row>
    <row r="644" spans="1:21" x14ac:dyDescent="0.3">
      <c r="A644">
        <v>1063</v>
      </c>
      <c r="B644" s="1">
        <v>45152</v>
      </c>
      <c r="C644" s="2" t="s">
        <v>12</v>
      </c>
      <c r="D644" t="s">
        <v>13</v>
      </c>
      <c r="E644">
        <v>27</v>
      </c>
      <c r="F644" t="s">
        <v>27</v>
      </c>
      <c r="G644">
        <f>1</f>
        <v>1</v>
      </c>
      <c r="H644" s="3">
        <v>3760.25</v>
      </c>
      <c r="I644" s="3">
        <v>4147.1099999999997</v>
      </c>
      <c r="J644" s="3">
        <f t="shared" si="71"/>
        <v>3234.7457999999997</v>
      </c>
      <c r="K644" s="3">
        <f t="shared" si="72"/>
        <v>87338.136599999998</v>
      </c>
      <c r="L644" s="3">
        <f t="shared" si="75"/>
        <v>101526.75</v>
      </c>
      <c r="M644" s="8">
        <f t="shared" si="76"/>
        <v>-14188.613400000002</v>
      </c>
      <c r="N644" s="4">
        <f t="shared" si="73"/>
        <v>-0.1624561039695917</v>
      </c>
      <c r="O644" s="4" t="str">
        <f t="shared" si="74"/>
        <v>Loss</v>
      </c>
      <c r="P644" t="s">
        <v>28</v>
      </c>
      <c r="Q644">
        <v>0.22</v>
      </c>
      <c r="R644" t="s">
        <v>16</v>
      </c>
      <c r="S644" t="s">
        <v>17</v>
      </c>
      <c r="T644" t="s">
        <v>18</v>
      </c>
      <c r="U644" t="str">
        <f t="shared" si="70"/>
        <v>High-Cost</v>
      </c>
    </row>
    <row r="645" spans="1:21" x14ac:dyDescent="0.3">
      <c r="A645">
        <v>1063</v>
      </c>
      <c r="B645" s="1">
        <v>45153</v>
      </c>
      <c r="C645" s="2" t="s">
        <v>40</v>
      </c>
      <c r="D645" t="s">
        <v>32</v>
      </c>
      <c r="E645">
        <v>26</v>
      </c>
      <c r="F645" t="s">
        <v>24</v>
      </c>
      <c r="G645">
        <f>1</f>
        <v>1</v>
      </c>
      <c r="H645" s="3">
        <v>1046.96</v>
      </c>
      <c r="I645" s="3">
        <v>1528.15</v>
      </c>
      <c r="J645" s="3">
        <f t="shared" si="71"/>
        <v>1421.1795</v>
      </c>
      <c r="K645" s="3">
        <f t="shared" si="72"/>
        <v>36950.667000000001</v>
      </c>
      <c r="L645" s="3">
        <f t="shared" si="75"/>
        <v>27220.959999999999</v>
      </c>
      <c r="M645" s="8">
        <f t="shared" si="76"/>
        <v>9729.7070000000022</v>
      </c>
      <c r="N645" s="4">
        <f t="shared" si="73"/>
        <v>0.26331613986832775</v>
      </c>
      <c r="O645" s="4" t="str">
        <f t="shared" si="74"/>
        <v>Profit</v>
      </c>
      <c r="P645" t="s">
        <v>28</v>
      </c>
      <c r="Q645">
        <v>7.0000000000000007E-2</v>
      </c>
      <c r="R645" t="s">
        <v>29</v>
      </c>
      <c r="S645" t="s">
        <v>20</v>
      </c>
      <c r="T645" t="s">
        <v>50</v>
      </c>
      <c r="U645" t="str">
        <f t="shared" si="70"/>
        <v>Low-Cost</v>
      </c>
    </row>
    <row r="646" spans="1:21" x14ac:dyDescent="0.3">
      <c r="A646">
        <v>1063</v>
      </c>
      <c r="B646" s="1">
        <v>45215</v>
      </c>
      <c r="C646" s="2" t="s">
        <v>31</v>
      </c>
      <c r="D646" t="s">
        <v>13</v>
      </c>
      <c r="E646">
        <v>4</v>
      </c>
      <c r="F646" t="s">
        <v>27</v>
      </c>
      <c r="G646">
        <f>1</f>
        <v>1</v>
      </c>
      <c r="H646" s="3">
        <v>1134.67</v>
      </c>
      <c r="I646" s="3">
        <v>1201.3900000000001</v>
      </c>
      <c r="J646" s="3">
        <f t="shared" si="71"/>
        <v>840.97300000000007</v>
      </c>
      <c r="K646" s="3">
        <f t="shared" si="72"/>
        <v>3363.8920000000003</v>
      </c>
      <c r="L646" s="3">
        <f t="shared" si="75"/>
        <v>4538.68</v>
      </c>
      <c r="M646" s="8">
        <f t="shared" si="76"/>
        <v>-1174.788</v>
      </c>
      <c r="N646" s="4">
        <f t="shared" si="73"/>
        <v>-0.34923475545588262</v>
      </c>
      <c r="O646" s="4" t="str">
        <f t="shared" si="74"/>
        <v>Loss</v>
      </c>
      <c r="P646" t="s">
        <v>28</v>
      </c>
      <c r="Q646">
        <v>0.3</v>
      </c>
      <c r="R646" t="s">
        <v>25</v>
      </c>
      <c r="S646" t="s">
        <v>20</v>
      </c>
      <c r="T646" t="s">
        <v>51</v>
      </c>
      <c r="U646" t="str">
        <f t="shared" si="70"/>
        <v>Low-Cost</v>
      </c>
    </row>
    <row r="647" spans="1:21" x14ac:dyDescent="0.3">
      <c r="A647">
        <v>1063</v>
      </c>
      <c r="B647" s="1">
        <v>45064</v>
      </c>
      <c r="C647" s="2" t="s">
        <v>12</v>
      </c>
      <c r="D647" t="s">
        <v>19</v>
      </c>
      <c r="E647">
        <v>39</v>
      </c>
      <c r="F647" t="s">
        <v>24</v>
      </c>
      <c r="G647">
        <f>1</f>
        <v>1</v>
      </c>
      <c r="H647" s="3">
        <v>3577.69</v>
      </c>
      <c r="I647" s="3">
        <v>3931.25</v>
      </c>
      <c r="J647" s="3">
        <f t="shared" si="71"/>
        <v>3105.6875</v>
      </c>
      <c r="K647" s="3">
        <f t="shared" si="72"/>
        <v>121121.8125</v>
      </c>
      <c r="L647" s="3">
        <f t="shared" si="75"/>
        <v>139529.91</v>
      </c>
      <c r="M647" s="8">
        <f t="shared" si="76"/>
        <v>-18408.097500000003</v>
      </c>
      <c r="N647" s="4">
        <f t="shared" si="73"/>
        <v>-0.15198003662635087</v>
      </c>
      <c r="O647" s="4" t="str">
        <f t="shared" si="74"/>
        <v>Loss</v>
      </c>
      <c r="P647" t="s">
        <v>15</v>
      </c>
      <c r="Q647">
        <v>0.21</v>
      </c>
      <c r="R647" t="s">
        <v>16</v>
      </c>
      <c r="S647" t="s">
        <v>20</v>
      </c>
      <c r="T647" t="s">
        <v>21</v>
      </c>
      <c r="U647" t="str">
        <f t="shared" si="70"/>
        <v>High-Cost</v>
      </c>
    </row>
    <row r="648" spans="1:21" x14ac:dyDescent="0.3">
      <c r="A648">
        <v>1063</v>
      </c>
      <c r="B648" s="1">
        <v>45279</v>
      </c>
      <c r="C648" s="2" t="s">
        <v>31</v>
      </c>
      <c r="D648" t="s">
        <v>19</v>
      </c>
      <c r="E648">
        <v>46</v>
      </c>
      <c r="F648" t="s">
        <v>14</v>
      </c>
      <c r="G648">
        <f>1</f>
        <v>1</v>
      </c>
      <c r="H648" s="3">
        <v>2302.62</v>
      </c>
      <c r="I648" s="3">
        <v>2740.93</v>
      </c>
      <c r="J648" s="3">
        <f t="shared" si="71"/>
        <v>2055.6974999999998</v>
      </c>
      <c r="K648" s="3">
        <f t="shared" si="72"/>
        <v>94562.084999999992</v>
      </c>
      <c r="L648" s="3">
        <f t="shared" si="75"/>
        <v>105920.51999999999</v>
      </c>
      <c r="M648" s="8">
        <f t="shared" si="76"/>
        <v>-11358.434999999998</v>
      </c>
      <c r="N648" s="4">
        <f t="shared" si="73"/>
        <v>-0.12011616495131214</v>
      </c>
      <c r="O648" s="4" t="str">
        <f t="shared" si="74"/>
        <v>Loss</v>
      </c>
      <c r="P648" t="s">
        <v>15</v>
      </c>
      <c r="Q648">
        <v>0.25</v>
      </c>
      <c r="R648" t="s">
        <v>25</v>
      </c>
      <c r="S648" t="s">
        <v>17</v>
      </c>
      <c r="T648" t="s">
        <v>35</v>
      </c>
      <c r="U648" t="str">
        <f t="shared" ref="U648:U711" si="77">IF(I648 &gt;=2800, "High-Cost", "Low-Cost")</f>
        <v>Low-Cost</v>
      </c>
    </row>
    <row r="649" spans="1:21" x14ac:dyDescent="0.3">
      <c r="A649">
        <v>1063</v>
      </c>
      <c r="B649" s="1">
        <v>45128</v>
      </c>
      <c r="C649" s="2" t="s">
        <v>12</v>
      </c>
      <c r="D649" t="s">
        <v>32</v>
      </c>
      <c r="E649">
        <v>32</v>
      </c>
      <c r="F649" t="s">
        <v>33</v>
      </c>
      <c r="G649">
        <f>1</f>
        <v>1</v>
      </c>
      <c r="H649" s="3">
        <v>975.31</v>
      </c>
      <c r="I649" s="3">
        <v>1176.17</v>
      </c>
      <c r="J649" s="3">
        <f t="shared" si="71"/>
        <v>917.41260000000011</v>
      </c>
      <c r="K649" s="3">
        <f t="shared" si="72"/>
        <v>29357.203200000004</v>
      </c>
      <c r="L649" s="3">
        <f t="shared" si="75"/>
        <v>31209.919999999998</v>
      </c>
      <c r="M649" s="8">
        <f t="shared" si="76"/>
        <v>-1852.7167999999947</v>
      </c>
      <c r="N649" s="4">
        <f t="shared" si="73"/>
        <v>-6.3109444976011689E-2</v>
      </c>
      <c r="O649" s="4" t="str">
        <f t="shared" si="74"/>
        <v>Loss</v>
      </c>
      <c r="P649" t="s">
        <v>28</v>
      </c>
      <c r="Q649">
        <v>0.22</v>
      </c>
      <c r="R649" t="s">
        <v>25</v>
      </c>
      <c r="S649" t="s">
        <v>20</v>
      </c>
      <c r="T649" t="s">
        <v>44</v>
      </c>
      <c r="U649" t="str">
        <f t="shared" si="77"/>
        <v>Low-Cost</v>
      </c>
    </row>
    <row r="650" spans="1:21" x14ac:dyDescent="0.3">
      <c r="A650">
        <v>1063</v>
      </c>
      <c r="B650" s="1">
        <v>45099</v>
      </c>
      <c r="C650" s="2" t="s">
        <v>12</v>
      </c>
      <c r="D650" t="s">
        <v>23</v>
      </c>
      <c r="E650">
        <v>25</v>
      </c>
      <c r="F650" t="s">
        <v>33</v>
      </c>
      <c r="G650">
        <f>1</f>
        <v>1</v>
      </c>
      <c r="H650" s="3">
        <v>3997.1</v>
      </c>
      <c r="I650" s="3">
        <v>4212.6499999999996</v>
      </c>
      <c r="J650" s="3">
        <f t="shared" si="71"/>
        <v>3285.8669999999997</v>
      </c>
      <c r="K650" s="3">
        <f t="shared" si="72"/>
        <v>82146.674999999988</v>
      </c>
      <c r="L650" s="3">
        <f t="shared" si="75"/>
        <v>99927.5</v>
      </c>
      <c r="M650" s="8">
        <f t="shared" si="76"/>
        <v>-17780.825000000012</v>
      </c>
      <c r="N650" s="4">
        <f t="shared" si="73"/>
        <v>-0.21645215707148238</v>
      </c>
      <c r="O650" s="4" t="str">
        <f t="shared" si="74"/>
        <v>Loss</v>
      </c>
      <c r="P650" t="s">
        <v>28</v>
      </c>
      <c r="Q650">
        <v>0.22</v>
      </c>
      <c r="R650" t="s">
        <v>16</v>
      </c>
      <c r="S650" t="s">
        <v>17</v>
      </c>
      <c r="T650" t="s">
        <v>30</v>
      </c>
      <c r="U650" t="str">
        <f t="shared" si="77"/>
        <v>High-Cost</v>
      </c>
    </row>
    <row r="651" spans="1:21" x14ac:dyDescent="0.3">
      <c r="A651">
        <v>1063</v>
      </c>
      <c r="B651" s="1">
        <v>45013</v>
      </c>
      <c r="C651" s="2" t="s">
        <v>31</v>
      </c>
      <c r="D651" t="s">
        <v>23</v>
      </c>
      <c r="E651">
        <v>42</v>
      </c>
      <c r="F651" t="s">
        <v>24</v>
      </c>
      <c r="G651">
        <f>1</f>
        <v>1</v>
      </c>
      <c r="H651" s="3">
        <v>1170.07</v>
      </c>
      <c r="I651" s="3">
        <v>1669.95</v>
      </c>
      <c r="J651" s="3">
        <f t="shared" si="71"/>
        <v>1469.556</v>
      </c>
      <c r="K651" s="3">
        <f t="shared" si="72"/>
        <v>61721.352000000006</v>
      </c>
      <c r="L651" s="3">
        <f t="shared" si="75"/>
        <v>49142.939999999995</v>
      </c>
      <c r="M651" s="8">
        <f t="shared" si="76"/>
        <v>12578.412000000011</v>
      </c>
      <c r="N651" s="4">
        <f t="shared" si="73"/>
        <v>0.20379352675229814</v>
      </c>
      <c r="O651" s="4" t="str">
        <f t="shared" si="74"/>
        <v>Profit</v>
      </c>
      <c r="P651" t="s">
        <v>15</v>
      </c>
      <c r="Q651">
        <v>0.12</v>
      </c>
      <c r="R651" t="s">
        <v>25</v>
      </c>
      <c r="S651" t="s">
        <v>20</v>
      </c>
      <c r="T651" t="s">
        <v>42</v>
      </c>
      <c r="U651" t="str">
        <f t="shared" si="77"/>
        <v>Low-Cost</v>
      </c>
    </row>
    <row r="652" spans="1:21" x14ac:dyDescent="0.3">
      <c r="A652">
        <v>1064</v>
      </c>
      <c r="B652" s="1">
        <v>44928</v>
      </c>
      <c r="C652" s="2" t="s">
        <v>22</v>
      </c>
      <c r="D652" t="s">
        <v>23</v>
      </c>
      <c r="E652">
        <v>10</v>
      </c>
      <c r="F652" t="s">
        <v>33</v>
      </c>
      <c r="G652">
        <f>1</f>
        <v>1</v>
      </c>
      <c r="H652" s="3">
        <v>2242.0100000000002</v>
      </c>
      <c r="I652" s="3">
        <v>2282.23</v>
      </c>
      <c r="J652" s="3">
        <f t="shared" si="71"/>
        <v>1825.7840000000001</v>
      </c>
      <c r="K652" s="3">
        <f t="shared" si="72"/>
        <v>18257.84</v>
      </c>
      <c r="L652" s="3">
        <f t="shared" si="75"/>
        <v>22420.100000000002</v>
      </c>
      <c r="M652" s="8">
        <f t="shared" si="76"/>
        <v>-4162.260000000002</v>
      </c>
      <c r="N652" s="4">
        <f t="shared" si="73"/>
        <v>-0.22797110720654809</v>
      </c>
      <c r="O652" s="4" t="str">
        <f t="shared" si="74"/>
        <v>Loss</v>
      </c>
      <c r="P652" t="s">
        <v>15</v>
      </c>
      <c r="Q652">
        <v>0.2</v>
      </c>
      <c r="R652" t="s">
        <v>29</v>
      </c>
      <c r="S652" t="s">
        <v>17</v>
      </c>
      <c r="T652" t="s">
        <v>26</v>
      </c>
      <c r="U652" t="str">
        <f t="shared" si="77"/>
        <v>Low-Cost</v>
      </c>
    </row>
    <row r="653" spans="1:21" x14ac:dyDescent="0.3">
      <c r="A653">
        <v>1064</v>
      </c>
      <c r="B653" s="1">
        <v>44930</v>
      </c>
      <c r="C653" s="2" t="s">
        <v>36</v>
      </c>
      <c r="D653" t="s">
        <v>32</v>
      </c>
      <c r="E653">
        <v>10</v>
      </c>
      <c r="F653" t="s">
        <v>33</v>
      </c>
      <c r="G653">
        <f>1</f>
        <v>1</v>
      </c>
      <c r="H653" s="3">
        <v>4764.96</v>
      </c>
      <c r="I653" s="3">
        <v>5074.42</v>
      </c>
      <c r="J653" s="3">
        <f t="shared" si="71"/>
        <v>4465.4895999999999</v>
      </c>
      <c r="K653" s="3">
        <f t="shared" si="72"/>
        <v>44654.896000000001</v>
      </c>
      <c r="L653" s="3">
        <f t="shared" si="75"/>
        <v>47649.599999999999</v>
      </c>
      <c r="M653" s="8">
        <f t="shared" si="76"/>
        <v>-2994.7039999999979</v>
      </c>
      <c r="N653" s="4">
        <f t="shared" si="73"/>
        <v>-6.7063284617211921E-2</v>
      </c>
      <c r="O653" s="4" t="str">
        <f t="shared" si="74"/>
        <v>Loss</v>
      </c>
      <c r="P653" t="s">
        <v>28</v>
      </c>
      <c r="Q653">
        <v>0.12</v>
      </c>
      <c r="R653" t="s">
        <v>16</v>
      </c>
      <c r="S653" t="s">
        <v>17</v>
      </c>
      <c r="T653" t="s">
        <v>46</v>
      </c>
      <c r="U653" t="str">
        <f t="shared" si="77"/>
        <v>High-Cost</v>
      </c>
    </row>
    <row r="654" spans="1:21" x14ac:dyDescent="0.3">
      <c r="A654">
        <v>1064</v>
      </c>
      <c r="B654" s="1">
        <v>45148</v>
      </c>
      <c r="C654" s="2" t="s">
        <v>12</v>
      </c>
      <c r="D654" t="s">
        <v>23</v>
      </c>
      <c r="E654">
        <v>5</v>
      </c>
      <c r="F654" t="s">
        <v>24</v>
      </c>
      <c r="G654">
        <f>1</f>
        <v>1</v>
      </c>
      <c r="H654" s="3">
        <v>421.05</v>
      </c>
      <c r="I654" s="3">
        <v>488.23</v>
      </c>
      <c r="J654" s="3">
        <f t="shared" si="71"/>
        <v>454.0539</v>
      </c>
      <c r="K654" s="3">
        <f t="shared" si="72"/>
        <v>2270.2694999999999</v>
      </c>
      <c r="L654" s="3">
        <f t="shared" si="75"/>
        <v>2105.25</v>
      </c>
      <c r="M654" s="8">
        <f t="shared" si="76"/>
        <v>165.01949999999988</v>
      </c>
      <c r="N654" s="4">
        <f t="shared" si="73"/>
        <v>7.2687185376009281E-2</v>
      </c>
      <c r="O654" s="4" t="str">
        <f t="shared" si="74"/>
        <v>Profit</v>
      </c>
      <c r="P654" t="s">
        <v>15</v>
      </c>
      <c r="Q654">
        <v>7.0000000000000007E-2</v>
      </c>
      <c r="R654" t="s">
        <v>29</v>
      </c>
      <c r="S654" t="s">
        <v>20</v>
      </c>
      <c r="T654" t="s">
        <v>30</v>
      </c>
      <c r="U654" t="str">
        <f t="shared" si="77"/>
        <v>Low-Cost</v>
      </c>
    </row>
    <row r="655" spans="1:21" x14ac:dyDescent="0.3">
      <c r="A655">
        <v>1064</v>
      </c>
      <c r="B655" s="1">
        <v>45060</v>
      </c>
      <c r="C655" s="2" t="s">
        <v>12</v>
      </c>
      <c r="D655" t="s">
        <v>23</v>
      </c>
      <c r="E655">
        <v>8</v>
      </c>
      <c r="F655" t="s">
        <v>33</v>
      </c>
      <c r="G655">
        <f>1</f>
        <v>1</v>
      </c>
      <c r="H655" s="3">
        <v>4271.99</v>
      </c>
      <c r="I655" s="3">
        <v>4417.79</v>
      </c>
      <c r="J655" s="3">
        <f t="shared" si="71"/>
        <v>4241.0783999999994</v>
      </c>
      <c r="K655" s="3">
        <f t="shared" si="72"/>
        <v>33928.627199999995</v>
      </c>
      <c r="L655" s="3">
        <f t="shared" si="75"/>
        <v>34175.919999999998</v>
      </c>
      <c r="M655" s="8">
        <f t="shared" si="76"/>
        <v>-247.2928000000029</v>
      </c>
      <c r="N655" s="4">
        <f t="shared" si="73"/>
        <v>-7.2886179137835244E-3</v>
      </c>
      <c r="O655" s="4" t="str">
        <f t="shared" si="74"/>
        <v>Loss</v>
      </c>
      <c r="P655" t="s">
        <v>15</v>
      </c>
      <c r="Q655">
        <v>0.04</v>
      </c>
      <c r="R655" t="s">
        <v>16</v>
      </c>
      <c r="S655" t="s">
        <v>17</v>
      </c>
      <c r="T655" t="s">
        <v>30</v>
      </c>
      <c r="U655" t="str">
        <f t="shared" si="77"/>
        <v>High-Cost</v>
      </c>
    </row>
    <row r="656" spans="1:21" x14ac:dyDescent="0.3">
      <c r="A656">
        <v>1064</v>
      </c>
      <c r="B656" s="1">
        <v>45279</v>
      </c>
      <c r="C656" s="2" t="s">
        <v>40</v>
      </c>
      <c r="D656" t="s">
        <v>19</v>
      </c>
      <c r="E656">
        <v>35</v>
      </c>
      <c r="F656" t="s">
        <v>27</v>
      </c>
      <c r="G656">
        <f>1</f>
        <v>1</v>
      </c>
      <c r="H656" s="3">
        <v>4900.03</v>
      </c>
      <c r="I656" s="3">
        <v>5118.83</v>
      </c>
      <c r="J656" s="3">
        <f t="shared" si="71"/>
        <v>4760.5118999999995</v>
      </c>
      <c r="K656" s="3">
        <f t="shared" si="72"/>
        <v>166617.91649999999</v>
      </c>
      <c r="L656" s="3">
        <f t="shared" si="75"/>
        <v>171501.05</v>
      </c>
      <c r="M656" s="8">
        <f t="shared" si="76"/>
        <v>-4883.1334999999963</v>
      </c>
      <c r="N656" s="4">
        <f t="shared" si="73"/>
        <v>-2.9307373436037395E-2</v>
      </c>
      <c r="O656" s="4" t="str">
        <f t="shared" si="74"/>
        <v>Loss</v>
      </c>
      <c r="P656" t="s">
        <v>15</v>
      </c>
      <c r="Q656">
        <v>7.0000000000000007E-2</v>
      </c>
      <c r="R656" t="s">
        <v>29</v>
      </c>
      <c r="S656" t="s">
        <v>20</v>
      </c>
      <c r="T656" t="s">
        <v>49</v>
      </c>
      <c r="U656" t="str">
        <f t="shared" si="77"/>
        <v>High-Cost</v>
      </c>
    </row>
    <row r="657" spans="1:21" x14ac:dyDescent="0.3">
      <c r="A657">
        <v>1064</v>
      </c>
      <c r="B657" s="1">
        <v>45098</v>
      </c>
      <c r="C657" s="2" t="s">
        <v>12</v>
      </c>
      <c r="D657" t="s">
        <v>19</v>
      </c>
      <c r="E657">
        <v>46</v>
      </c>
      <c r="F657" t="s">
        <v>33</v>
      </c>
      <c r="G657">
        <f>1</f>
        <v>1</v>
      </c>
      <c r="H657" s="3">
        <v>984.53</v>
      </c>
      <c r="I657" s="3">
        <v>1138.49</v>
      </c>
      <c r="J657" s="3">
        <f t="shared" si="71"/>
        <v>1092.9503999999999</v>
      </c>
      <c r="K657" s="3">
        <f t="shared" si="72"/>
        <v>50275.718399999998</v>
      </c>
      <c r="L657" s="3">
        <f t="shared" si="75"/>
        <v>45288.38</v>
      </c>
      <c r="M657" s="8">
        <f t="shared" si="76"/>
        <v>4987.3384000000005</v>
      </c>
      <c r="N657" s="4">
        <f t="shared" si="73"/>
        <v>9.9199744105496479E-2</v>
      </c>
      <c r="O657" s="4" t="str">
        <f t="shared" si="74"/>
        <v>Profit</v>
      </c>
      <c r="P657" t="s">
        <v>28</v>
      </c>
      <c r="Q657">
        <v>0.04</v>
      </c>
      <c r="R657" t="s">
        <v>25</v>
      </c>
      <c r="S657" t="s">
        <v>17</v>
      </c>
      <c r="T657" t="s">
        <v>21</v>
      </c>
      <c r="U657" t="str">
        <f t="shared" si="77"/>
        <v>Low-Cost</v>
      </c>
    </row>
    <row r="658" spans="1:21" x14ac:dyDescent="0.3">
      <c r="A658">
        <v>1064</v>
      </c>
      <c r="B658" s="1">
        <v>45103</v>
      </c>
      <c r="C658" s="2" t="s">
        <v>40</v>
      </c>
      <c r="D658" t="s">
        <v>13</v>
      </c>
      <c r="E658">
        <v>21</v>
      </c>
      <c r="F658" t="s">
        <v>27</v>
      </c>
      <c r="G658">
        <f>1</f>
        <v>1</v>
      </c>
      <c r="H658" s="3">
        <v>2278.04</v>
      </c>
      <c r="I658" s="3">
        <v>2598.58</v>
      </c>
      <c r="J658" s="3">
        <f t="shared" si="71"/>
        <v>2546.6084000000001</v>
      </c>
      <c r="K658" s="3">
        <f t="shared" si="72"/>
        <v>53478.776400000002</v>
      </c>
      <c r="L658" s="3">
        <f t="shared" si="75"/>
        <v>47838.84</v>
      </c>
      <c r="M658" s="8">
        <f t="shared" si="76"/>
        <v>5639.936400000006</v>
      </c>
      <c r="N658" s="4">
        <f t="shared" si="73"/>
        <v>0.10546120871980171</v>
      </c>
      <c r="O658" s="4" t="str">
        <f t="shared" si="74"/>
        <v>Profit</v>
      </c>
      <c r="P658" t="s">
        <v>15</v>
      </c>
      <c r="Q658">
        <v>0.02</v>
      </c>
      <c r="R658" t="s">
        <v>29</v>
      </c>
      <c r="S658" t="s">
        <v>20</v>
      </c>
      <c r="T658" t="s">
        <v>47</v>
      </c>
      <c r="U658" t="str">
        <f t="shared" si="77"/>
        <v>Low-Cost</v>
      </c>
    </row>
    <row r="659" spans="1:21" x14ac:dyDescent="0.3">
      <c r="A659">
        <v>1064</v>
      </c>
      <c r="B659" s="1">
        <v>45043</v>
      </c>
      <c r="C659" s="2" t="s">
        <v>12</v>
      </c>
      <c r="D659" t="s">
        <v>13</v>
      </c>
      <c r="E659">
        <v>13</v>
      </c>
      <c r="F659" t="s">
        <v>27</v>
      </c>
      <c r="G659">
        <f>1</f>
        <v>1</v>
      </c>
      <c r="H659" s="3">
        <v>1645.51</v>
      </c>
      <c r="I659" s="3">
        <v>2045.53</v>
      </c>
      <c r="J659" s="3">
        <f t="shared" si="71"/>
        <v>1472.7816</v>
      </c>
      <c r="K659" s="3">
        <f t="shared" si="72"/>
        <v>19146.160799999998</v>
      </c>
      <c r="L659" s="3">
        <f t="shared" si="75"/>
        <v>21391.63</v>
      </c>
      <c r="M659" s="8">
        <f t="shared" si="76"/>
        <v>-2245.4692000000032</v>
      </c>
      <c r="N659" s="4">
        <f t="shared" si="73"/>
        <v>-0.11728038970611818</v>
      </c>
      <c r="O659" s="4" t="str">
        <f t="shared" si="74"/>
        <v>Loss</v>
      </c>
      <c r="P659" t="s">
        <v>15</v>
      </c>
      <c r="Q659">
        <v>0.28000000000000003</v>
      </c>
      <c r="R659" t="s">
        <v>16</v>
      </c>
      <c r="S659" t="s">
        <v>20</v>
      </c>
      <c r="T659" t="s">
        <v>18</v>
      </c>
      <c r="U659" t="str">
        <f t="shared" si="77"/>
        <v>Low-Cost</v>
      </c>
    </row>
    <row r="660" spans="1:21" x14ac:dyDescent="0.3">
      <c r="A660">
        <v>1064</v>
      </c>
      <c r="B660" s="1">
        <v>45077</v>
      </c>
      <c r="C660" s="2" t="s">
        <v>22</v>
      </c>
      <c r="D660" t="s">
        <v>23</v>
      </c>
      <c r="E660">
        <v>8</v>
      </c>
      <c r="F660" t="s">
        <v>27</v>
      </c>
      <c r="G660">
        <f>1</f>
        <v>1</v>
      </c>
      <c r="H660" s="3">
        <v>816.54</v>
      </c>
      <c r="I660" s="3">
        <v>1191.9000000000001</v>
      </c>
      <c r="J660" s="3">
        <f t="shared" si="71"/>
        <v>1156.143</v>
      </c>
      <c r="K660" s="3">
        <f t="shared" si="72"/>
        <v>9249.1440000000002</v>
      </c>
      <c r="L660" s="3">
        <f t="shared" si="75"/>
        <v>6532.32</v>
      </c>
      <c r="M660" s="8">
        <f t="shared" si="76"/>
        <v>2716.8240000000005</v>
      </c>
      <c r="N660" s="4">
        <f t="shared" si="73"/>
        <v>0.29373788536539169</v>
      </c>
      <c r="O660" s="4" t="str">
        <f t="shared" si="74"/>
        <v>Profit</v>
      </c>
      <c r="P660" t="s">
        <v>28</v>
      </c>
      <c r="Q660">
        <v>0.03</v>
      </c>
      <c r="R660" t="s">
        <v>16</v>
      </c>
      <c r="S660" t="s">
        <v>20</v>
      </c>
      <c r="T660" t="s">
        <v>26</v>
      </c>
      <c r="U660" t="str">
        <f t="shared" si="77"/>
        <v>Low-Cost</v>
      </c>
    </row>
    <row r="661" spans="1:21" x14ac:dyDescent="0.3">
      <c r="A661">
        <v>1065</v>
      </c>
      <c r="B661" s="1">
        <v>45235</v>
      </c>
      <c r="C661" s="2" t="s">
        <v>40</v>
      </c>
      <c r="D661" t="s">
        <v>32</v>
      </c>
      <c r="E661">
        <v>3</v>
      </c>
      <c r="F661" t="s">
        <v>14</v>
      </c>
      <c r="G661">
        <f>1</f>
        <v>1</v>
      </c>
      <c r="H661" s="3">
        <v>4173.04</v>
      </c>
      <c r="I661" s="3">
        <v>4362.4399999999996</v>
      </c>
      <c r="J661" s="3">
        <f t="shared" si="71"/>
        <v>3359.0787999999998</v>
      </c>
      <c r="K661" s="3">
        <f t="shared" si="72"/>
        <v>10077.2364</v>
      </c>
      <c r="L661" s="3">
        <f t="shared" si="75"/>
        <v>12519.119999999999</v>
      </c>
      <c r="M661" s="8">
        <f t="shared" si="76"/>
        <v>-2441.8835999999992</v>
      </c>
      <c r="N661" s="4">
        <f t="shared" si="73"/>
        <v>-0.24231679233008757</v>
      </c>
      <c r="O661" s="4" t="str">
        <f t="shared" si="74"/>
        <v>Loss</v>
      </c>
      <c r="P661" t="s">
        <v>28</v>
      </c>
      <c r="Q661">
        <v>0.23</v>
      </c>
      <c r="R661" t="s">
        <v>25</v>
      </c>
      <c r="S661" t="s">
        <v>20</v>
      </c>
      <c r="T661" t="s">
        <v>50</v>
      </c>
      <c r="U661" t="str">
        <f t="shared" si="77"/>
        <v>High-Cost</v>
      </c>
    </row>
    <row r="662" spans="1:21" x14ac:dyDescent="0.3">
      <c r="A662">
        <v>1065</v>
      </c>
      <c r="B662" s="1">
        <v>44933</v>
      </c>
      <c r="C662" s="2" t="s">
        <v>36</v>
      </c>
      <c r="D662" t="s">
        <v>13</v>
      </c>
      <c r="E662">
        <v>6</v>
      </c>
      <c r="F662" t="s">
        <v>27</v>
      </c>
      <c r="G662">
        <f>1</f>
        <v>1</v>
      </c>
      <c r="H662" s="3">
        <v>2019.9</v>
      </c>
      <c r="I662" s="3">
        <v>2116.7399999999998</v>
      </c>
      <c r="J662" s="3">
        <f t="shared" si="71"/>
        <v>1883.8985999999998</v>
      </c>
      <c r="K662" s="3">
        <f t="shared" si="72"/>
        <v>11303.391599999999</v>
      </c>
      <c r="L662" s="3">
        <f t="shared" si="75"/>
        <v>12119.400000000001</v>
      </c>
      <c r="M662" s="8">
        <f t="shared" si="76"/>
        <v>-816.00840000000244</v>
      </c>
      <c r="N662" s="4">
        <f t="shared" si="73"/>
        <v>-7.2191465082038081E-2</v>
      </c>
      <c r="O662" s="4" t="str">
        <f t="shared" si="74"/>
        <v>Loss</v>
      </c>
      <c r="P662" t="s">
        <v>28</v>
      </c>
      <c r="Q662">
        <v>0.11</v>
      </c>
      <c r="R662" t="s">
        <v>29</v>
      </c>
      <c r="S662" t="s">
        <v>17</v>
      </c>
      <c r="T662" t="s">
        <v>38</v>
      </c>
      <c r="U662" t="str">
        <f t="shared" si="77"/>
        <v>Low-Cost</v>
      </c>
    </row>
    <row r="663" spans="1:21" x14ac:dyDescent="0.3">
      <c r="A663">
        <v>1065</v>
      </c>
      <c r="B663" s="1">
        <v>45152</v>
      </c>
      <c r="C663" s="2" t="s">
        <v>12</v>
      </c>
      <c r="D663" t="s">
        <v>19</v>
      </c>
      <c r="E663">
        <v>26</v>
      </c>
      <c r="F663" t="s">
        <v>27</v>
      </c>
      <c r="G663">
        <f>1</f>
        <v>1</v>
      </c>
      <c r="H663" s="3">
        <v>4337.8500000000004</v>
      </c>
      <c r="I663" s="3">
        <v>4612.49</v>
      </c>
      <c r="J663" s="3">
        <f t="shared" si="71"/>
        <v>4566.3651</v>
      </c>
      <c r="K663" s="3">
        <f t="shared" si="72"/>
        <v>118725.49259999998</v>
      </c>
      <c r="L663" s="3">
        <f t="shared" si="75"/>
        <v>112784.1</v>
      </c>
      <c r="M663" s="8">
        <f t="shared" si="76"/>
        <v>5941.3925999999774</v>
      </c>
      <c r="N663" s="4">
        <f t="shared" si="73"/>
        <v>5.0043107591199655E-2</v>
      </c>
      <c r="O663" s="4" t="str">
        <f t="shared" si="74"/>
        <v>Profit</v>
      </c>
      <c r="P663" t="s">
        <v>15</v>
      </c>
      <c r="Q663">
        <v>0.01</v>
      </c>
      <c r="R663" t="s">
        <v>16</v>
      </c>
      <c r="S663" t="s">
        <v>20</v>
      </c>
      <c r="T663" t="s">
        <v>21</v>
      </c>
      <c r="U663" t="str">
        <f t="shared" si="77"/>
        <v>High-Cost</v>
      </c>
    </row>
    <row r="664" spans="1:21" x14ac:dyDescent="0.3">
      <c r="A664">
        <v>1065</v>
      </c>
      <c r="B664" s="1">
        <v>45254</v>
      </c>
      <c r="C664" s="2" t="s">
        <v>12</v>
      </c>
      <c r="D664" t="s">
        <v>32</v>
      </c>
      <c r="E664">
        <v>18</v>
      </c>
      <c r="F664" t="s">
        <v>24</v>
      </c>
      <c r="G664">
        <f>1</f>
        <v>1</v>
      </c>
      <c r="H664" s="3">
        <v>1239.0899999999999</v>
      </c>
      <c r="I664" s="3">
        <v>1273.98</v>
      </c>
      <c r="J664" s="3">
        <f t="shared" si="71"/>
        <v>1248.5003999999999</v>
      </c>
      <c r="K664" s="3">
        <f t="shared" si="72"/>
        <v>22473.0072</v>
      </c>
      <c r="L664" s="3">
        <f t="shared" si="75"/>
        <v>22303.62</v>
      </c>
      <c r="M664" s="8">
        <f t="shared" si="76"/>
        <v>169.38720000000103</v>
      </c>
      <c r="N664" s="4">
        <f t="shared" si="73"/>
        <v>7.5373624229516127E-3</v>
      </c>
      <c r="O664" s="4" t="str">
        <f t="shared" si="74"/>
        <v>Profit</v>
      </c>
      <c r="P664" t="s">
        <v>28</v>
      </c>
      <c r="Q664">
        <v>0.02</v>
      </c>
      <c r="R664" t="s">
        <v>25</v>
      </c>
      <c r="S664" t="s">
        <v>20</v>
      </c>
      <c r="T664" t="s">
        <v>44</v>
      </c>
      <c r="U664" t="str">
        <f t="shared" si="77"/>
        <v>Low-Cost</v>
      </c>
    </row>
    <row r="665" spans="1:21" x14ac:dyDescent="0.3">
      <c r="A665">
        <v>1065</v>
      </c>
      <c r="B665" s="1">
        <v>44953</v>
      </c>
      <c r="C665" s="2" t="s">
        <v>12</v>
      </c>
      <c r="D665" t="s">
        <v>23</v>
      </c>
      <c r="E665">
        <v>12</v>
      </c>
      <c r="F665" t="s">
        <v>33</v>
      </c>
      <c r="G665">
        <f>1</f>
        <v>1</v>
      </c>
      <c r="H665" s="3">
        <v>2035.68</v>
      </c>
      <c r="I665" s="3">
        <v>2079.64</v>
      </c>
      <c r="J665" s="3">
        <f t="shared" si="71"/>
        <v>1996.4543999999999</v>
      </c>
      <c r="K665" s="3">
        <f t="shared" si="72"/>
        <v>23957.452799999999</v>
      </c>
      <c r="L665" s="3">
        <f t="shared" si="75"/>
        <v>24428.16</v>
      </c>
      <c r="M665" s="8">
        <f t="shared" si="76"/>
        <v>-470.70720000000074</v>
      </c>
      <c r="N665" s="4">
        <f t="shared" si="73"/>
        <v>-1.9647631320805554E-2</v>
      </c>
      <c r="O665" s="4" t="str">
        <f t="shared" si="74"/>
        <v>Loss</v>
      </c>
      <c r="P665" t="s">
        <v>15</v>
      </c>
      <c r="Q665">
        <v>0.04</v>
      </c>
      <c r="R665" t="s">
        <v>16</v>
      </c>
      <c r="S665" t="s">
        <v>17</v>
      </c>
      <c r="T665" t="s">
        <v>30</v>
      </c>
      <c r="U665" t="str">
        <f t="shared" si="77"/>
        <v>Low-Cost</v>
      </c>
    </row>
    <row r="666" spans="1:21" x14ac:dyDescent="0.3">
      <c r="A666">
        <v>1065</v>
      </c>
      <c r="B666" s="1">
        <v>45288</v>
      </c>
      <c r="C666" s="2" t="s">
        <v>22</v>
      </c>
      <c r="D666" t="s">
        <v>19</v>
      </c>
      <c r="E666">
        <v>18</v>
      </c>
      <c r="F666" t="s">
        <v>24</v>
      </c>
      <c r="G666">
        <f>1</f>
        <v>1</v>
      </c>
      <c r="H666" s="3">
        <v>4334.58</v>
      </c>
      <c r="I666" s="3">
        <v>4431.04</v>
      </c>
      <c r="J666" s="3">
        <f t="shared" si="71"/>
        <v>4342.4192000000003</v>
      </c>
      <c r="K666" s="3">
        <f t="shared" si="72"/>
        <v>78163.545599999998</v>
      </c>
      <c r="L666" s="3">
        <f t="shared" si="75"/>
        <v>78022.44</v>
      </c>
      <c r="M666" s="8">
        <f t="shared" si="76"/>
        <v>141.10559999999532</v>
      </c>
      <c r="N666" s="4">
        <f t="shared" si="73"/>
        <v>1.8052609936875142E-3</v>
      </c>
      <c r="O666" s="4" t="str">
        <f t="shared" si="74"/>
        <v>Profit</v>
      </c>
      <c r="P666" t="s">
        <v>28</v>
      </c>
      <c r="Q666">
        <v>0.02</v>
      </c>
      <c r="R666" t="s">
        <v>25</v>
      </c>
      <c r="S666" t="s">
        <v>20</v>
      </c>
      <c r="T666" t="s">
        <v>45</v>
      </c>
      <c r="U666" t="str">
        <f t="shared" si="77"/>
        <v>High-Cost</v>
      </c>
    </row>
    <row r="667" spans="1:21" x14ac:dyDescent="0.3">
      <c r="A667">
        <v>1065</v>
      </c>
      <c r="B667" s="1">
        <v>45107</v>
      </c>
      <c r="C667" s="2" t="s">
        <v>36</v>
      </c>
      <c r="D667" t="s">
        <v>23</v>
      </c>
      <c r="E667">
        <v>13</v>
      </c>
      <c r="F667" t="s">
        <v>14</v>
      </c>
      <c r="G667">
        <f>1</f>
        <v>1</v>
      </c>
      <c r="H667" s="3">
        <v>1339</v>
      </c>
      <c r="I667" s="3">
        <v>1441.88</v>
      </c>
      <c r="J667" s="3">
        <f t="shared" si="71"/>
        <v>1110.2476000000001</v>
      </c>
      <c r="K667" s="3">
        <f t="shared" si="72"/>
        <v>14433.218800000002</v>
      </c>
      <c r="L667" s="3">
        <f t="shared" si="75"/>
        <v>17407</v>
      </c>
      <c r="M667" s="8">
        <f t="shared" si="76"/>
        <v>-2973.7811999999976</v>
      </c>
      <c r="N667" s="4">
        <f t="shared" si="73"/>
        <v>-0.20603728393558318</v>
      </c>
      <c r="O667" s="4" t="str">
        <f t="shared" si="74"/>
        <v>Loss</v>
      </c>
      <c r="P667" t="s">
        <v>15</v>
      </c>
      <c r="Q667">
        <v>0.23</v>
      </c>
      <c r="R667" t="s">
        <v>29</v>
      </c>
      <c r="S667" t="s">
        <v>20</v>
      </c>
      <c r="T667" t="s">
        <v>37</v>
      </c>
      <c r="U667" t="str">
        <f t="shared" si="77"/>
        <v>Low-Cost</v>
      </c>
    </row>
    <row r="668" spans="1:21" x14ac:dyDescent="0.3">
      <c r="A668">
        <v>1065</v>
      </c>
      <c r="B668" s="1">
        <v>45290</v>
      </c>
      <c r="C668" s="2" t="s">
        <v>22</v>
      </c>
      <c r="D668" t="s">
        <v>23</v>
      </c>
      <c r="E668">
        <v>9</v>
      </c>
      <c r="F668" t="s">
        <v>27</v>
      </c>
      <c r="G668">
        <f>1</f>
        <v>1</v>
      </c>
      <c r="H668" s="3">
        <v>335.82</v>
      </c>
      <c r="I668" s="3">
        <v>498.31</v>
      </c>
      <c r="J668" s="3">
        <f t="shared" si="71"/>
        <v>368.74939999999998</v>
      </c>
      <c r="K668" s="3">
        <f t="shared" si="72"/>
        <v>3318.7446</v>
      </c>
      <c r="L668" s="3">
        <f t="shared" si="75"/>
        <v>3022.38</v>
      </c>
      <c r="M668" s="8">
        <f t="shared" si="76"/>
        <v>296.36459999999988</v>
      </c>
      <c r="N668" s="4">
        <f t="shared" si="73"/>
        <v>8.9300213098651784E-2</v>
      </c>
      <c r="O668" s="4" t="str">
        <f t="shared" si="74"/>
        <v>Profit</v>
      </c>
      <c r="P668" t="s">
        <v>28</v>
      </c>
      <c r="Q668">
        <v>0.26</v>
      </c>
      <c r="R668" t="s">
        <v>16</v>
      </c>
      <c r="S668" t="s">
        <v>20</v>
      </c>
      <c r="T668" t="s">
        <v>26</v>
      </c>
      <c r="U668" t="str">
        <f t="shared" si="77"/>
        <v>Low-Cost</v>
      </c>
    </row>
    <row r="669" spans="1:21" x14ac:dyDescent="0.3">
      <c r="A669">
        <v>1066</v>
      </c>
      <c r="B669" s="1">
        <v>45110</v>
      </c>
      <c r="C669" s="2" t="s">
        <v>31</v>
      </c>
      <c r="D669" t="s">
        <v>13</v>
      </c>
      <c r="E669">
        <v>15</v>
      </c>
      <c r="F669" t="s">
        <v>14</v>
      </c>
      <c r="G669">
        <f>1</f>
        <v>1</v>
      </c>
      <c r="H669" s="3">
        <v>2579.31</v>
      </c>
      <c r="I669" s="3">
        <v>2867.36</v>
      </c>
      <c r="J669" s="3">
        <f t="shared" si="71"/>
        <v>2752.6655999999998</v>
      </c>
      <c r="K669" s="3">
        <f t="shared" si="72"/>
        <v>41289.983999999997</v>
      </c>
      <c r="L669" s="3">
        <f t="shared" si="75"/>
        <v>38689.65</v>
      </c>
      <c r="M669" s="8">
        <f t="shared" si="76"/>
        <v>2600.3339999999953</v>
      </c>
      <c r="N669" s="4">
        <f t="shared" si="73"/>
        <v>6.2977355476814795E-2</v>
      </c>
      <c r="O669" s="4" t="str">
        <f t="shared" si="74"/>
        <v>Profit</v>
      </c>
      <c r="P669" t="s">
        <v>15</v>
      </c>
      <c r="Q669">
        <v>0.04</v>
      </c>
      <c r="R669" t="s">
        <v>25</v>
      </c>
      <c r="S669" t="s">
        <v>20</v>
      </c>
      <c r="T669" t="s">
        <v>51</v>
      </c>
      <c r="U669" t="str">
        <f t="shared" si="77"/>
        <v>High-Cost</v>
      </c>
    </row>
    <row r="670" spans="1:21" x14ac:dyDescent="0.3">
      <c r="A670">
        <v>1066</v>
      </c>
      <c r="B670" s="1">
        <v>45204</v>
      </c>
      <c r="C670" s="2" t="s">
        <v>40</v>
      </c>
      <c r="D670" t="s">
        <v>23</v>
      </c>
      <c r="E670">
        <v>4</v>
      </c>
      <c r="F670" t="s">
        <v>14</v>
      </c>
      <c r="G670">
        <f>1</f>
        <v>1</v>
      </c>
      <c r="H670" s="3">
        <v>4596.68</v>
      </c>
      <c r="I670" s="3">
        <v>5044.74</v>
      </c>
      <c r="J670" s="3">
        <f t="shared" si="71"/>
        <v>4994.2925999999998</v>
      </c>
      <c r="K670" s="3">
        <f t="shared" si="72"/>
        <v>19977.170399999999</v>
      </c>
      <c r="L670" s="3">
        <f t="shared" si="75"/>
        <v>18386.72</v>
      </c>
      <c r="M670" s="8">
        <f t="shared" si="76"/>
        <v>1590.4503999999979</v>
      </c>
      <c r="N670" s="4">
        <f t="shared" si="73"/>
        <v>7.9613397100522204E-2</v>
      </c>
      <c r="O670" s="4" t="str">
        <f t="shared" si="74"/>
        <v>Profit</v>
      </c>
      <c r="P670" t="s">
        <v>28</v>
      </c>
      <c r="Q670">
        <v>0.01</v>
      </c>
      <c r="R670" t="s">
        <v>25</v>
      </c>
      <c r="S670" t="s">
        <v>17</v>
      </c>
      <c r="T670" t="s">
        <v>41</v>
      </c>
      <c r="U670" t="str">
        <f t="shared" si="77"/>
        <v>High-Cost</v>
      </c>
    </row>
    <row r="671" spans="1:21" x14ac:dyDescent="0.3">
      <c r="A671">
        <v>1066</v>
      </c>
      <c r="B671" s="1">
        <v>44935</v>
      </c>
      <c r="C671" s="2" t="s">
        <v>40</v>
      </c>
      <c r="D671" t="s">
        <v>13</v>
      </c>
      <c r="E671">
        <v>48</v>
      </c>
      <c r="F671" t="s">
        <v>27</v>
      </c>
      <c r="G671">
        <f>1</f>
        <v>1</v>
      </c>
      <c r="H671" s="3">
        <v>2588.54</v>
      </c>
      <c r="I671" s="3">
        <v>2872.8</v>
      </c>
      <c r="J671" s="3">
        <f t="shared" si="71"/>
        <v>2384.424</v>
      </c>
      <c r="K671" s="3">
        <f t="shared" si="72"/>
        <v>114452.35200000001</v>
      </c>
      <c r="L671" s="3">
        <f t="shared" si="75"/>
        <v>124249.92</v>
      </c>
      <c r="M671" s="8">
        <f t="shared" si="76"/>
        <v>-9797.5679999999847</v>
      </c>
      <c r="N671" s="4">
        <f t="shared" si="73"/>
        <v>-8.5603902661607015E-2</v>
      </c>
      <c r="O671" s="4" t="str">
        <f t="shared" si="74"/>
        <v>Loss</v>
      </c>
      <c r="P671" t="s">
        <v>28</v>
      </c>
      <c r="Q671">
        <v>0.17</v>
      </c>
      <c r="R671" t="s">
        <v>16</v>
      </c>
      <c r="S671" t="s">
        <v>17</v>
      </c>
      <c r="T671" t="s">
        <v>47</v>
      </c>
      <c r="U671" t="str">
        <f t="shared" si="77"/>
        <v>High-Cost</v>
      </c>
    </row>
    <row r="672" spans="1:21" x14ac:dyDescent="0.3">
      <c r="A672">
        <v>1066</v>
      </c>
      <c r="B672" s="1">
        <v>45152</v>
      </c>
      <c r="C672" s="2" t="s">
        <v>40</v>
      </c>
      <c r="D672" t="s">
        <v>23</v>
      </c>
      <c r="E672">
        <v>20</v>
      </c>
      <c r="F672" t="s">
        <v>33</v>
      </c>
      <c r="G672">
        <f>1</f>
        <v>1</v>
      </c>
      <c r="H672" s="3">
        <v>955.18</v>
      </c>
      <c r="I672" s="3">
        <v>1072.82</v>
      </c>
      <c r="J672" s="3">
        <f t="shared" si="71"/>
        <v>1040.6353999999999</v>
      </c>
      <c r="K672" s="3">
        <f t="shared" si="72"/>
        <v>20812.707999999999</v>
      </c>
      <c r="L672" s="3">
        <f t="shared" si="75"/>
        <v>19103.599999999999</v>
      </c>
      <c r="M672" s="8">
        <f t="shared" si="76"/>
        <v>1709.1080000000002</v>
      </c>
      <c r="N672" s="4">
        <f t="shared" si="73"/>
        <v>8.2118482611681295E-2</v>
      </c>
      <c r="O672" s="4" t="str">
        <f t="shared" si="74"/>
        <v>Profit</v>
      </c>
      <c r="P672" t="s">
        <v>28</v>
      </c>
      <c r="Q672">
        <v>0.03</v>
      </c>
      <c r="R672" t="s">
        <v>25</v>
      </c>
      <c r="S672" t="s">
        <v>20</v>
      </c>
      <c r="T672" t="s">
        <v>41</v>
      </c>
      <c r="U672" t="str">
        <f t="shared" si="77"/>
        <v>Low-Cost</v>
      </c>
    </row>
    <row r="673" spans="1:21" x14ac:dyDescent="0.3">
      <c r="A673">
        <v>1066</v>
      </c>
      <c r="B673" s="1">
        <v>45128</v>
      </c>
      <c r="C673" s="2" t="s">
        <v>31</v>
      </c>
      <c r="D673" t="s">
        <v>32</v>
      </c>
      <c r="E673">
        <v>4</v>
      </c>
      <c r="F673" t="s">
        <v>14</v>
      </c>
      <c r="G673">
        <f>1</f>
        <v>1</v>
      </c>
      <c r="H673" s="3">
        <v>868.83</v>
      </c>
      <c r="I673" s="3">
        <v>1177.75</v>
      </c>
      <c r="J673" s="3">
        <f t="shared" si="71"/>
        <v>930.42250000000001</v>
      </c>
      <c r="K673" s="3">
        <f t="shared" si="72"/>
        <v>3721.69</v>
      </c>
      <c r="L673" s="3">
        <f t="shared" si="75"/>
        <v>3475.32</v>
      </c>
      <c r="M673" s="8">
        <f t="shared" si="76"/>
        <v>246.36999999999989</v>
      </c>
      <c r="N673" s="4">
        <f t="shared" si="73"/>
        <v>6.6198420609991662E-2</v>
      </c>
      <c r="O673" s="4" t="str">
        <f t="shared" si="74"/>
        <v>Profit</v>
      </c>
      <c r="P673" t="s">
        <v>15</v>
      </c>
      <c r="Q673">
        <v>0.21</v>
      </c>
      <c r="R673" t="s">
        <v>29</v>
      </c>
      <c r="S673" t="s">
        <v>20</v>
      </c>
      <c r="T673" t="s">
        <v>34</v>
      </c>
      <c r="U673" t="str">
        <f t="shared" si="77"/>
        <v>Low-Cost</v>
      </c>
    </row>
    <row r="674" spans="1:21" x14ac:dyDescent="0.3">
      <c r="A674">
        <v>1066</v>
      </c>
      <c r="B674" s="1">
        <v>45101</v>
      </c>
      <c r="C674" s="2" t="s">
        <v>12</v>
      </c>
      <c r="D674" t="s">
        <v>19</v>
      </c>
      <c r="E674">
        <v>13</v>
      </c>
      <c r="F674" t="s">
        <v>14</v>
      </c>
      <c r="G674">
        <f>1</f>
        <v>1</v>
      </c>
      <c r="H674" s="3">
        <v>4133.92</v>
      </c>
      <c r="I674" s="3">
        <v>4358.37</v>
      </c>
      <c r="J674" s="3">
        <f t="shared" si="71"/>
        <v>3791.7819</v>
      </c>
      <c r="K674" s="3">
        <f t="shared" si="72"/>
        <v>49293.164700000001</v>
      </c>
      <c r="L674" s="3">
        <f t="shared" si="75"/>
        <v>53740.959999999999</v>
      </c>
      <c r="M674" s="8">
        <f t="shared" si="76"/>
        <v>-4447.795299999998</v>
      </c>
      <c r="N674" s="4">
        <f t="shared" si="73"/>
        <v>-9.0231481932017202E-2</v>
      </c>
      <c r="O674" s="4" t="str">
        <f t="shared" si="74"/>
        <v>Loss</v>
      </c>
      <c r="P674" t="s">
        <v>28</v>
      </c>
      <c r="Q674">
        <v>0.13</v>
      </c>
      <c r="R674" t="s">
        <v>16</v>
      </c>
      <c r="S674" t="s">
        <v>20</v>
      </c>
      <c r="T674" t="s">
        <v>21</v>
      </c>
      <c r="U674" t="str">
        <f t="shared" si="77"/>
        <v>High-Cost</v>
      </c>
    </row>
    <row r="675" spans="1:21" x14ac:dyDescent="0.3">
      <c r="A675">
        <v>1066</v>
      </c>
      <c r="B675" s="1">
        <v>45194</v>
      </c>
      <c r="C675" s="2" t="s">
        <v>36</v>
      </c>
      <c r="D675" t="s">
        <v>32</v>
      </c>
      <c r="E675">
        <v>47</v>
      </c>
      <c r="F675" t="s">
        <v>24</v>
      </c>
      <c r="G675">
        <f>1</f>
        <v>1</v>
      </c>
      <c r="H675" s="3">
        <v>1319.24</v>
      </c>
      <c r="I675" s="3">
        <v>1805.56</v>
      </c>
      <c r="J675" s="3">
        <f t="shared" si="71"/>
        <v>1336.1143999999999</v>
      </c>
      <c r="K675" s="3">
        <f t="shared" si="72"/>
        <v>62797.376799999991</v>
      </c>
      <c r="L675" s="3">
        <f t="shared" si="75"/>
        <v>62004.28</v>
      </c>
      <c r="M675" s="8">
        <f t="shared" si="76"/>
        <v>793.09679999999207</v>
      </c>
      <c r="N675" s="4">
        <f t="shared" si="73"/>
        <v>1.2629457477593111E-2</v>
      </c>
      <c r="O675" s="4" t="str">
        <f t="shared" si="74"/>
        <v>Profit</v>
      </c>
      <c r="P675" t="s">
        <v>28</v>
      </c>
      <c r="Q675">
        <v>0.26</v>
      </c>
      <c r="R675" t="s">
        <v>29</v>
      </c>
      <c r="S675" t="s">
        <v>20</v>
      </c>
      <c r="T675" t="s">
        <v>46</v>
      </c>
      <c r="U675" t="str">
        <f t="shared" si="77"/>
        <v>Low-Cost</v>
      </c>
    </row>
    <row r="676" spans="1:21" x14ac:dyDescent="0.3">
      <c r="A676">
        <v>1066</v>
      </c>
      <c r="B676" s="1">
        <v>45013</v>
      </c>
      <c r="C676" s="2" t="s">
        <v>31</v>
      </c>
      <c r="D676" t="s">
        <v>13</v>
      </c>
      <c r="E676">
        <v>7</v>
      </c>
      <c r="F676" t="s">
        <v>27</v>
      </c>
      <c r="G676">
        <f>1</f>
        <v>1</v>
      </c>
      <c r="H676" s="3">
        <v>523.41999999999996</v>
      </c>
      <c r="I676" s="3">
        <v>632.44000000000005</v>
      </c>
      <c r="J676" s="3">
        <f t="shared" si="71"/>
        <v>505.95200000000006</v>
      </c>
      <c r="K676" s="3">
        <f t="shared" si="72"/>
        <v>3541.6640000000002</v>
      </c>
      <c r="L676" s="3">
        <f t="shared" si="75"/>
        <v>3663.9399999999996</v>
      </c>
      <c r="M676" s="8">
        <f t="shared" si="76"/>
        <v>-122.27599999999939</v>
      </c>
      <c r="N676" s="4">
        <f t="shared" si="73"/>
        <v>-3.4525014230598776E-2</v>
      </c>
      <c r="O676" s="4" t="str">
        <f t="shared" si="74"/>
        <v>Loss</v>
      </c>
      <c r="P676" t="s">
        <v>28</v>
      </c>
      <c r="Q676">
        <v>0.2</v>
      </c>
      <c r="R676" t="s">
        <v>25</v>
      </c>
      <c r="S676" t="s">
        <v>17</v>
      </c>
      <c r="T676" t="s">
        <v>51</v>
      </c>
      <c r="U676" t="str">
        <f t="shared" si="77"/>
        <v>Low-Cost</v>
      </c>
    </row>
    <row r="677" spans="1:21" x14ac:dyDescent="0.3">
      <c r="A677">
        <v>1067</v>
      </c>
      <c r="B677" s="1">
        <v>45109</v>
      </c>
      <c r="C677" s="2" t="s">
        <v>40</v>
      </c>
      <c r="D677" t="s">
        <v>13</v>
      </c>
      <c r="E677">
        <v>36</v>
      </c>
      <c r="F677" t="s">
        <v>33</v>
      </c>
      <c r="G677">
        <f>1</f>
        <v>1</v>
      </c>
      <c r="H677" s="3">
        <v>689.66</v>
      </c>
      <c r="I677" s="3">
        <v>1150.28</v>
      </c>
      <c r="J677" s="3">
        <f t="shared" si="71"/>
        <v>920.22400000000005</v>
      </c>
      <c r="K677" s="3">
        <f t="shared" si="72"/>
        <v>33128.064000000006</v>
      </c>
      <c r="L677" s="3">
        <f t="shared" si="75"/>
        <v>24827.759999999998</v>
      </c>
      <c r="M677" s="8">
        <f t="shared" si="76"/>
        <v>8300.3040000000074</v>
      </c>
      <c r="N677" s="4">
        <f t="shared" si="73"/>
        <v>0.25055203950342542</v>
      </c>
      <c r="O677" s="4" t="str">
        <f t="shared" si="74"/>
        <v>Profit</v>
      </c>
      <c r="P677" t="s">
        <v>28</v>
      </c>
      <c r="Q677">
        <v>0.2</v>
      </c>
      <c r="R677" t="s">
        <v>25</v>
      </c>
      <c r="S677" t="s">
        <v>17</v>
      </c>
      <c r="T677" t="s">
        <v>47</v>
      </c>
      <c r="U677" t="str">
        <f t="shared" si="77"/>
        <v>Low-Cost</v>
      </c>
    </row>
    <row r="678" spans="1:21" x14ac:dyDescent="0.3">
      <c r="A678">
        <v>1067</v>
      </c>
      <c r="B678" s="1">
        <v>45112</v>
      </c>
      <c r="C678" s="2" t="s">
        <v>40</v>
      </c>
      <c r="D678" t="s">
        <v>19</v>
      </c>
      <c r="E678">
        <v>27</v>
      </c>
      <c r="F678" t="s">
        <v>14</v>
      </c>
      <c r="G678">
        <f>1</f>
        <v>1</v>
      </c>
      <c r="H678" s="3">
        <v>3624.97</v>
      </c>
      <c r="I678" s="3">
        <v>3836.52</v>
      </c>
      <c r="J678" s="3">
        <f t="shared" si="71"/>
        <v>3529.5984000000003</v>
      </c>
      <c r="K678" s="3">
        <f t="shared" si="72"/>
        <v>95299.156799999997</v>
      </c>
      <c r="L678" s="3">
        <f t="shared" si="75"/>
        <v>97874.189999999988</v>
      </c>
      <c r="M678" s="8">
        <f t="shared" si="76"/>
        <v>-2575.0331999999908</v>
      </c>
      <c r="N678" s="4">
        <f t="shared" si="73"/>
        <v>-2.7020524487998313E-2</v>
      </c>
      <c r="O678" s="4" t="str">
        <f t="shared" si="74"/>
        <v>Loss</v>
      </c>
      <c r="P678" t="s">
        <v>28</v>
      </c>
      <c r="Q678">
        <v>0.08</v>
      </c>
      <c r="R678" t="s">
        <v>16</v>
      </c>
      <c r="S678" t="s">
        <v>17</v>
      </c>
      <c r="T678" t="s">
        <v>49</v>
      </c>
      <c r="U678" t="str">
        <f t="shared" si="77"/>
        <v>High-Cost</v>
      </c>
    </row>
    <row r="679" spans="1:21" x14ac:dyDescent="0.3">
      <c r="A679">
        <v>1067</v>
      </c>
      <c r="B679" s="1">
        <v>45176</v>
      </c>
      <c r="C679" s="2" t="s">
        <v>12</v>
      </c>
      <c r="D679" t="s">
        <v>13</v>
      </c>
      <c r="E679">
        <v>37</v>
      </c>
      <c r="F679" t="s">
        <v>27</v>
      </c>
      <c r="G679">
        <f>1</f>
        <v>1</v>
      </c>
      <c r="H679" s="3">
        <v>1754.32</v>
      </c>
      <c r="I679" s="3">
        <v>1856.4</v>
      </c>
      <c r="J679" s="3">
        <f t="shared" si="71"/>
        <v>1466.556</v>
      </c>
      <c r="K679" s="3">
        <f t="shared" si="72"/>
        <v>54262.572000000007</v>
      </c>
      <c r="L679" s="3">
        <f t="shared" si="75"/>
        <v>64909.84</v>
      </c>
      <c r="M679" s="8">
        <f t="shared" si="76"/>
        <v>-10647.267999999989</v>
      </c>
      <c r="N679" s="4">
        <f t="shared" si="73"/>
        <v>-0.19621753277747297</v>
      </c>
      <c r="O679" s="4" t="str">
        <f t="shared" si="74"/>
        <v>Loss</v>
      </c>
      <c r="P679" t="s">
        <v>28</v>
      </c>
      <c r="Q679">
        <v>0.21</v>
      </c>
      <c r="R679" t="s">
        <v>25</v>
      </c>
      <c r="S679" t="s">
        <v>20</v>
      </c>
      <c r="T679" t="s">
        <v>18</v>
      </c>
      <c r="U679" t="str">
        <f t="shared" si="77"/>
        <v>Low-Cost</v>
      </c>
    </row>
    <row r="680" spans="1:21" x14ac:dyDescent="0.3">
      <c r="A680">
        <v>1067</v>
      </c>
      <c r="B680" s="1">
        <v>44993</v>
      </c>
      <c r="C680" s="2" t="s">
        <v>12</v>
      </c>
      <c r="D680" t="s">
        <v>32</v>
      </c>
      <c r="E680">
        <v>28</v>
      </c>
      <c r="F680" t="s">
        <v>33</v>
      </c>
      <c r="G680">
        <f>1</f>
        <v>1</v>
      </c>
      <c r="H680" s="3">
        <v>3489.85</v>
      </c>
      <c r="I680" s="3">
        <v>3842.55</v>
      </c>
      <c r="J680" s="3">
        <f t="shared" si="71"/>
        <v>3727.2735000000002</v>
      </c>
      <c r="K680" s="3">
        <f t="shared" si="72"/>
        <v>104363.65800000001</v>
      </c>
      <c r="L680" s="3">
        <f t="shared" si="75"/>
        <v>97715.8</v>
      </c>
      <c r="M680" s="8">
        <f t="shared" si="76"/>
        <v>6647.8580000000075</v>
      </c>
      <c r="N680" s="4">
        <f t="shared" si="73"/>
        <v>6.3698974598993138E-2</v>
      </c>
      <c r="O680" s="4" t="str">
        <f t="shared" si="74"/>
        <v>Profit</v>
      </c>
      <c r="P680" t="s">
        <v>28</v>
      </c>
      <c r="Q680">
        <v>0.03</v>
      </c>
      <c r="R680" t="s">
        <v>25</v>
      </c>
      <c r="S680" t="s">
        <v>17</v>
      </c>
      <c r="T680" t="s">
        <v>44</v>
      </c>
      <c r="U680" t="str">
        <f t="shared" si="77"/>
        <v>High-Cost</v>
      </c>
    </row>
    <row r="681" spans="1:21" x14ac:dyDescent="0.3">
      <c r="A681">
        <v>1067</v>
      </c>
      <c r="B681" s="1">
        <v>45054</v>
      </c>
      <c r="C681" s="2" t="s">
        <v>31</v>
      </c>
      <c r="D681" t="s">
        <v>13</v>
      </c>
      <c r="E681">
        <v>32</v>
      </c>
      <c r="F681" t="s">
        <v>24</v>
      </c>
      <c r="G681">
        <f>1</f>
        <v>1</v>
      </c>
      <c r="H681" s="3">
        <v>2171.79</v>
      </c>
      <c r="I681" s="3">
        <v>2307.64</v>
      </c>
      <c r="J681" s="3">
        <f t="shared" si="71"/>
        <v>1799.9592</v>
      </c>
      <c r="K681" s="3">
        <f t="shared" si="72"/>
        <v>57598.6944</v>
      </c>
      <c r="L681" s="3">
        <f t="shared" si="75"/>
        <v>69497.279999999999</v>
      </c>
      <c r="M681" s="8">
        <f t="shared" si="76"/>
        <v>-11898.585599999999</v>
      </c>
      <c r="N681" s="4">
        <f t="shared" si="73"/>
        <v>-0.20657734908657926</v>
      </c>
      <c r="O681" s="4" t="str">
        <f t="shared" si="74"/>
        <v>Loss</v>
      </c>
      <c r="P681" t="s">
        <v>15</v>
      </c>
      <c r="Q681">
        <v>0.22</v>
      </c>
      <c r="R681" t="s">
        <v>25</v>
      </c>
      <c r="S681" t="s">
        <v>17</v>
      </c>
      <c r="T681" t="s">
        <v>51</v>
      </c>
      <c r="U681" t="str">
        <f t="shared" si="77"/>
        <v>Low-Cost</v>
      </c>
    </row>
    <row r="682" spans="1:21" x14ac:dyDescent="0.3">
      <c r="A682">
        <v>1067</v>
      </c>
      <c r="B682" s="1">
        <v>44935</v>
      </c>
      <c r="C682" s="2" t="s">
        <v>31</v>
      </c>
      <c r="D682" t="s">
        <v>13</v>
      </c>
      <c r="E682">
        <v>48</v>
      </c>
      <c r="F682" t="s">
        <v>33</v>
      </c>
      <c r="G682">
        <f>1</f>
        <v>1</v>
      </c>
      <c r="H682" s="3">
        <v>210.63</v>
      </c>
      <c r="I682" s="3">
        <v>533.58000000000004</v>
      </c>
      <c r="J682" s="3">
        <f t="shared" si="71"/>
        <v>512.23680000000002</v>
      </c>
      <c r="K682" s="3">
        <f t="shared" si="72"/>
        <v>24587.366400000003</v>
      </c>
      <c r="L682" s="3">
        <f t="shared" si="75"/>
        <v>10110.24</v>
      </c>
      <c r="M682" s="8">
        <f t="shared" si="76"/>
        <v>14477.126400000003</v>
      </c>
      <c r="N682" s="4">
        <f t="shared" si="73"/>
        <v>0.58880345964991199</v>
      </c>
      <c r="O682" s="4" t="str">
        <f t="shared" si="74"/>
        <v>Profit</v>
      </c>
      <c r="P682" t="s">
        <v>28</v>
      </c>
      <c r="Q682">
        <v>0.04</v>
      </c>
      <c r="R682" t="s">
        <v>25</v>
      </c>
      <c r="S682" t="s">
        <v>17</v>
      </c>
      <c r="T682" t="s">
        <v>51</v>
      </c>
      <c r="U682" t="str">
        <f t="shared" si="77"/>
        <v>Low-Cost</v>
      </c>
    </row>
    <row r="683" spans="1:21" x14ac:dyDescent="0.3">
      <c r="A683">
        <v>1067</v>
      </c>
      <c r="B683" s="1">
        <v>45027</v>
      </c>
      <c r="C683" s="2" t="s">
        <v>12</v>
      </c>
      <c r="D683" t="s">
        <v>32</v>
      </c>
      <c r="E683">
        <v>17</v>
      </c>
      <c r="F683" t="s">
        <v>24</v>
      </c>
      <c r="G683">
        <f>1</f>
        <v>1</v>
      </c>
      <c r="H683" s="3">
        <v>2831.58</v>
      </c>
      <c r="I683" s="3">
        <v>3186.15</v>
      </c>
      <c r="J683" s="3">
        <f t="shared" si="71"/>
        <v>2421.4740000000002</v>
      </c>
      <c r="K683" s="3">
        <f t="shared" si="72"/>
        <v>41165.058000000005</v>
      </c>
      <c r="L683" s="3">
        <f t="shared" si="75"/>
        <v>48136.86</v>
      </c>
      <c r="M683" s="8">
        <f t="shared" si="76"/>
        <v>-6971.801999999996</v>
      </c>
      <c r="N683" s="4">
        <f t="shared" si="73"/>
        <v>-0.16936213232105723</v>
      </c>
      <c r="O683" s="4" t="str">
        <f t="shared" si="74"/>
        <v>Loss</v>
      </c>
      <c r="P683" t="s">
        <v>28</v>
      </c>
      <c r="Q683">
        <v>0.24</v>
      </c>
      <c r="R683" t="s">
        <v>25</v>
      </c>
      <c r="S683" t="s">
        <v>20</v>
      </c>
      <c r="T683" t="s">
        <v>44</v>
      </c>
      <c r="U683" t="str">
        <f t="shared" si="77"/>
        <v>High-Cost</v>
      </c>
    </row>
    <row r="684" spans="1:21" x14ac:dyDescent="0.3">
      <c r="A684">
        <v>1067</v>
      </c>
      <c r="B684" s="1">
        <v>45069</v>
      </c>
      <c r="C684" s="2" t="s">
        <v>12</v>
      </c>
      <c r="D684" t="s">
        <v>13</v>
      </c>
      <c r="E684">
        <v>49</v>
      </c>
      <c r="F684" t="s">
        <v>14</v>
      </c>
      <c r="G684">
        <f>1</f>
        <v>1</v>
      </c>
      <c r="H684" s="3">
        <v>2628.38</v>
      </c>
      <c r="I684" s="3">
        <v>2644.54</v>
      </c>
      <c r="J684" s="3">
        <f t="shared" si="71"/>
        <v>2353.6406000000002</v>
      </c>
      <c r="K684" s="3">
        <f t="shared" si="72"/>
        <v>115328.3894</v>
      </c>
      <c r="L684" s="3">
        <f t="shared" si="75"/>
        <v>128790.62000000001</v>
      </c>
      <c r="M684" s="8">
        <f t="shared" si="76"/>
        <v>-13462.23060000001</v>
      </c>
      <c r="N684" s="4">
        <f t="shared" si="73"/>
        <v>-0.11672954655863779</v>
      </c>
      <c r="O684" s="4" t="str">
        <f t="shared" si="74"/>
        <v>Loss</v>
      </c>
      <c r="P684" t="s">
        <v>15</v>
      </c>
      <c r="Q684">
        <v>0.11</v>
      </c>
      <c r="R684" t="s">
        <v>16</v>
      </c>
      <c r="S684" t="s">
        <v>17</v>
      </c>
      <c r="T684" t="s">
        <v>18</v>
      </c>
      <c r="U684" t="str">
        <f t="shared" si="77"/>
        <v>Low-Cost</v>
      </c>
    </row>
    <row r="685" spans="1:21" x14ac:dyDescent="0.3">
      <c r="A685">
        <v>1067</v>
      </c>
      <c r="B685" s="1">
        <v>45100</v>
      </c>
      <c r="C685" s="2" t="s">
        <v>12</v>
      </c>
      <c r="D685" t="s">
        <v>13</v>
      </c>
      <c r="E685">
        <v>11</v>
      </c>
      <c r="F685" t="s">
        <v>14</v>
      </c>
      <c r="G685">
        <f>1</f>
        <v>1</v>
      </c>
      <c r="H685" s="3">
        <v>3435.68</v>
      </c>
      <c r="I685" s="3">
        <v>3552.63</v>
      </c>
      <c r="J685" s="3">
        <f t="shared" si="71"/>
        <v>2593.4198999999999</v>
      </c>
      <c r="K685" s="3">
        <f t="shared" si="72"/>
        <v>28527.618900000001</v>
      </c>
      <c r="L685" s="3">
        <f t="shared" si="75"/>
        <v>37792.479999999996</v>
      </c>
      <c r="M685" s="8">
        <f t="shared" si="76"/>
        <v>-9264.8610999999946</v>
      </c>
      <c r="N685" s="4">
        <f t="shared" si="73"/>
        <v>-0.32476811795883864</v>
      </c>
      <c r="O685" s="4" t="str">
        <f t="shared" si="74"/>
        <v>Loss</v>
      </c>
      <c r="P685" t="s">
        <v>28</v>
      </c>
      <c r="Q685">
        <v>0.27</v>
      </c>
      <c r="R685" t="s">
        <v>16</v>
      </c>
      <c r="S685" t="s">
        <v>20</v>
      </c>
      <c r="T685" t="s">
        <v>18</v>
      </c>
      <c r="U685" t="str">
        <f t="shared" si="77"/>
        <v>High-Cost</v>
      </c>
    </row>
    <row r="686" spans="1:21" x14ac:dyDescent="0.3">
      <c r="A686">
        <v>1067</v>
      </c>
      <c r="B686" s="1">
        <v>45106</v>
      </c>
      <c r="C686" s="2" t="s">
        <v>36</v>
      </c>
      <c r="D686" t="s">
        <v>23</v>
      </c>
      <c r="E686">
        <v>48</v>
      </c>
      <c r="F686" t="s">
        <v>24</v>
      </c>
      <c r="G686">
        <f>1</f>
        <v>1</v>
      </c>
      <c r="H686" s="3">
        <v>4319.32</v>
      </c>
      <c r="I686" s="3">
        <v>4625.5600000000004</v>
      </c>
      <c r="J686" s="3">
        <f t="shared" si="71"/>
        <v>4163.0040000000008</v>
      </c>
      <c r="K686" s="3">
        <f t="shared" si="72"/>
        <v>199824.19200000001</v>
      </c>
      <c r="L686" s="3">
        <f t="shared" si="75"/>
        <v>207327.35999999999</v>
      </c>
      <c r="M686" s="8">
        <f t="shared" si="76"/>
        <v>-7503.167999999976</v>
      </c>
      <c r="N686" s="4">
        <f t="shared" si="73"/>
        <v>-3.7548846938412622E-2</v>
      </c>
      <c r="O686" s="4" t="str">
        <f t="shared" si="74"/>
        <v>Loss</v>
      </c>
      <c r="P686" t="s">
        <v>15</v>
      </c>
      <c r="Q686">
        <v>0.1</v>
      </c>
      <c r="R686" t="s">
        <v>25</v>
      </c>
      <c r="S686" t="s">
        <v>17</v>
      </c>
      <c r="T686" t="s">
        <v>37</v>
      </c>
      <c r="U686" t="str">
        <f t="shared" si="77"/>
        <v>High-Cost</v>
      </c>
    </row>
    <row r="687" spans="1:21" x14ac:dyDescent="0.3">
      <c r="A687">
        <v>1068</v>
      </c>
      <c r="B687" s="1">
        <v>45173</v>
      </c>
      <c r="C687" s="2" t="s">
        <v>36</v>
      </c>
      <c r="D687" t="s">
        <v>32</v>
      </c>
      <c r="E687">
        <v>14</v>
      </c>
      <c r="F687" t="s">
        <v>24</v>
      </c>
      <c r="G687">
        <f>1</f>
        <v>1</v>
      </c>
      <c r="H687" s="3">
        <v>1140.58</v>
      </c>
      <c r="I687" s="3">
        <v>1438.76</v>
      </c>
      <c r="J687" s="3">
        <f t="shared" si="71"/>
        <v>1395.5971999999999</v>
      </c>
      <c r="K687" s="3">
        <f t="shared" si="72"/>
        <v>19538.360799999999</v>
      </c>
      <c r="L687" s="3">
        <f t="shared" si="75"/>
        <v>15968.119999999999</v>
      </c>
      <c r="M687" s="8">
        <f t="shared" si="76"/>
        <v>3570.2407999999996</v>
      </c>
      <c r="N687" s="4">
        <f t="shared" si="73"/>
        <v>0.18272980198011288</v>
      </c>
      <c r="O687" s="4" t="str">
        <f t="shared" si="74"/>
        <v>Profit</v>
      </c>
      <c r="P687" t="s">
        <v>15</v>
      </c>
      <c r="Q687">
        <v>0.03</v>
      </c>
      <c r="R687" t="s">
        <v>25</v>
      </c>
      <c r="S687" t="s">
        <v>17</v>
      </c>
      <c r="T687" t="s">
        <v>46</v>
      </c>
      <c r="U687" t="str">
        <f t="shared" si="77"/>
        <v>Low-Cost</v>
      </c>
    </row>
    <row r="688" spans="1:21" x14ac:dyDescent="0.3">
      <c r="A688">
        <v>1068</v>
      </c>
      <c r="B688" s="1">
        <v>45022</v>
      </c>
      <c r="C688" s="2" t="s">
        <v>40</v>
      </c>
      <c r="D688" t="s">
        <v>23</v>
      </c>
      <c r="E688">
        <v>31</v>
      </c>
      <c r="F688" t="s">
        <v>27</v>
      </c>
      <c r="G688">
        <f>1</f>
        <v>1</v>
      </c>
      <c r="H688" s="3">
        <v>3169.37</v>
      </c>
      <c r="I688" s="3">
        <v>3304.15</v>
      </c>
      <c r="J688" s="3">
        <f t="shared" si="71"/>
        <v>2478.1125000000002</v>
      </c>
      <c r="K688" s="3">
        <f t="shared" si="72"/>
        <v>76821.487500000003</v>
      </c>
      <c r="L688" s="3">
        <f t="shared" si="75"/>
        <v>98250.47</v>
      </c>
      <c r="M688" s="8">
        <f t="shared" si="76"/>
        <v>-21428.982499999998</v>
      </c>
      <c r="N688" s="4">
        <f t="shared" si="73"/>
        <v>-0.27894516491886462</v>
      </c>
      <c r="O688" s="4" t="str">
        <f t="shared" si="74"/>
        <v>Loss</v>
      </c>
      <c r="P688" t="s">
        <v>15</v>
      </c>
      <c r="Q688">
        <v>0.25</v>
      </c>
      <c r="R688" t="s">
        <v>29</v>
      </c>
      <c r="S688" t="s">
        <v>20</v>
      </c>
      <c r="T688" t="s">
        <v>41</v>
      </c>
      <c r="U688" t="str">
        <f t="shared" si="77"/>
        <v>High-Cost</v>
      </c>
    </row>
    <row r="689" spans="1:21" x14ac:dyDescent="0.3">
      <c r="A689">
        <v>1068</v>
      </c>
      <c r="B689" s="1">
        <v>45244</v>
      </c>
      <c r="C689" s="2" t="s">
        <v>31</v>
      </c>
      <c r="D689" t="s">
        <v>19</v>
      </c>
      <c r="E689">
        <v>42</v>
      </c>
      <c r="F689" t="s">
        <v>27</v>
      </c>
      <c r="G689">
        <f>1</f>
        <v>1</v>
      </c>
      <c r="H689" s="3">
        <v>1218.18</v>
      </c>
      <c r="I689" s="3">
        <v>1566.36</v>
      </c>
      <c r="J689" s="3">
        <f t="shared" si="71"/>
        <v>1519.3691999999999</v>
      </c>
      <c r="K689" s="3">
        <f t="shared" si="72"/>
        <v>63813.506399999991</v>
      </c>
      <c r="L689" s="3">
        <f t="shared" si="75"/>
        <v>51163.560000000005</v>
      </c>
      <c r="M689" s="8">
        <f t="shared" si="76"/>
        <v>12649.946399999986</v>
      </c>
      <c r="N689" s="4">
        <f t="shared" si="73"/>
        <v>0.19823305619200371</v>
      </c>
      <c r="O689" s="4" t="str">
        <f t="shared" si="74"/>
        <v>Profit</v>
      </c>
      <c r="P689" t="s">
        <v>15</v>
      </c>
      <c r="Q689">
        <v>0.03</v>
      </c>
      <c r="R689" t="s">
        <v>29</v>
      </c>
      <c r="S689" t="s">
        <v>20</v>
      </c>
      <c r="T689" t="s">
        <v>35</v>
      </c>
      <c r="U689" t="str">
        <f t="shared" si="77"/>
        <v>Low-Cost</v>
      </c>
    </row>
    <row r="690" spans="1:21" x14ac:dyDescent="0.3">
      <c r="A690">
        <v>1068</v>
      </c>
      <c r="B690" s="1">
        <v>45153</v>
      </c>
      <c r="C690" s="2" t="s">
        <v>40</v>
      </c>
      <c r="D690" t="s">
        <v>23</v>
      </c>
      <c r="E690">
        <v>21</v>
      </c>
      <c r="F690" t="s">
        <v>24</v>
      </c>
      <c r="G690">
        <f>1</f>
        <v>1</v>
      </c>
      <c r="H690" s="3">
        <v>1142.53</v>
      </c>
      <c r="I690" s="3">
        <v>1384.3</v>
      </c>
      <c r="J690" s="3">
        <f t="shared" si="71"/>
        <v>1356.614</v>
      </c>
      <c r="K690" s="3">
        <f t="shared" si="72"/>
        <v>28488.894</v>
      </c>
      <c r="L690" s="3">
        <f t="shared" si="75"/>
        <v>23993.13</v>
      </c>
      <c r="M690" s="8">
        <f t="shared" si="76"/>
        <v>4495.7639999999992</v>
      </c>
      <c r="N690" s="4">
        <f t="shared" si="73"/>
        <v>0.15780760039333219</v>
      </c>
      <c r="O690" s="4" t="str">
        <f t="shared" si="74"/>
        <v>Profit</v>
      </c>
      <c r="P690" t="s">
        <v>15</v>
      </c>
      <c r="Q690">
        <v>0.02</v>
      </c>
      <c r="R690" t="s">
        <v>29</v>
      </c>
      <c r="S690" t="s">
        <v>20</v>
      </c>
      <c r="T690" t="s">
        <v>41</v>
      </c>
      <c r="U690" t="str">
        <f t="shared" si="77"/>
        <v>Low-Cost</v>
      </c>
    </row>
    <row r="691" spans="1:21" x14ac:dyDescent="0.3">
      <c r="A691">
        <v>1068</v>
      </c>
      <c r="B691" s="1">
        <v>44981</v>
      </c>
      <c r="C691" s="2" t="s">
        <v>12</v>
      </c>
      <c r="D691" t="s">
        <v>13</v>
      </c>
      <c r="E691">
        <v>22</v>
      </c>
      <c r="F691" t="s">
        <v>27</v>
      </c>
      <c r="G691">
        <f>1</f>
        <v>1</v>
      </c>
      <c r="H691" s="3">
        <v>3619.61</v>
      </c>
      <c r="I691" s="3">
        <v>3651.42</v>
      </c>
      <c r="J691" s="3">
        <f t="shared" si="71"/>
        <v>2702.0508</v>
      </c>
      <c r="K691" s="3">
        <f t="shared" si="72"/>
        <v>59445.117600000005</v>
      </c>
      <c r="L691" s="3">
        <f t="shared" si="75"/>
        <v>79631.42</v>
      </c>
      <c r="M691" s="8">
        <f t="shared" si="76"/>
        <v>-20186.302399999993</v>
      </c>
      <c r="N691" s="4">
        <f t="shared" si="73"/>
        <v>-0.33957881176771348</v>
      </c>
      <c r="O691" s="4" t="str">
        <f t="shared" si="74"/>
        <v>Loss</v>
      </c>
      <c r="P691" t="s">
        <v>15</v>
      </c>
      <c r="Q691">
        <v>0.26</v>
      </c>
      <c r="R691" t="s">
        <v>25</v>
      </c>
      <c r="S691" t="s">
        <v>17</v>
      </c>
      <c r="T691" t="s">
        <v>18</v>
      </c>
      <c r="U691" t="str">
        <f t="shared" si="77"/>
        <v>High-Cost</v>
      </c>
    </row>
    <row r="692" spans="1:21" x14ac:dyDescent="0.3">
      <c r="A692">
        <v>1069</v>
      </c>
      <c r="B692" s="1">
        <v>44958</v>
      </c>
      <c r="C692" s="2" t="s">
        <v>36</v>
      </c>
      <c r="D692" t="s">
        <v>13</v>
      </c>
      <c r="E692">
        <v>18</v>
      </c>
      <c r="F692" t="s">
        <v>14</v>
      </c>
      <c r="G692">
        <f>1</f>
        <v>1</v>
      </c>
      <c r="H692" s="3">
        <v>2760.21</v>
      </c>
      <c r="I692" s="3">
        <v>3219.58</v>
      </c>
      <c r="J692" s="3">
        <f t="shared" si="71"/>
        <v>2350.2934</v>
      </c>
      <c r="K692" s="3">
        <f t="shared" si="72"/>
        <v>42305.281199999998</v>
      </c>
      <c r="L692" s="3">
        <f t="shared" si="75"/>
        <v>49683.78</v>
      </c>
      <c r="M692" s="8">
        <f t="shared" si="76"/>
        <v>-7378.4988000000012</v>
      </c>
      <c r="N692" s="4">
        <f t="shared" si="73"/>
        <v>-0.17441082036821448</v>
      </c>
      <c r="O692" s="4" t="str">
        <f t="shared" si="74"/>
        <v>Loss</v>
      </c>
      <c r="P692" t="s">
        <v>28</v>
      </c>
      <c r="Q692">
        <v>0.27</v>
      </c>
      <c r="R692" t="s">
        <v>25</v>
      </c>
      <c r="S692" t="s">
        <v>20</v>
      </c>
      <c r="T692" t="s">
        <v>38</v>
      </c>
      <c r="U692" t="str">
        <f t="shared" si="77"/>
        <v>High-Cost</v>
      </c>
    </row>
    <row r="693" spans="1:21" x14ac:dyDescent="0.3">
      <c r="A693">
        <v>1069</v>
      </c>
      <c r="B693" s="1">
        <v>45232</v>
      </c>
      <c r="C693" s="2" t="s">
        <v>31</v>
      </c>
      <c r="D693" t="s">
        <v>13</v>
      </c>
      <c r="E693">
        <v>23</v>
      </c>
      <c r="F693" t="s">
        <v>14</v>
      </c>
      <c r="G693">
        <f>1</f>
        <v>1</v>
      </c>
      <c r="H693" s="3">
        <v>530.24</v>
      </c>
      <c r="I693" s="3">
        <v>987.41</v>
      </c>
      <c r="J693" s="3">
        <f t="shared" si="71"/>
        <v>760.3057</v>
      </c>
      <c r="K693" s="3">
        <f t="shared" si="72"/>
        <v>17487.0311</v>
      </c>
      <c r="L693" s="3">
        <f t="shared" si="75"/>
        <v>12195.52</v>
      </c>
      <c r="M693" s="8">
        <f t="shared" si="76"/>
        <v>5291.5110999999997</v>
      </c>
      <c r="N693" s="4">
        <f t="shared" si="73"/>
        <v>0.30259631093124778</v>
      </c>
      <c r="O693" s="4" t="str">
        <f t="shared" si="74"/>
        <v>Profit</v>
      </c>
      <c r="P693" t="s">
        <v>15</v>
      </c>
      <c r="Q693">
        <v>0.23</v>
      </c>
      <c r="R693" t="s">
        <v>29</v>
      </c>
      <c r="S693" t="s">
        <v>17</v>
      </c>
      <c r="T693" t="s">
        <v>51</v>
      </c>
      <c r="U693" t="str">
        <f t="shared" si="77"/>
        <v>Low-Cost</v>
      </c>
    </row>
    <row r="694" spans="1:21" x14ac:dyDescent="0.3">
      <c r="A694">
        <v>1069</v>
      </c>
      <c r="B694" s="1">
        <v>45080</v>
      </c>
      <c r="C694" s="2" t="s">
        <v>22</v>
      </c>
      <c r="D694" t="s">
        <v>19</v>
      </c>
      <c r="E694">
        <v>42</v>
      </c>
      <c r="F694" t="s">
        <v>27</v>
      </c>
      <c r="G694">
        <f>1</f>
        <v>1</v>
      </c>
      <c r="H694" s="3">
        <v>1434.2</v>
      </c>
      <c r="I694" s="3">
        <v>1482.88</v>
      </c>
      <c r="J694" s="3">
        <f t="shared" si="71"/>
        <v>1067.6736000000001</v>
      </c>
      <c r="K694" s="3">
        <f t="shared" si="72"/>
        <v>44842.2912</v>
      </c>
      <c r="L694" s="3">
        <f t="shared" si="75"/>
        <v>60236.4</v>
      </c>
      <c r="M694" s="8">
        <f t="shared" si="76"/>
        <v>-15394.108800000002</v>
      </c>
      <c r="N694" s="4">
        <f t="shared" si="73"/>
        <v>-0.34329443005802529</v>
      </c>
      <c r="O694" s="4" t="str">
        <f t="shared" si="74"/>
        <v>Loss</v>
      </c>
      <c r="P694" t="s">
        <v>28</v>
      </c>
      <c r="Q694">
        <v>0.28000000000000003</v>
      </c>
      <c r="R694" t="s">
        <v>29</v>
      </c>
      <c r="S694" t="s">
        <v>20</v>
      </c>
      <c r="T694" t="s">
        <v>45</v>
      </c>
      <c r="U694" t="str">
        <f t="shared" si="77"/>
        <v>Low-Cost</v>
      </c>
    </row>
    <row r="695" spans="1:21" x14ac:dyDescent="0.3">
      <c r="A695">
        <v>1069</v>
      </c>
      <c r="B695" s="1">
        <v>45263</v>
      </c>
      <c r="C695" s="2" t="s">
        <v>22</v>
      </c>
      <c r="D695" t="s">
        <v>13</v>
      </c>
      <c r="E695">
        <v>35</v>
      </c>
      <c r="F695" t="s">
        <v>33</v>
      </c>
      <c r="G695">
        <f>1</f>
        <v>1</v>
      </c>
      <c r="H695" s="3">
        <v>2885.16</v>
      </c>
      <c r="I695" s="3">
        <v>3224.84</v>
      </c>
      <c r="J695" s="3">
        <f t="shared" si="71"/>
        <v>2773.3624</v>
      </c>
      <c r="K695" s="3">
        <f t="shared" si="72"/>
        <v>97067.684000000008</v>
      </c>
      <c r="L695" s="3">
        <f t="shared" si="75"/>
        <v>100980.59999999999</v>
      </c>
      <c r="M695" s="8">
        <f t="shared" si="76"/>
        <v>-3912.9159999999829</v>
      </c>
      <c r="N695" s="4">
        <f t="shared" si="73"/>
        <v>-4.0311212122872767E-2</v>
      </c>
      <c r="O695" s="4" t="str">
        <f t="shared" si="74"/>
        <v>Loss</v>
      </c>
      <c r="P695" t="s">
        <v>28</v>
      </c>
      <c r="Q695">
        <v>0.14000000000000001</v>
      </c>
      <c r="R695" t="s">
        <v>16</v>
      </c>
      <c r="S695" t="s">
        <v>17</v>
      </c>
      <c r="T695" t="s">
        <v>43</v>
      </c>
      <c r="U695" t="str">
        <f t="shared" si="77"/>
        <v>High-Cost</v>
      </c>
    </row>
    <row r="696" spans="1:21" x14ac:dyDescent="0.3">
      <c r="A696">
        <v>1069</v>
      </c>
      <c r="B696" s="1">
        <v>45144</v>
      </c>
      <c r="C696" s="2" t="s">
        <v>12</v>
      </c>
      <c r="D696" t="s">
        <v>13</v>
      </c>
      <c r="E696">
        <v>4</v>
      </c>
      <c r="F696" t="s">
        <v>33</v>
      </c>
      <c r="G696">
        <f>1</f>
        <v>1</v>
      </c>
      <c r="H696" s="3">
        <v>2485.86</v>
      </c>
      <c r="I696" s="3">
        <v>2532.87</v>
      </c>
      <c r="J696" s="3">
        <f t="shared" si="71"/>
        <v>2507.5412999999999</v>
      </c>
      <c r="K696" s="3">
        <f t="shared" si="72"/>
        <v>10030.165199999999</v>
      </c>
      <c r="L696" s="3">
        <f t="shared" si="75"/>
        <v>9943.44</v>
      </c>
      <c r="M696" s="8">
        <f t="shared" si="76"/>
        <v>86.725199999998949</v>
      </c>
      <c r="N696" s="4">
        <f t="shared" si="73"/>
        <v>8.6464378473047436E-3</v>
      </c>
      <c r="O696" s="4" t="str">
        <f t="shared" si="74"/>
        <v>Profit</v>
      </c>
      <c r="P696" t="s">
        <v>28</v>
      </c>
      <c r="Q696">
        <v>0.01</v>
      </c>
      <c r="R696" t="s">
        <v>29</v>
      </c>
      <c r="S696" t="s">
        <v>17</v>
      </c>
      <c r="T696" t="s">
        <v>18</v>
      </c>
      <c r="U696" t="str">
        <f t="shared" si="77"/>
        <v>Low-Cost</v>
      </c>
    </row>
    <row r="697" spans="1:21" x14ac:dyDescent="0.3">
      <c r="A697">
        <v>1069</v>
      </c>
      <c r="B697" s="1">
        <v>44933</v>
      </c>
      <c r="C697" s="2" t="s">
        <v>40</v>
      </c>
      <c r="D697" t="s">
        <v>32</v>
      </c>
      <c r="E697">
        <v>6</v>
      </c>
      <c r="F697" t="s">
        <v>24</v>
      </c>
      <c r="G697">
        <f>1</f>
        <v>1</v>
      </c>
      <c r="H697" s="3">
        <v>1768.6</v>
      </c>
      <c r="I697" s="3">
        <v>2152.1999999999998</v>
      </c>
      <c r="J697" s="3">
        <f t="shared" si="71"/>
        <v>1614.1499999999999</v>
      </c>
      <c r="K697" s="3">
        <f t="shared" si="72"/>
        <v>9684.9</v>
      </c>
      <c r="L697" s="3">
        <f t="shared" si="75"/>
        <v>10611.599999999999</v>
      </c>
      <c r="M697" s="8">
        <f t="shared" si="76"/>
        <v>-926.69999999999891</v>
      </c>
      <c r="N697" s="4">
        <f t="shared" si="73"/>
        <v>-9.5685035467583446E-2</v>
      </c>
      <c r="O697" s="4" t="str">
        <f t="shared" si="74"/>
        <v>Loss</v>
      </c>
      <c r="P697" t="s">
        <v>28</v>
      </c>
      <c r="Q697">
        <v>0.25</v>
      </c>
      <c r="R697" t="s">
        <v>25</v>
      </c>
      <c r="S697" t="s">
        <v>20</v>
      </c>
      <c r="T697" t="s">
        <v>50</v>
      </c>
      <c r="U697" t="str">
        <f t="shared" si="77"/>
        <v>Low-Cost</v>
      </c>
    </row>
    <row r="698" spans="1:21" x14ac:dyDescent="0.3">
      <c r="A698">
        <v>1069</v>
      </c>
      <c r="B698" s="1">
        <v>45214</v>
      </c>
      <c r="C698" s="2" t="s">
        <v>12</v>
      </c>
      <c r="D698" t="s">
        <v>19</v>
      </c>
      <c r="E698">
        <v>46</v>
      </c>
      <c r="F698" t="s">
        <v>24</v>
      </c>
      <c r="G698">
        <f>1</f>
        <v>1</v>
      </c>
      <c r="H698" s="3">
        <v>3663.51</v>
      </c>
      <c r="I698" s="3">
        <v>4007.98</v>
      </c>
      <c r="J698" s="3">
        <f t="shared" si="71"/>
        <v>3486.9425999999999</v>
      </c>
      <c r="K698" s="3">
        <f t="shared" si="72"/>
        <v>160399.3596</v>
      </c>
      <c r="L698" s="3">
        <f t="shared" si="75"/>
        <v>168521.46000000002</v>
      </c>
      <c r="M698" s="8">
        <f t="shared" si="76"/>
        <v>-8122.1004000000248</v>
      </c>
      <c r="N698" s="4">
        <f t="shared" si="73"/>
        <v>-5.0636738327726E-2</v>
      </c>
      <c r="O698" s="4" t="str">
        <f t="shared" si="74"/>
        <v>Loss</v>
      </c>
      <c r="P698" t="s">
        <v>28</v>
      </c>
      <c r="Q698">
        <v>0.13</v>
      </c>
      <c r="R698" t="s">
        <v>16</v>
      </c>
      <c r="S698" t="s">
        <v>17</v>
      </c>
      <c r="T698" t="s">
        <v>21</v>
      </c>
      <c r="U698" t="str">
        <f t="shared" si="77"/>
        <v>High-Cost</v>
      </c>
    </row>
    <row r="699" spans="1:21" x14ac:dyDescent="0.3">
      <c r="A699">
        <v>1069</v>
      </c>
      <c r="B699" s="1">
        <v>45280</v>
      </c>
      <c r="C699" s="2" t="s">
        <v>36</v>
      </c>
      <c r="D699" t="s">
        <v>13</v>
      </c>
      <c r="E699">
        <v>12</v>
      </c>
      <c r="F699" t="s">
        <v>14</v>
      </c>
      <c r="G699">
        <f>1</f>
        <v>1</v>
      </c>
      <c r="H699" s="3">
        <v>4682.34</v>
      </c>
      <c r="I699" s="3">
        <v>5036.3999999999996</v>
      </c>
      <c r="J699" s="3">
        <f t="shared" si="71"/>
        <v>4029.12</v>
      </c>
      <c r="K699" s="3">
        <f t="shared" si="72"/>
        <v>48349.440000000002</v>
      </c>
      <c r="L699" s="3">
        <f t="shared" si="75"/>
        <v>56188.08</v>
      </c>
      <c r="M699" s="8">
        <f t="shared" si="76"/>
        <v>-7838.6399999999994</v>
      </c>
      <c r="N699" s="4">
        <f t="shared" si="73"/>
        <v>-0.16212473195139385</v>
      </c>
      <c r="O699" s="4" t="str">
        <f t="shared" si="74"/>
        <v>Loss</v>
      </c>
      <c r="P699" t="s">
        <v>28</v>
      </c>
      <c r="Q699">
        <v>0.2</v>
      </c>
      <c r="R699" t="s">
        <v>25</v>
      </c>
      <c r="S699" t="s">
        <v>20</v>
      </c>
      <c r="T699" t="s">
        <v>38</v>
      </c>
      <c r="U699" t="str">
        <f t="shared" si="77"/>
        <v>High-Cost</v>
      </c>
    </row>
    <row r="700" spans="1:21" x14ac:dyDescent="0.3">
      <c r="A700">
        <v>1069</v>
      </c>
      <c r="B700" s="1">
        <v>45006</v>
      </c>
      <c r="C700" s="2" t="s">
        <v>12</v>
      </c>
      <c r="D700" t="s">
        <v>32</v>
      </c>
      <c r="E700">
        <v>29</v>
      </c>
      <c r="F700" t="s">
        <v>14</v>
      </c>
      <c r="G700">
        <f>1</f>
        <v>1</v>
      </c>
      <c r="H700" s="3">
        <v>2462.66</v>
      </c>
      <c r="I700" s="3">
        <v>2908.09</v>
      </c>
      <c r="J700" s="3">
        <f t="shared" si="71"/>
        <v>2559.1192000000001</v>
      </c>
      <c r="K700" s="3">
        <f t="shared" si="72"/>
        <v>74214.4568</v>
      </c>
      <c r="L700" s="3">
        <f t="shared" si="75"/>
        <v>71417.14</v>
      </c>
      <c r="M700" s="8">
        <f t="shared" si="76"/>
        <v>2797.3168000000005</v>
      </c>
      <c r="N700" s="4">
        <f t="shared" si="73"/>
        <v>3.7692343521943027E-2</v>
      </c>
      <c r="O700" s="4" t="str">
        <f t="shared" si="74"/>
        <v>Profit</v>
      </c>
      <c r="P700" t="s">
        <v>28</v>
      </c>
      <c r="Q700">
        <v>0.12</v>
      </c>
      <c r="R700" t="s">
        <v>29</v>
      </c>
      <c r="S700" t="s">
        <v>17</v>
      </c>
      <c r="T700" t="s">
        <v>44</v>
      </c>
      <c r="U700" t="str">
        <f t="shared" si="77"/>
        <v>High-Cost</v>
      </c>
    </row>
    <row r="701" spans="1:21" x14ac:dyDescent="0.3">
      <c r="A701">
        <v>1069</v>
      </c>
      <c r="B701" s="1">
        <v>45012</v>
      </c>
      <c r="C701" s="2" t="s">
        <v>22</v>
      </c>
      <c r="D701" t="s">
        <v>32</v>
      </c>
      <c r="E701">
        <v>47</v>
      </c>
      <c r="F701" t="s">
        <v>33</v>
      </c>
      <c r="G701">
        <f>1</f>
        <v>1</v>
      </c>
      <c r="H701" s="3">
        <v>4171.83</v>
      </c>
      <c r="I701" s="3">
        <v>4320.93</v>
      </c>
      <c r="J701" s="3">
        <f t="shared" si="71"/>
        <v>4018.4648999999999</v>
      </c>
      <c r="K701" s="3">
        <f t="shared" si="72"/>
        <v>188867.85030000002</v>
      </c>
      <c r="L701" s="3">
        <f t="shared" si="75"/>
        <v>196076.01</v>
      </c>
      <c r="M701" s="8">
        <f t="shared" si="76"/>
        <v>-7208.1596999999892</v>
      </c>
      <c r="N701" s="4">
        <f t="shared" si="73"/>
        <v>-3.816509632820228E-2</v>
      </c>
      <c r="O701" s="4" t="str">
        <f t="shared" si="74"/>
        <v>Loss</v>
      </c>
      <c r="P701" t="s">
        <v>28</v>
      </c>
      <c r="Q701">
        <v>7.0000000000000007E-2</v>
      </c>
      <c r="R701" t="s">
        <v>16</v>
      </c>
      <c r="S701" t="s">
        <v>17</v>
      </c>
      <c r="T701" t="s">
        <v>48</v>
      </c>
      <c r="U701" t="str">
        <f t="shared" si="77"/>
        <v>High-Cost</v>
      </c>
    </row>
    <row r="702" spans="1:21" x14ac:dyDescent="0.3">
      <c r="A702">
        <v>1069</v>
      </c>
      <c r="B702" s="1">
        <v>45073</v>
      </c>
      <c r="C702" s="2" t="s">
        <v>31</v>
      </c>
      <c r="D702" t="s">
        <v>19</v>
      </c>
      <c r="E702">
        <v>44</v>
      </c>
      <c r="F702" t="s">
        <v>33</v>
      </c>
      <c r="G702">
        <f>1</f>
        <v>1</v>
      </c>
      <c r="H702" s="3">
        <v>1084.73</v>
      </c>
      <c r="I702" s="3">
        <v>1420.9</v>
      </c>
      <c r="J702" s="3">
        <f t="shared" si="71"/>
        <v>1349.855</v>
      </c>
      <c r="K702" s="3">
        <f t="shared" si="72"/>
        <v>59393.62</v>
      </c>
      <c r="L702" s="3">
        <f t="shared" si="75"/>
        <v>47728.12</v>
      </c>
      <c r="M702" s="8">
        <f t="shared" si="76"/>
        <v>11665.5</v>
      </c>
      <c r="N702" s="4">
        <f t="shared" si="73"/>
        <v>0.1964099847761426</v>
      </c>
      <c r="O702" s="4" t="str">
        <f t="shared" si="74"/>
        <v>Profit</v>
      </c>
      <c r="P702" t="s">
        <v>15</v>
      </c>
      <c r="Q702">
        <v>0.05</v>
      </c>
      <c r="R702" t="s">
        <v>29</v>
      </c>
      <c r="S702" t="s">
        <v>17</v>
      </c>
      <c r="T702" t="s">
        <v>35</v>
      </c>
      <c r="U702" t="str">
        <f t="shared" si="77"/>
        <v>Low-Cost</v>
      </c>
    </row>
    <row r="703" spans="1:21" x14ac:dyDescent="0.3">
      <c r="A703">
        <v>1069</v>
      </c>
      <c r="B703" s="1">
        <v>45075</v>
      </c>
      <c r="C703" s="2" t="s">
        <v>40</v>
      </c>
      <c r="D703" t="s">
        <v>13</v>
      </c>
      <c r="E703">
        <v>30</v>
      </c>
      <c r="F703" t="s">
        <v>33</v>
      </c>
      <c r="G703">
        <f>1</f>
        <v>1</v>
      </c>
      <c r="H703" s="3">
        <v>300.01</v>
      </c>
      <c r="I703" s="3">
        <v>477.68</v>
      </c>
      <c r="J703" s="3">
        <f t="shared" si="71"/>
        <v>425.1352</v>
      </c>
      <c r="K703" s="3">
        <f t="shared" si="72"/>
        <v>12754.056</v>
      </c>
      <c r="L703" s="3">
        <f t="shared" si="75"/>
        <v>9000.2999999999993</v>
      </c>
      <c r="M703" s="8">
        <f t="shared" si="76"/>
        <v>3753.7560000000012</v>
      </c>
      <c r="N703" s="4">
        <f t="shared" si="73"/>
        <v>0.29431860735126153</v>
      </c>
      <c r="O703" s="4" t="str">
        <f t="shared" si="74"/>
        <v>Profit</v>
      </c>
      <c r="P703" t="s">
        <v>28</v>
      </c>
      <c r="Q703">
        <v>0.11</v>
      </c>
      <c r="R703" t="s">
        <v>25</v>
      </c>
      <c r="S703" t="s">
        <v>20</v>
      </c>
      <c r="T703" t="s">
        <v>47</v>
      </c>
      <c r="U703" t="str">
        <f t="shared" si="77"/>
        <v>Low-Cost</v>
      </c>
    </row>
    <row r="704" spans="1:21" x14ac:dyDescent="0.3">
      <c r="A704">
        <v>1070</v>
      </c>
      <c r="B704" s="1">
        <v>44927</v>
      </c>
      <c r="C704" s="2" t="s">
        <v>36</v>
      </c>
      <c r="D704" t="s">
        <v>23</v>
      </c>
      <c r="E704">
        <v>12</v>
      </c>
      <c r="F704" t="s">
        <v>14</v>
      </c>
      <c r="G704">
        <f>1</f>
        <v>1</v>
      </c>
      <c r="H704" s="3">
        <v>664.33</v>
      </c>
      <c r="I704" s="3">
        <v>863.03</v>
      </c>
      <c r="J704" s="3">
        <f t="shared" si="71"/>
        <v>647.27250000000004</v>
      </c>
      <c r="K704" s="3">
        <f t="shared" si="72"/>
        <v>7767.27</v>
      </c>
      <c r="L704" s="3">
        <f t="shared" si="75"/>
        <v>7971.9600000000009</v>
      </c>
      <c r="M704" s="8">
        <f t="shared" si="76"/>
        <v>-204.69000000000051</v>
      </c>
      <c r="N704" s="4">
        <f t="shared" si="73"/>
        <v>-2.6352888466604159E-2</v>
      </c>
      <c r="O704" s="4" t="str">
        <f t="shared" si="74"/>
        <v>Loss</v>
      </c>
      <c r="P704" t="s">
        <v>15</v>
      </c>
      <c r="Q704">
        <v>0.25</v>
      </c>
      <c r="R704" t="s">
        <v>25</v>
      </c>
      <c r="S704" t="s">
        <v>20</v>
      </c>
      <c r="T704" t="s">
        <v>37</v>
      </c>
      <c r="U704" t="str">
        <f t="shared" si="77"/>
        <v>Low-Cost</v>
      </c>
    </row>
    <row r="705" spans="1:21" x14ac:dyDescent="0.3">
      <c r="A705">
        <v>1070</v>
      </c>
      <c r="B705" s="1">
        <v>44989</v>
      </c>
      <c r="C705" s="2" t="s">
        <v>12</v>
      </c>
      <c r="D705" t="s">
        <v>23</v>
      </c>
      <c r="E705">
        <v>15</v>
      </c>
      <c r="F705" t="s">
        <v>33</v>
      </c>
      <c r="G705">
        <f>1</f>
        <v>1</v>
      </c>
      <c r="H705" s="3">
        <v>3653.66</v>
      </c>
      <c r="I705" s="3">
        <v>3896.19</v>
      </c>
      <c r="J705" s="3">
        <f t="shared" si="71"/>
        <v>3779.3042999999998</v>
      </c>
      <c r="K705" s="3">
        <f t="shared" si="72"/>
        <v>56689.5645</v>
      </c>
      <c r="L705" s="3">
        <f t="shared" si="75"/>
        <v>54804.899999999994</v>
      </c>
      <c r="M705" s="8">
        <f t="shared" si="76"/>
        <v>1884.6645000000062</v>
      </c>
      <c r="N705" s="4">
        <f t="shared" si="73"/>
        <v>3.3245351532026783E-2</v>
      </c>
      <c r="O705" s="4" t="str">
        <f t="shared" si="74"/>
        <v>Profit</v>
      </c>
      <c r="P705" t="s">
        <v>28</v>
      </c>
      <c r="Q705">
        <v>0.03</v>
      </c>
      <c r="R705" t="s">
        <v>29</v>
      </c>
      <c r="S705" t="s">
        <v>20</v>
      </c>
      <c r="T705" t="s">
        <v>30</v>
      </c>
      <c r="U705" t="str">
        <f t="shared" si="77"/>
        <v>High-Cost</v>
      </c>
    </row>
    <row r="706" spans="1:21" x14ac:dyDescent="0.3">
      <c r="A706">
        <v>1070</v>
      </c>
      <c r="B706" s="1">
        <v>45242</v>
      </c>
      <c r="C706" s="2" t="s">
        <v>12</v>
      </c>
      <c r="D706" t="s">
        <v>23</v>
      </c>
      <c r="E706">
        <v>9</v>
      </c>
      <c r="F706" t="s">
        <v>33</v>
      </c>
      <c r="G706">
        <f>1</f>
        <v>1</v>
      </c>
      <c r="H706" s="3">
        <v>310.24</v>
      </c>
      <c r="I706" s="3">
        <v>451.81</v>
      </c>
      <c r="J706" s="3">
        <f t="shared" ref="J706:J769" si="78">I706*(1-Q706)</f>
        <v>406.62900000000002</v>
      </c>
      <c r="K706" s="3">
        <f t="shared" ref="K706:K769" si="79">E706*I706*(1-Q706)</f>
        <v>3659.6610000000001</v>
      </c>
      <c r="L706" s="3">
        <f t="shared" si="75"/>
        <v>2792.16</v>
      </c>
      <c r="M706" s="8">
        <f t="shared" si="76"/>
        <v>867.5010000000002</v>
      </c>
      <c r="N706" s="4">
        <f t="shared" ref="N706:N769" si="80">(M706/K706)</f>
        <v>0.23704408687034131</v>
      </c>
      <c r="O706" s="4" t="str">
        <f t="shared" ref="O706:O769" si="81">IF(M706&lt;0,"Loss","Profit")</f>
        <v>Profit</v>
      </c>
      <c r="P706" t="s">
        <v>15</v>
      </c>
      <c r="Q706">
        <v>0.1</v>
      </c>
      <c r="R706" t="s">
        <v>16</v>
      </c>
      <c r="S706" t="s">
        <v>20</v>
      </c>
      <c r="T706" t="s">
        <v>30</v>
      </c>
      <c r="U706" t="str">
        <f t="shared" si="77"/>
        <v>Low-Cost</v>
      </c>
    </row>
    <row r="707" spans="1:21" x14ac:dyDescent="0.3">
      <c r="A707">
        <v>1070</v>
      </c>
      <c r="B707" s="1">
        <v>45273</v>
      </c>
      <c r="C707" s="2" t="s">
        <v>40</v>
      </c>
      <c r="D707" t="s">
        <v>19</v>
      </c>
      <c r="E707">
        <v>8</v>
      </c>
      <c r="F707" t="s">
        <v>27</v>
      </c>
      <c r="G707">
        <f>1</f>
        <v>1</v>
      </c>
      <c r="H707" s="3">
        <v>3762.27</v>
      </c>
      <c r="I707" s="3">
        <v>4166.95</v>
      </c>
      <c r="J707" s="3">
        <f t="shared" si="78"/>
        <v>3500.2379999999998</v>
      </c>
      <c r="K707" s="3">
        <f t="shared" si="79"/>
        <v>28001.903999999999</v>
      </c>
      <c r="L707" s="3">
        <f t="shared" ref="L707:L770" si="82">H707*E707</f>
        <v>30098.16</v>
      </c>
      <c r="M707" s="8">
        <f t="shared" ref="M707:M770" si="83">K707-L707</f>
        <v>-2096.2560000000012</v>
      </c>
      <c r="N707" s="4">
        <f t="shared" si="80"/>
        <v>-7.4861195153015356E-2</v>
      </c>
      <c r="O707" s="4" t="str">
        <f t="shared" si="81"/>
        <v>Loss</v>
      </c>
      <c r="P707" t="s">
        <v>15</v>
      </c>
      <c r="Q707">
        <v>0.16</v>
      </c>
      <c r="R707" t="s">
        <v>25</v>
      </c>
      <c r="S707" t="s">
        <v>17</v>
      </c>
      <c r="T707" t="s">
        <v>49</v>
      </c>
      <c r="U707" t="str">
        <f t="shared" si="77"/>
        <v>High-Cost</v>
      </c>
    </row>
    <row r="708" spans="1:21" x14ac:dyDescent="0.3">
      <c r="A708">
        <v>1070</v>
      </c>
      <c r="B708" s="1">
        <v>45274</v>
      </c>
      <c r="C708" s="2" t="s">
        <v>31</v>
      </c>
      <c r="D708" t="s">
        <v>23</v>
      </c>
      <c r="E708">
        <v>33</v>
      </c>
      <c r="F708" t="s">
        <v>24</v>
      </c>
      <c r="G708">
        <f>1</f>
        <v>1</v>
      </c>
      <c r="H708" s="3">
        <v>866.42</v>
      </c>
      <c r="I708" s="3">
        <v>878.43</v>
      </c>
      <c r="J708" s="3">
        <f t="shared" si="78"/>
        <v>799.37130000000002</v>
      </c>
      <c r="K708" s="3">
        <f t="shared" si="79"/>
        <v>26379.252899999999</v>
      </c>
      <c r="L708" s="3">
        <f t="shared" si="82"/>
        <v>28591.859999999997</v>
      </c>
      <c r="M708" s="8">
        <f t="shared" si="83"/>
        <v>-2212.6070999999974</v>
      </c>
      <c r="N708" s="4">
        <f t="shared" si="80"/>
        <v>-8.3876791673656442E-2</v>
      </c>
      <c r="O708" s="4" t="str">
        <f t="shared" si="81"/>
        <v>Loss</v>
      </c>
      <c r="P708" t="s">
        <v>28</v>
      </c>
      <c r="Q708">
        <v>0.09</v>
      </c>
      <c r="R708" t="s">
        <v>16</v>
      </c>
      <c r="S708" t="s">
        <v>20</v>
      </c>
      <c r="T708" t="s">
        <v>42</v>
      </c>
      <c r="U708" t="str">
        <f t="shared" si="77"/>
        <v>Low-Cost</v>
      </c>
    </row>
    <row r="709" spans="1:21" x14ac:dyDescent="0.3">
      <c r="A709">
        <v>1070</v>
      </c>
      <c r="B709" s="1">
        <v>45256</v>
      </c>
      <c r="C709" s="2" t="s">
        <v>22</v>
      </c>
      <c r="D709" t="s">
        <v>13</v>
      </c>
      <c r="E709">
        <v>40</v>
      </c>
      <c r="F709" t="s">
        <v>14</v>
      </c>
      <c r="G709">
        <f>1</f>
        <v>1</v>
      </c>
      <c r="H709" s="3">
        <v>3089.96</v>
      </c>
      <c r="I709" s="3">
        <v>3258.45</v>
      </c>
      <c r="J709" s="3">
        <f t="shared" si="78"/>
        <v>2313.4994999999999</v>
      </c>
      <c r="K709" s="3">
        <f t="shared" si="79"/>
        <v>92539.98</v>
      </c>
      <c r="L709" s="3">
        <f t="shared" si="82"/>
        <v>123598.39999999999</v>
      </c>
      <c r="M709" s="8">
        <f t="shared" si="83"/>
        <v>-31058.42</v>
      </c>
      <c r="N709" s="4">
        <f t="shared" si="80"/>
        <v>-0.33562164158669583</v>
      </c>
      <c r="O709" s="4" t="str">
        <f t="shared" si="81"/>
        <v>Loss</v>
      </c>
      <c r="P709" t="s">
        <v>28</v>
      </c>
      <c r="Q709">
        <v>0.28999999999999998</v>
      </c>
      <c r="R709" t="s">
        <v>16</v>
      </c>
      <c r="S709" t="s">
        <v>17</v>
      </c>
      <c r="T709" t="s">
        <v>43</v>
      </c>
      <c r="U709" t="str">
        <f t="shared" si="77"/>
        <v>High-Cost</v>
      </c>
    </row>
    <row r="710" spans="1:21" x14ac:dyDescent="0.3">
      <c r="A710">
        <v>1070</v>
      </c>
      <c r="B710" s="1">
        <v>45075</v>
      </c>
      <c r="C710" s="2" t="s">
        <v>31</v>
      </c>
      <c r="D710" t="s">
        <v>23</v>
      </c>
      <c r="E710">
        <v>14</v>
      </c>
      <c r="F710" t="s">
        <v>14</v>
      </c>
      <c r="G710">
        <f>1</f>
        <v>1</v>
      </c>
      <c r="H710" s="3">
        <v>3796.79</v>
      </c>
      <c r="I710" s="3">
        <v>3947.5</v>
      </c>
      <c r="J710" s="3">
        <f t="shared" si="78"/>
        <v>3000.1</v>
      </c>
      <c r="K710" s="3">
        <f t="shared" si="79"/>
        <v>42001.4</v>
      </c>
      <c r="L710" s="3">
        <f t="shared" si="82"/>
        <v>53155.06</v>
      </c>
      <c r="M710" s="8">
        <f t="shared" si="83"/>
        <v>-11153.659999999996</v>
      </c>
      <c r="N710" s="4">
        <f t="shared" si="80"/>
        <v>-0.26555448151728267</v>
      </c>
      <c r="O710" s="4" t="str">
        <f t="shared" si="81"/>
        <v>Loss</v>
      </c>
      <c r="P710" t="s">
        <v>15</v>
      </c>
      <c r="Q710">
        <v>0.24</v>
      </c>
      <c r="R710" t="s">
        <v>25</v>
      </c>
      <c r="S710" t="s">
        <v>17</v>
      </c>
      <c r="T710" t="s">
        <v>42</v>
      </c>
      <c r="U710" t="str">
        <f t="shared" si="77"/>
        <v>High-Cost</v>
      </c>
    </row>
    <row r="711" spans="1:21" x14ac:dyDescent="0.3">
      <c r="A711">
        <v>1071</v>
      </c>
      <c r="B711" s="1">
        <v>45236</v>
      </c>
      <c r="C711" s="2" t="s">
        <v>22</v>
      </c>
      <c r="D711" t="s">
        <v>13</v>
      </c>
      <c r="E711">
        <v>47</v>
      </c>
      <c r="F711" t="s">
        <v>24</v>
      </c>
      <c r="G711">
        <f>1</f>
        <v>1</v>
      </c>
      <c r="H711" s="3">
        <v>3942.34</v>
      </c>
      <c r="I711" s="3">
        <v>4142.09</v>
      </c>
      <c r="J711" s="3">
        <f t="shared" si="78"/>
        <v>4017.8272999999999</v>
      </c>
      <c r="K711" s="3">
        <f t="shared" si="79"/>
        <v>188837.88310000001</v>
      </c>
      <c r="L711" s="3">
        <f t="shared" si="82"/>
        <v>185289.98</v>
      </c>
      <c r="M711" s="8">
        <f t="shared" si="83"/>
        <v>3547.9030999999959</v>
      </c>
      <c r="N711" s="4">
        <f t="shared" si="80"/>
        <v>1.8788089771802761E-2</v>
      </c>
      <c r="O711" s="4" t="str">
        <f t="shared" si="81"/>
        <v>Profit</v>
      </c>
      <c r="P711" t="s">
        <v>15</v>
      </c>
      <c r="Q711">
        <v>0.03</v>
      </c>
      <c r="R711" t="s">
        <v>29</v>
      </c>
      <c r="S711" t="s">
        <v>20</v>
      </c>
      <c r="T711" t="s">
        <v>43</v>
      </c>
      <c r="U711" t="str">
        <f t="shared" si="77"/>
        <v>High-Cost</v>
      </c>
    </row>
    <row r="712" spans="1:21" x14ac:dyDescent="0.3">
      <c r="A712">
        <v>1071</v>
      </c>
      <c r="B712" s="1">
        <v>45066</v>
      </c>
      <c r="C712" s="2" t="s">
        <v>36</v>
      </c>
      <c r="D712" t="s">
        <v>19</v>
      </c>
      <c r="E712">
        <v>6</v>
      </c>
      <c r="F712" t="s">
        <v>14</v>
      </c>
      <c r="G712">
        <f>1</f>
        <v>1</v>
      </c>
      <c r="H712" s="3">
        <v>2831.23</v>
      </c>
      <c r="I712" s="3">
        <v>3206.98</v>
      </c>
      <c r="J712" s="3">
        <f t="shared" si="78"/>
        <v>3014.5611999999996</v>
      </c>
      <c r="K712" s="3">
        <f t="shared" si="79"/>
        <v>18087.367200000001</v>
      </c>
      <c r="L712" s="3">
        <f t="shared" si="82"/>
        <v>16987.38</v>
      </c>
      <c r="M712" s="8">
        <f t="shared" si="83"/>
        <v>1099.9871999999996</v>
      </c>
      <c r="N712" s="4">
        <f t="shared" si="80"/>
        <v>6.0815219143668379E-2</v>
      </c>
      <c r="O712" s="4" t="str">
        <f t="shared" si="81"/>
        <v>Profit</v>
      </c>
      <c r="P712" t="s">
        <v>15</v>
      </c>
      <c r="Q712">
        <v>0.06</v>
      </c>
      <c r="R712" t="s">
        <v>25</v>
      </c>
      <c r="S712" t="s">
        <v>20</v>
      </c>
      <c r="T712" t="s">
        <v>39</v>
      </c>
      <c r="U712" t="str">
        <f t="shared" ref="U712:U775" si="84">IF(I712 &gt;=2800, "High-Cost", "Low-Cost")</f>
        <v>High-Cost</v>
      </c>
    </row>
    <row r="713" spans="1:21" x14ac:dyDescent="0.3">
      <c r="A713">
        <v>1071</v>
      </c>
      <c r="B713" s="1">
        <v>45254</v>
      </c>
      <c r="C713" s="2" t="s">
        <v>40</v>
      </c>
      <c r="D713" t="s">
        <v>19</v>
      </c>
      <c r="E713">
        <v>12</v>
      </c>
      <c r="F713" t="s">
        <v>24</v>
      </c>
      <c r="G713">
        <f>1</f>
        <v>1</v>
      </c>
      <c r="H713" s="3">
        <v>4317.95</v>
      </c>
      <c r="I713" s="3">
        <v>4636.59</v>
      </c>
      <c r="J713" s="3">
        <f t="shared" si="78"/>
        <v>3802.0038000000004</v>
      </c>
      <c r="K713" s="3">
        <f t="shared" si="79"/>
        <v>45624.045600000005</v>
      </c>
      <c r="L713" s="3">
        <f t="shared" si="82"/>
        <v>51815.399999999994</v>
      </c>
      <c r="M713" s="8">
        <f t="shared" si="83"/>
        <v>-6191.3543999999893</v>
      </c>
      <c r="N713" s="4">
        <f t="shared" si="80"/>
        <v>-0.13570375705568707</v>
      </c>
      <c r="O713" s="4" t="str">
        <f t="shared" si="81"/>
        <v>Loss</v>
      </c>
      <c r="P713" t="s">
        <v>28</v>
      </c>
      <c r="Q713">
        <v>0.18</v>
      </c>
      <c r="R713" t="s">
        <v>29</v>
      </c>
      <c r="S713" t="s">
        <v>20</v>
      </c>
      <c r="T713" t="s">
        <v>49</v>
      </c>
      <c r="U713" t="str">
        <f t="shared" si="84"/>
        <v>High-Cost</v>
      </c>
    </row>
    <row r="714" spans="1:21" x14ac:dyDescent="0.3">
      <c r="A714">
        <v>1071</v>
      </c>
      <c r="B714" s="1">
        <v>45103</v>
      </c>
      <c r="C714" s="2" t="s">
        <v>22</v>
      </c>
      <c r="D714" t="s">
        <v>13</v>
      </c>
      <c r="E714">
        <v>35</v>
      </c>
      <c r="F714" t="s">
        <v>27</v>
      </c>
      <c r="G714">
        <f>1</f>
        <v>1</v>
      </c>
      <c r="H714" s="3">
        <v>295.82</v>
      </c>
      <c r="I714" s="3">
        <v>684.67</v>
      </c>
      <c r="J714" s="3">
        <f t="shared" si="78"/>
        <v>664.12989999999991</v>
      </c>
      <c r="K714" s="3">
        <f t="shared" si="79"/>
        <v>23244.546499999997</v>
      </c>
      <c r="L714" s="3">
        <f t="shared" si="82"/>
        <v>10353.699999999999</v>
      </c>
      <c r="M714" s="8">
        <f t="shared" si="83"/>
        <v>12890.846499999998</v>
      </c>
      <c r="N714" s="4">
        <f t="shared" si="80"/>
        <v>0.55457509140907524</v>
      </c>
      <c r="O714" s="4" t="str">
        <f t="shared" si="81"/>
        <v>Profit</v>
      </c>
      <c r="P714" t="s">
        <v>28</v>
      </c>
      <c r="Q714">
        <v>0.03</v>
      </c>
      <c r="R714" t="s">
        <v>29</v>
      </c>
      <c r="S714" t="s">
        <v>17</v>
      </c>
      <c r="T714" t="s">
        <v>43</v>
      </c>
      <c r="U714" t="str">
        <f t="shared" si="84"/>
        <v>Low-Cost</v>
      </c>
    </row>
    <row r="715" spans="1:21" x14ac:dyDescent="0.3">
      <c r="A715">
        <v>1071</v>
      </c>
      <c r="B715" s="1">
        <v>45287</v>
      </c>
      <c r="C715" s="2" t="s">
        <v>22</v>
      </c>
      <c r="D715" t="s">
        <v>32</v>
      </c>
      <c r="E715">
        <v>40</v>
      </c>
      <c r="F715" t="s">
        <v>24</v>
      </c>
      <c r="G715">
        <f>1</f>
        <v>1</v>
      </c>
      <c r="H715" s="3">
        <v>1447.72</v>
      </c>
      <c r="I715" s="3">
        <v>1875.75</v>
      </c>
      <c r="J715" s="3">
        <f t="shared" si="78"/>
        <v>1631.9024999999999</v>
      </c>
      <c r="K715" s="3">
        <f t="shared" si="79"/>
        <v>65276.1</v>
      </c>
      <c r="L715" s="3">
        <f t="shared" si="82"/>
        <v>57908.800000000003</v>
      </c>
      <c r="M715" s="8">
        <f t="shared" si="83"/>
        <v>7367.2999999999956</v>
      </c>
      <c r="N715" s="4">
        <f t="shared" si="80"/>
        <v>0.1128636667938188</v>
      </c>
      <c r="O715" s="4" t="str">
        <f t="shared" si="81"/>
        <v>Profit</v>
      </c>
      <c r="P715" t="s">
        <v>28</v>
      </c>
      <c r="Q715">
        <v>0.13</v>
      </c>
      <c r="R715" t="s">
        <v>16</v>
      </c>
      <c r="S715" t="s">
        <v>20</v>
      </c>
      <c r="T715" t="s">
        <v>48</v>
      </c>
      <c r="U715" t="str">
        <f t="shared" si="84"/>
        <v>Low-Cost</v>
      </c>
    </row>
    <row r="716" spans="1:21" x14ac:dyDescent="0.3">
      <c r="A716">
        <v>1071</v>
      </c>
      <c r="B716" s="1">
        <v>45229</v>
      </c>
      <c r="C716" s="2" t="s">
        <v>40</v>
      </c>
      <c r="D716" t="s">
        <v>19</v>
      </c>
      <c r="E716">
        <v>22</v>
      </c>
      <c r="F716" t="s">
        <v>33</v>
      </c>
      <c r="G716">
        <f>1</f>
        <v>1</v>
      </c>
      <c r="H716" s="3">
        <v>2701.39</v>
      </c>
      <c r="I716" s="3">
        <v>3185.81</v>
      </c>
      <c r="J716" s="3">
        <f t="shared" si="78"/>
        <v>3153.9519</v>
      </c>
      <c r="K716" s="3">
        <f t="shared" si="79"/>
        <v>69386.941799999986</v>
      </c>
      <c r="L716" s="3">
        <f t="shared" si="82"/>
        <v>59430.579999999994</v>
      </c>
      <c r="M716" s="8">
        <f t="shared" si="83"/>
        <v>9956.3617999999915</v>
      </c>
      <c r="N716" s="4">
        <f t="shared" si="80"/>
        <v>0.14349042545639321</v>
      </c>
      <c r="O716" s="4" t="str">
        <f t="shared" si="81"/>
        <v>Profit</v>
      </c>
      <c r="P716" t="s">
        <v>28</v>
      </c>
      <c r="Q716">
        <v>0.01</v>
      </c>
      <c r="R716" t="s">
        <v>25</v>
      </c>
      <c r="S716" t="s">
        <v>17</v>
      </c>
      <c r="T716" t="s">
        <v>49</v>
      </c>
      <c r="U716" t="str">
        <f t="shared" si="84"/>
        <v>High-Cost</v>
      </c>
    </row>
    <row r="717" spans="1:21" x14ac:dyDescent="0.3">
      <c r="A717">
        <v>1072</v>
      </c>
      <c r="B717" s="1">
        <v>45235</v>
      </c>
      <c r="C717" s="2" t="s">
        <v>22</v>
      </c>
      <c r="D717" t="s">
        <v>19</v>
      </c>
      <c r="E717">
        <v>39</v>
      </c>
      <c r="F717" t="s">
        <v>27</v>
      </c>
      <c r="G717">
        <f>1</f>
        <v>1</v>
      </c>
      <c r="H717" s="3">
        <v>591.98</v>
      </c>
      <c r="I717" s="3">
        <v>934.04</v>
      </c>
      <c r="J717" s="3">
        <f t="shared" si="78"/>
        <v>691.18959999999993</v>
      </c>
      <c r="K717" s="3">
        <f t="shared" si="79"/>
        <v>26956.394399999997</v>
      </c>
      <c r="L717" s="3">
        <f t="shared" si="82"/>
        <v>23087.22</v>
      </c>
      <c r="M717" s="8">
        <f t="shared" si="83"/>
        <v>3869.1743999999962</v>
      </c>
      <c r="N717" s="4">
        <f t="shared" si="80"/>
        <v>0.14353456707103218</v>
      </c>
      <c r="O717" s="4" t="str">
        <f t="shared" si="81"/>
        <v>Profit</v>
      </c>
      <c r="P717" t="s">
        <v>28</v>
      </c>
      <c r="Q717">
        <v>0.26</v>
      </c>
      <c r="R717" t="s">
        <v>25</v>
      </c>
      <c r="S717" t="s">
        <v>20</v>
      </c>
      <c r="T717" t="s">
        <v>45</v>
      </c>
      <c r="U717" t="str">
        <f t="shared" si="84"/>
        <v>Low-Cost</v>
      </c>
    </row>
    <row r="718" spans="1:21" x14ac:dyDescent="0.3">
      <c r="A718">
        <v>1072</v>
      </c>
      <c r="B718" s="1">
        <v>44964</v>
      </c>
      <c r="C718" s="2" t="s">
        <v>12</v>
      </c>
      <c r="D718" t="s">
        <v>32</v>
      </c>
      <c r="E718">
        <v>26</v>
      </c>
      <c r="F718" t="s">
        <v>24</v>
      </c>
      <c r="G718">
        <f>1</f>
        <v>1</v>
      </c>
      <c r="H718" s="3">
        <v>3640.17</v>
      </c>
      <c r="I718" s="3">
        <v>4002.63</v>
      </c>
      <c r="J718" s="3">
        <f t="shared" si="78"/>
        <v>3802.4985000000001</v>
      </c>
      <c r="K718" s="3">
        <f t="shared" si="79"/>
        <v>98864.960999999996</v>
      </c>
      <c r="L718" s="3">
        <f t="shared" si="82"/>
        <v>94644.42</v>
      </c>
      <c r="M718" s="8">
        <f t="shared" si="83"/>
        <v>4220.5409999999974</v>
      </c>
      <c r="N718" s="4">
        <f t="shared" si="80"/>
        <v>4.2689957668622332E-2</v>
      </c>
      <c r="O718" s="4" t="str">
        <f t="shared" si="81"/>
        <v>Profit</v>
      </c>
      <c r="P718" t="s">
        <v>28</v>
      </c>
      <c r="Q718">
        <v>0.05</v>
      </c>
      <c r="R718" t="s">
        <v>29</v>
      </c>
      <c r="S718" t="s">
        <v>20</v>
      </c>
      <c r="T718" t="s">
        <v>44</v>
      </c>
      <c r="U718" t="str">
        <f t="shared" si="84"/>
        <v>High-Cost</v>
      </c>
    </row>
    <row r="719" spans="1:21" x14ac:dyDescent="0.3">
      <c r="A719">
        <v>1072</v>
      </c>
      <c r="B719" s="1">
        <v>45092</v>
      </c>
      <c r="C719" s="2" t="s">
        <v>22</v>
      </c>
      <c r="D719" t="s">
        <v>13</v>
      </c>
      <c r="E719">
        <v>35</v>
      </c>
      <c r="F719" t="s">
        <v>33</v>
      </c>
      <c r="G719">
        <f>1</f>
        <v>1</v>
      </c>
      <c r="H719" s="3">
        <v>4349.3599999999997</v>
      </c>
      <c r="I719" s="3">
        <v>4645.17</v>
      </c>
      <c r="J719" s="3">
        <f t="shared" si="78"/>
        <v>3809.0394000000006</v>
      </c>
      <c r="K719" s="3">
        <f t="shared" si="79"/>
        <v>133316.37900000002</v>
      </c>
      <c r="L719" s="3">
        <f t="shared" si="82"/>
        <v>152227.59999999998</v>
      </c>
      <c r="M719" s="8">
        <f t="shared" si="83"/>
        <v>-18911.220999999961</v>
      </c>
      <c r="N719" s="4">
        <f t="shared" si="80"/>
        <v>-0.14185219507049437</v>
      </c>
      <c r="O719" s="4" t="str">
        <f t="shared" si="81"/>
        <v>Loss</v>
      </c>
      <c r="P719" t="s">
        <v>15</v>
      </c>
      <c r="Q719">
        <v>0.18</v>
      </c>
      <c r="R719" t="s">
        <v>29</v>
      </c>
      <c r="S719" t="s">
        <v>20</v>
      </c>
      <c r="T719" t="s">
        <v>43</v>
      </c>
      <c r="U719" t="str">
        <f t="shared" si="84"/>
        <v>High-Cost</v>
      </c>
    </row>
    <row r="720" spans="1:21" x14ac:dyDescent="0.3">
      <c r="A720">
        <v>1072</v>
      </c>
      <c r="B720" s="1">
        <v>45159</v>
      </c>
      <c r="C720" s="2" t="s">
        <v>40</v>
      </c>
      <c r="D720" t="s">
        <v>19</v>
      </c>
      <c r="E720">
        <v>12</v>
      </c>
      <c r="F720" t="s">
        <v>27</v>
      </c>
      <c r="G720">
        <f>1</f>
        <v>1</v>
      </c>
      <c r="H720" s="3">
        <v>710.99</v>
      </c>
      <c r="I720" s="3">
        <v>876.46</v>
      </c>
      <c r="J720" s="3">
        <f t="shared" si="78"/>
        <v>850.1662</v>
      </c>
      <c r="K720" s="3">
        <f t="shared" si="79"/>
        <v>10201.9944</v>
      </c>
      <c r="L720" s="3">
        <f t="shared" si="82"/>
        <v>8531.880000000001</v>
      </c>
      <c r="M720" s="8">
        <f t="shared" si="83"/>
        <v>1670.1143999999986</v>
      </c>
      <c r="N720" s="4">
        <f t="shared" si="80"/>
        <v>0.16370469679928451</v>
      </c>
      <c r="O720" s="4" t="str">
        <f t="shared" si="81"/>
        <v>Profit</v>
      </c>
      <c r="P720" t="s">
        <v>15</v>
      </c>
      <c r="Q720">
        <v>0.03</v>
      </c>
      <c r="R720" t="s">
        <v>29</v>
      </c>
      <c r="S720" t="s">
        <v>17</v>
      </c>
      <c r="T720" t="s">
        <v>49</v>
      </c>
      <c r="U720" t="str">
        <f t="shared" si="84"/>
        <v>Low-Cost</v>
      </c>
    </row>
    <row r="721" spans="1:21" x14ac:dyDescent="0.3">
      <c r="A721">
        <v>1072</v>
      </c>
      <c r="B721" s="1">
        <v>45162</v>
      </c>
      <c r="C721" s="2" t="s">
        <v>12</v>
      </c>
      <c r="D721" t="s">
        <v>23</v>
      </c>
      <c r="E721">
        <v>39</v>
      </c>
      <c r="F721" t="s">
        <v>27</v>
      </c>
      <c r="G721">
        <f>1</f>
        <v>1</v>
      </c>
      <c r="H721" s="3">
        <v>4330.03</v>
      </c>
      <c r="I721" s="3">
        <v>4467.75</v>
      </c>
      <c r="J721" s="3">
        <f t="shared" si="78"/>
        <v>4378.3949999999995</v>
      </c>
      <c r="K721" s="3">
        <f t="shared" si="79"/>
        <v>170757.405</v>
      </c>
      <c r="L721" s="3">
        <f t="shared" si="82"/>
        <v>168871.16999999998</v>
      </c>
      <c r="M721" s="8">
        <f t="shared" si="83"/>
        <v>1886.2350000000151</v>
      </c>
      <c r="N721" s="4">
        <f t="shared" si="80"/>
        <v>1.1046285225522227E-2</v>
      </c>
      <c r="O721" s="4" t="str">
        <f t="shared" si="81"/>
        <v>Profit</v>
      </c>
      <c r="P721" t="s">
        <v>28</v>
      </c>
      <c r="Q721">
        <v>0.02</v>
      </c>
      <c r="R721" t="s">
        <v>29</v>
      </c>
      <c r="S721" t="s">
        <v>20</v>
      </c>
      <c r="T721" t="s">
        <v>30</v>
      </c>
      <c r="U721" t="str">
        <f t="shared" si="84"/>
        <v>High-Cost</v>
      </c>
    </row>
    <row r="722" spans="1:21" x14ac:dyDescent="0.3">
      <c r="A722">
        <v>1072</v>
      </c>
      <c r="B722" s="1">
        <v>45254</v>
      </c>
      <c r="C722" s="2" t="s">
        <v>40</v>
      </c>
      <c r="D722" t="s">
        <v>32</v>
      </c>
      <c r="E722">
        <v>25</v>
      </c>
      <c r="F722" t="s">
        <v>27</v>
      </c>
      <c r="G722">
        <f>1</f>
        <v>1</v>
      </c>
      <c r="H722" s="3">
        <v>481.19</v>
      </c>
      <c r="I722" s="3">
        <v>693.4</v>
      </c>
      <c r="J722" s="3">
        <f t="shared" si="78"/>
        <v>506.18199999999996</v>
      </c>
      <c r="K722" s="3">
        <f t="shared" si="79"/>
        <v>12654.55</v>
      </c>
      <c r="L722" s="3">
        <f t="shared" si="82"/>
        <v>12029.75</v>
      </c>
      <c r="M722" s="8">
        <f t="shared" si="83"/>
        <v>624.79999999999927</v>
      </c>
      <c r="N722" s="4">
        <f t="shared" si="80"/>
        <v>4.9373545483640216E-2</v>
      </c>
      <c r="O722" s="4" t="str">
        <f t="shared" si="81"/>
        <v>Profit</v>
      </c>
      <c r="P722" t="s">
        <v>28</v>
      </c>
      <c r="Q722">
        <v>0.27</v>
      </c>
      <c r="R722" t="s">
        <v>29</v>
      </c>
      <c r="S722" t="s">
        <v>20</v>
      </c>
      <c r="T722" t="s">
        <v>50</v>
      </c>
      <c r="U722" t="str">
        <f t="shared" si="84"/>
        <v>Low-Cost</v>
      </c>
    </row>
    <row r="723" spans="1:21" x14ac:dyDescent="0.3">
      <c r="A723">
        <v>1072</v>
      </c>
      <c r="B723" s="1">
        <v>45163</v>
      </c>
      <c r="C723" s="2" t="s">
        <v>31</v>
      </c>
      <c r="D723" t="s">
        <v>23</v>
      </c>
      <c r="E723">
        <v>12</v>
      </c>
      <c r="F723" t="s">
        <v>24</v>
      </c>
      <c r="G723">
        <f>1</f>
        <v>1</v>
      </c>
      <c r="H723" s="3">
        <v>1517.4</v>
      </c>
      <c r="I723" s="3">
        <v>1545.02</v>
      </c>
      <c r="J723" s="3">
        <f t="shared" si="78"/>
        <v>1498.6694</v>
      </c>
      <c r="K723" s="3">
        <f t="shared" si="79"/>
        <v>17984.032799999997</v>
      </c>
      <c r="L723" s="3">
        <f t="shared" si="82"/>
        <v>18208.800000000003</v>
      </c>
      <c r="M723" s="8">
        <f t="shared" si="83"/>
        <v>-224.76720000000569</v>
      </c>
      <c r="N723" s="4">
        <f t="shared" si="80"/>
        <v>-1.2498153361909223E-2</v>
      </c>
      <c r="O723" s="4" t="str">
        <f t="shared" si="81"/>
        <v>Loss</v>
      </c>
      <c r="P723" t="s">
        <v>28</v>
      </c>
      <c r="Q723">
        <v>0.03</v>
      </c>
      <c r="R723" t="s">
        <v>25</v>
      </c>
      <c r="S723" t="s">
        <v>20</v>
      </c>
      <c r="T723" t="s">
        <v>42</v>
      </c>
      <c r="U723" t="str">
        <f t="shared" si="84"/>
        <v>Low-Cost</v>
      </c>
    </row>
    <row r="724" spans="1:21" x14ac:dyDescent="0.3">
      <c r="A724">
        <v>1072</v>
      </c>
      <c r="B724" s="1">
        <v>45286</v>
      </c>
      <c r="C724" s="2" t="s">
        <v>31</v>
      </c>
      <c r="D724" t="s">
        <v>13</v>
      </c>
      <c r="E724">
        <v>23</v>
      </c>
      <c r="F724" t="s">
        <v>14</v>
      </c>
      <c r="G724">
        <f>1</f>
        <v>1</v>
      </c>
      <c r="H724" s="3">
        <v>1662.83</v>
      </c>
      <c r="I724" s="3">
        <v>2074.25</v>
      </c>
      <c r="J724" s="3">
        <f t="shared" si="78"/>
        <v>1825.34</v>
      </c>
      <c r="K724" s="3">
        <f t="shared" si="79"/>
        <v>41982.82</v>
      </c>
      <c r="L724" s="3">
        <f t="shared" si="82"/>
        <v>38245.089999999997</v>
      </c>
      <c r="M724" s="8">
        <f t="shared" si="83"/>
        <v>3737.7300000000032</v>
      </c>
      <c r="N724" s="4">
        <f t="shared" si="80"/>
        <v>8.9029988933568616E-2</v>
      </c>
      <c r="O724" s="4" t="str">
        <f t="shared" si="81"/>
        <v>Profit</v>
      </c>
      <c r="P724" t="s">
        <v>28</v>
      </c>
      <c r="Q724">
        <v>0.12</v>
      </c>
      <c r="R724" t="s">
        <v>25</v>
      </c>
      <c r="S724" t="s">
        <v>17</v>
      </c>
      <c r="T724" t="s">
        <v>51</v>
      </c>
      <c r="U724" t="str">
        <f t="shared" si="84"/>
        <v>Low-Cost</v>
      </c>
    </row>
    <row r="725" spans="1:21" x14ac:dyDescent="0.3">
      <c r="A725">
        <v>1073</v>
      </c>
      <c r="B725" s="1">
        <v>45261</v>
      </c>
      <c r="C725" s="2" t="s">
        <v>22</v>
      </c>
      <c r="D725" t="s">
        <v>19</v>
      </c>
      <c r="E725">
        <v>40</v>
      </c>
      <c r="F725" t="s">
        <v>14</v>
      </c>
      <c r="G725">
        <f>1</f>
        <v>1</v>
      </c>
      <c r="H725" s="3">
        <v>2565.3000000000002</v>
      </c>
      <c r="I725" s="3">
        <v>3007.47</v>
      </c>
      <c r="J725" s="3">
        <f t="shared" si="78"/>
        <v>2496.2000999999996</v>
      </c>
      <c r="K725" s="3">
        <f t="shared" si="79"/>
        <v>99848.003999999986</v>
      </c>
      <c r="L725" s="3">
        <f t="shared" si="82"/>
        <v>102612</v>
      </c>
      <c r="M725" s="8">
        <f t="shared" si="83"/>
        <v>-2763.9960000000137</v>
      </c>
      <c r="N725" s="4">
        <f t="shared" si="80"/>
        <v>-2.768203558681067E-2</v>
      </c>
      <c r="O725" s="4" t="str">
        <f t="shared" si="81"/>
        <v>Loss</v>
      </c>
      <c r="P725" t="s">
        <v>15</v>
      </c>
      <c r="Q725">
        <v>0.17</v>
      </c>
      <c r="R725" t="s">
        <v>29</v>
      </c>
      <c r="S725" t="s">
        <v>20</v>
      </c>
      <c r="T725" t="s">
        <v>45</v>
      </c>
      <c r="U725" t="str">
        <f t="shared" si="84"/>
        <v>High-Cost</v>
      </c>
    </row>
    <row r="726" spans="1:21" x14ac:dyDescent="0.3">
      <c r="A726">
        <v>1073</v>
      </c>
      <c r="B726" s="1">
        <v>45266</v>
      </c>
      <c r="C726" s="2" t="s">
        <v>40</v>
      </c>
      <c r="D726" t="s">
        <v>13</v>
      </c>
      <c r="E726">
        <v>31</v>
      </c>
      <c r="F726" t="s">
        <v>24</v>
      </c>
      <c r="G726">
        <f>1</f>
        <v>1</v>
      </c>
      <c r="H726" s="3">
        <v>4368.97</v>
      </c>
      <c r="I726" s="3">
        <v>4696.8500000000004</v>
      </c>
      <c r="J726" s="3">
        <f t="shared" si="78"/>
        <v>3522.6375000000003</v>
      </c>
      <c r="K726" s="3">
        <f t="shared" si="79"/>
        <v>109201.76250000001</v>
      </c>
      <c r="L726" s="3">
        <f t="shared" si="82"/>
        <v>135438.07</v>
      </c>
      <c r="M726" s="8">
        <f t="shared" si="83"/>
        <v>-26236.307499999995</v>
      </c>
      <c r="N726" s="4">
        <f t="shared" si="80"/>
        <v>-0.24025534844275057</v>
      </c>
      <c r="O726" s="4" t="str">
        <f t="shared" si="81"/>
        <v>Loss</v>
      </c>
      <c r="P726" t="s">
        <v>15</v>
      </c>
      <c r="Q726">
        <v>0.25</v>
      </c>
      <c r="R726" t="s">
        <v>25</v>
      </c>
      <c r="S726" t="s">
        <v>20</v>
      </c>
      <c r="T726" t="s">
        <v>47</v>
      </c>
      <c r="U726" t="str">
        <f t="shared" si="84"/>
        <v>High-Cost</v>
      </c>
    </row>
    <row r="727" spans="1:21" x14ac:dyDescent="0.3">
      <c r="A727">
        <v>1073</v>
      </c>
      <c r="B727" s="1">
        <v>45053</v>
      </c>
      <c r="C727" s="2" t="s">
        <v>22</v>
      </c>
      <c r="D727" t="s">
        <v>13</v>
      </c>
      <c r="E727">
        <v>29</v>
      </c>
      <c r="F727" t="s">
        <v>27</v>
      </c>
      <c r="G727">
        <f>1</f>
        <v>1</v>
      </c>
      <c r="H727" s="3">
        <v>2152.6799999999998</v>
      </c>
      <c r="I727" s="3">
        <v>2475.9299999999998</v>
      </c>
      <c r="J727" s="3">
        <f t="shared" si="78"/>
        <v>1931.2254</v>
      </c>
      <c r="K727" s="3">
        <f t="shared" si="79"/>
        <v>56005.536599999999</v>
      </c>
      <c r="L727" s="3">
        <f t="shared" si="82"/>
        <v>62427.719999999994</v>
      </c>
      <c r="M727" s="8">
        <f t="shared" si="83"/>
        <v>-6422.1833999999944</v>
      </c>
      <c r="N727" s="4">
        <f t="shared" si="80"/>
        <v>-0.11467050920104914</v>
      </c>
      <c r="O727" s="4" t="str">
        <f t="shared" si="81"/>
        <v>Loss</v>
      </c>
      <c r="P727" t="s">
        <v>15</v>
      </c>
      <c r="Q727">
        <v>0.22</v>
      </c>
      <c r="R727" t="s">
        <v>25</v>
      </c>
      <c r="S727" t="s">
        <v>17</v>
      </c>
      <c r="T727" t="s">
        <v>43</v>
      </c>
      <c r="U727" t="str">
        <f t="shared" si="84"/>
        <v>Low-Cost</v>
      </c>
    </row>
    <row r="728" spans="1:21" x14ac:dyDescent="0.3">
      <c r="A728">
        <v>1073</v>
      </c>
      <c r="B728" s="1">
        <v>45246</v>
      </c>
      <c r="C728" s="2" t="s">
        <v>22</v>
      </c>
      <c r="D728" t="s">
        <v>23</v>
      </c>
      <c r="E728">
        <v>48</v>
      </c>
      <c r="F728" t="s">
        <v>27</v>
      </c>
      <c r="G728">
        <f>1</f>
        <v>1</v>
      </c>
      <c r="H728" s="3">
        <v>2658.9</v>
      </c>
      <c r="I728" s="3">
        <v>2838.27</v>
      </c>
      <c r="J728" s="3">
        <f t="shared" si="78"/>
        <v>2128.7024999999999</v>
      </c>
      <c r="K728" s="3">
        <f t="shared" si="79"/>
        <v>102177.72</v>
      </c>
      <c r="L728" s="3">
        <f t="shared" si="82"/>
        <v>127627.20000000001</v>
      </c>
      <c r="M728" s="8">
        <f t="shared" si="83"/>
        <v>-25449.48000000001</v>
      </c>
      <c r="N728" s="4">
        <f t="shared" si="80"/>
        <v>-0.24907073675161287</v>
      </c>
      <c r="O728" s="4" t="str">
        <f t="shared" si="81"/>
        <v>Loss</v>
      </c>
      <c r="P728" t="s">
        <v>28</v>
      </c>
      <c r="Q728">
        <v>0.25</v>
      </c>
      <c r="R728" t="s">
        <v>29</v>
      </c>
      <c r="S728" t="s">
        <v>17</v>
      </c>
      <c r="T728" t="s">
        <v>26</v>
      </c>
      <c r="U728" t="str">
        <f t="shared" si="84"/>
        <v>High-Cost</v>
      </c>
    </row>
    <row r="729" spans="1:21" x14ac:dyDescent="0.3">
      <c r="A729">
        <v>1073</v>
      </c>
      <c r="B729" s="1">
        <v>45278</v>
      </c>
      <c r="C729" s="2" t="s">
        <v>36</v>
      </c>
      <c r="D729" t="s">
        <v>19</v>
      </c>
      <c r="E729">
        <v>40</v>
      </c>
      <c r="F729" t="s">
        <v>24</v>
      </c>
      <c r="G729">
        <f>1</f>
        <v>1</v>
      </c>
      <c r="H729" s="3">
        <v>157.15</v>
      </c>
      <c r="I729" s="3">
        <v>436.53</v>
      </c>
      <c r="J729" s="3">
        <f t="shared" si="78"/>
        <v>419.06879999999995</v>
      </c>
      <c r="K729" s="3">
        <f t="shared" si="79"/>
        <v>16762.751999999997</v>
      </c>
      <c r="L729" s="3">
        <f t="shared" si="82"/>
        <v>6286</v>
      </c>
      <c r="M729" s="8">
        <f t="shared" si="83"/>
        <v>10476.751999999997</v>
      </c>
      <c r="N729" s="4">
        <f t="shared" si="80"/>
        <v>0.62500190899441799</v>
      </c>
      <c r="O729" s="4" t="str">
        <f t="shared" si="81"/>
        <v>Profit</v>
      </c>
      <c r="P729" t="s">
        <v>28</v>
      </c>
      <c r="Q729">
        <v>0.04</v>
      </c>
      <c r="R729" t="s">
        <v>16</v>
      </c>
      <c r="S729" t="s">
        <v>20</v>
      </c>
      <c r="T729" t="s">
        <v>39</v>
      </c>
      <c r="U729" t="str">
        <f t="shared" si="84"/>
        <v>Low-Cost</v>
      </c>
    </row>
    <row r="730" spans="1:21" x14ac:dyDescent="0.3">
      <c r="A730">
        <v>1073</v>
      </c>
      <c r="B730" s="1">
        <v>45220</v>
      </c>
      <c r="C730" s="2" t="s">
        <v>40</v>
      </c>
      <c r="D730" t="s">
        <v>19</v>
      </c>
      <c r="E730">
        <v>45</v>
      </c>
      <c r="F730" t="s">
        <v>14</v>
      </c>
      <c r="G730">
        <f>1</f>
        <v>1</v>
      </c>
      <c r="H730" s="3">
        <v>2558.09</v>
      </c>
      <c r="I730" s="3">
        <v>2958.55</v>
      </c>
      <c r="J730" s="3">
        <f t="shared" si="78"/>
        <v>2721.8660000000004</v>
      </c>
      <c r="K730" s="3">
        <f t="shared" si="79"/>
        <v>122483.97</v>
      </c>
      <c r="L730" s="3">
        <f t="shared" si="82"/>
        <v>115114.05</v>
      </c>
      <c r="M730" s="8">
        <f t="shared" si="83"/>
        <v>7369.9199999999983</v>
      </c>
      <c r="N730" s="4">
        <f t="shared" si="80"/>
        <v>6.017048598277798E-2</v>
      </c>
      <c r="O730" s="4" t="str">
        <f t="shared" si="81"/>
        <v>Profit</v>
      </c>
      <c r="P730" t="s">
        <v>28</v>
      </c>
      <c r="Q730">
        <v>0.08</v>
      </c>
      <c r="R730" t="s">
        <v>16</v>
      </c>
      <c r="S730" t="s">
        <v>17</v>
      </c>
      <c r="T730" t="s">
        <v>49</v>
      </c>
      <c r="U730" t="str">
        <f t="shared" si="84"/>
        <v>High-Cost</v>
      </c>
    </row>
    <row r="731" spans="1:21" x14ac:dyDescent="0.3">
      <c r="A731">
        <v>1073</v>
      </c>
      <c r="B731" s="1">
        <v>45222</v>
      </c>
      <c r="C731" s="2" t="s">
        <v>31</v>
      </c>
      <c r="D731" t="s">
        <v>23</v>
      </c>
      <c r="E731">
        <v>45</v>
      </c>
      <c r="F731" t="s">
        <v>27</v>
      </c>
      <c r="G731">
        <f>1</f>
        <v>1</v>
      </c>
      <c r="H731" s="3">
        <v>4369.5</v>
      </c>
      <c r="I731" s="3">
        <v>4381.8900000000003</v>
      </c>
      <c r="J731" s="3">
        <f t="shared" si="78"/>
        <v>4294.2521999999999</v>
      </c>
      <c r="K731" s="3">
        <f t="shared" si="79"/>
        <v>193241.34900000002</v>
      </c>
      <c r="L731" s="3">
        <f t="shared" si="82"/>
        <v>196627.5</v>
      </c>
      <c r="M731" s="8">
        <f t="shared" si="83"/>
        <v>-3386.1509999999835</v>
      </c>
      <c r="N731" s="4">
        <f t="shared" si="80"/>
        <v>-1.7522911206752045E-2</v>
      </c>
      <c r="O731" s="4" t="str">
        <f t="shared" si="81"/>
        <v>Loss</v>
      </c>
      <c r="P731" t="s">
        <v>15</v>
      </c>
      <c r="Q731">
        <v>0.02</v>
      </c>
      <c r="R731" t="s">
        <v>29</v>
      </c>
      <c r="S731" t="s">
        <v>20</v>
      </c>
      <c r="T731" t="s">
        <v>42</v>
      </c>
      <c r="U731" t="str">
        <f t="shared" si="84"/>
        <v>High-Cost</v>
      </c>
    </row>
    <row r="732" spans="1:21" x14ac:dyDescent="0.3">
      <c r="A732">
        <v>1074</v>
      </c>
      <c r="B732" s="1">
        <v>44930</v>
      </c>
      <c r="C732" s="2" t="s">
        <v>36</v>
      </c>
      <c r="D732" t="s">
        <v>23</v>
      </c>
      <c r="E732">
        <v>38</v>
      </c>
      <c r="F732" t="s">
        <v>14</v>
      </c>
      <c r="G732">
        <f>1</f>
        <v>1</v>
      </c>
      <c r="H732" s="3">
        <v>1394.74</v>
      </c>
      <c r="I732" s="3">
        <v>1848.69</v>
      </c>
      <c r="J732" s="3">
        <f t="shared" si="78"/>
        <v>1848.69</v>
      </c>
      <c r="K732" s="3">
        <f t="shared" si="79"/>
        <v>70250.22</v>
      </c>
      <c r="L732" s="3">
        <f t="shared" si="82"/>
        <v>53000.12</v>
      </c>
      <c r="M732" s="8">
        <f t="shared" si="83"/>
        <v>17250.099999999999</v>
      </c>
      <c r="N732" s="4">
        <f t="shared" si="80"/>
        <v>0.24555225592176078</v>
      </c>
      <c r="O732" s="4" t="str">
        <f t="shared" si="81"/>
        <v>Profit</v>
      </c>
      <c r="P732" t="s">
        <v>15</v>
      </c>
      <c r="Q732">
        <v>0</v>
      </c>
      <c r="R732" t="s">
        <v>25</v>
      </c>
      <c r="S732" t="s">
        <v>20</v>
      </c>
      <c r="T732" t="s">
        <v>37</v>
      </c>
      <c r="U732" t="str">
        <f t="shared" si="84"/>
        <v>Low-Cost</v>
      </c>
    </row>
    <row r="733" spans="1:21" x14ac:dyDescent="0.3">
      <c r="A733">
        <v>1074</v>
      </c>
      <c r="B733" s="1">
        <v>45150</v>
      </c>
      <c r="C733" s="2" t="s">
        <v>12</v>
      </c>
      <c r="D733" t="s">
        <v>32</v>
      </c>
      <c r="E733">
        <v>2</v>
      </c>
      <c r="F733" t="s">
        <v>24</v>
      </c>
      <c r="G733">
        <f>1</f>
        <v>1</v>
      </c>
      <c r="H733" s="3">
        <v>2868.02</v>
      </c>
      <c r="I733" s="3">
        <v>2994.74</v>
      </c>
      <c r="J733" s="3">
        <f t="shared" si="78"/>
        <v>2455.6867999999999</v>
      </c>
      <c r="K733" s="3">
        <f t="shared" si="79"/>
        <v>4911.3735999999999</v>
      </c>
      <c r="L733" s="3">
        <f t="shared" si="82"/>
        <v>5736.04</v>
      </c>
      <c r="M733" s="8">
        <f t="shared" si="83"/>
        <v>-824.66640000000007</v>
      </c>
      <c r="N733" s="4">
        <f t="shared" si="80"/>
        <v>-0.16790952331543257</v>
      </c>
      <c r="O733" s="4" t="str">
        <f t="shared" si="81"/>
        <v>Loss</v>
      </c>
      <c r="P733" t="s">
        <v>15</v>
      </c>
      <c r="Q733">
        <v>0.18</v>
      </c>
      <c r="R733" t="s">
        <v>25</v>
      </c>
      <c r="S733" t="s">
        <v>17</v>
      </c>
      <c r="T733" t="s">
        <v>44</v>
      </c>
      <c r="U733" t="str">
        <f t="shared" si="84"/>
        <v>High-Cost</v>
      </c>
    </row>
    <row r="734" spans="1:21" x14ac:dyDescent="0.3">
      <c r="A734">
        <v>1074</v>
      </c>
      <c r="B734" s="1">
        <v>45183</v>
      </c>
      <c r="C734" s="2" t="s">
        <v>22</v>
      </c>
      <c r="D734" t="s">
        <v>23</v>
      </c>
      <c r="E734">
        <v>29</v>
      </c>
      <c r="F734" t="s">
        <v>14</v>
      </c>
      <c r="G734">
        <f>1</f>
        <v>1</v>
      </c>
      <c r="H734" s="3">
        <v>173.67</v>
      </c>
      <c r="I734" s="3">
        <v>565.62</v>
      </c>
      <c r="J734" s="3">
        <f t="shared" si="78"/>
        <v>395.93399999999997</v>
      </c>
      <c r="K734" s="3">
        <f t="shared" si="79"/>
        <v>11482.085999999999</v>
      </c>
      <c r="L734" s="3">
        <f t="shared" si="82"/>
        <v>5036.4299999999994</v>
      </c>
      <c r="M734" s="8">
        <f t="shared" si="83"/>
        <v>6445.6559999999999</v>
      </c>
      <c r="N734" s="4">
        <f t="shared" si="80"/>
        <v>0.56136628832078073</v>
      </c>
      <c r="O734" s="4" t="str">
        <f t="shared" si="81"/>
        <v>Profit</v>
      </c>
      <c r="P734" t="s">
        <v>15</v>
      </c>
      <c r="Q734">
        <v>0.3</v>
      </c>
      <c r="R734" t="s">
        <v>16</v>
      </c>
      <c r="S734" t="s">
        <v>17</v>
      </c>
      <c r="T734" t="s">
        <v>26</v>
      </c>
      <c r="U734" t="str">
        <f t="shared" si="84"/>
        <v>Low-Cost</v>
      </c>
    </row>
    <row r="735" spans="1:21" x14ac:dyDescent="0.3">
      <c r="A735">
        <v>1074</v>
      </c>
      <c r="B735" s="1">
        <v>44972</v>
      </c>
      <c r="C735" s="2" t="s">
        <v>40</v>
      </c>
      <c r="D735" t="s">
        <v>23</v>
      </c>
      <c r="E735">
        <v>31</v>
      </c>
      <c r="F735" t="s">
        <v>14</v>
      </c>
      <c r="G735">
        <f>1</f>
        <v>1</v>
      </c>
      <c r="H735" s="3">
        <v>1138.32</v>
      </c>
      <c r="I735" s="3">
        <v>1266.25</v>
      </c>
      <c r="J735" s="3">
        <f t="shared" si="78"/>
        <v>1088.9749999999999</v>
      </c>
      <c r="K735" s="3">
        <f t="shared" si="79"/>
        <v>33758.224999999999</v>
      </c>
      <c r="L735" s="3">
        <f t="shared" si="82"/>
        <v>35287.919999999998</v>
      </c>
      <c r="M735" s="8">
        <f t="shared" si="83"/>
        <v>-1529.6949999999997</v>
      </c>
      <c r="N735" s="4">
        <f t="shared" si="80"/>
        <v>-4.5313253288642982E-2</v>
      </c>
      <c r="O735" s="4" t="str">
        <f t="shared" si="81"/>
        <v>Loss</v>
      </c>
      <c r="P735" t="s">
        <v>15</v>
      </c>
      <c r="Q735">
        <v>0.14000000000000001</v>
      </c>
      <c r="R735" t="s">
        <v>16</v>
      </c>
      <c r="S735" t="s">
        <v>20</v>
      </c>
      <c r="T735" t="s">
        <v>41</v>
      </c>
      <c r="U735" t="str">
        <f t="shared" si="84"/>
        <v>Low-Cost</v>
      </c>
    </row>
    <row r="736" spans="1:21" x14ac:dyDescent="0.3">
      <c r="A736">
        <v>1074</v>
      </c>
      <c r="B736" s="1">
        <v>44972</v>
      </c>
      <c r="C736" s="2" t="s">
        <v>12</v>
      </c>
      <c r="D736" t="s">
        <v>19</v>
      </c>
      <c r="E736">
        <v>1</v>
      </c>
      <c r="F736" t="s">
        <v>14</v>
      </c>
      <c r="G736">
        <f>1</f>
        <v>1</v>
      </c>
      <c r="H736" s="3">
        <v>1304.23</v>
      </c>
      <c r="I736" s="3">
        <v>1705.71</v>
      </c>
      <c r="J736" s="3">
        <f t="shared" si="78"/>
        <v>1688.6529</v>
      </c>
      <c r="K736" s="3">
        <f t="shared" si="79"/>
        <v>1688.6529</v>
      </c>
      <c r="L736" s="3">
        <f t="shared" si="82"/>
        <v>1304.23</v>
      </c>
      <c r="M736" s="8">
        <f t="shared" si="83"/>
        <v>384.42290000000003</v>
      </c>
      <c r="N736" s="4">
        <f t="shared" si="80"/>
        <v>0.22765063205114563</v>
      </c>
      <c r="O736" s="4" t="str">
        <f t="shared" si="81"/>
        <v>Profit</v>
      </c>
      <c r="P736" t="s">
        <v>15</v>
      </c>
      <c r="Q736">
        <v>0.01</v>
      </c>
      <c r="R736" t="s">
        <v>16</v>
      </c>
      <c r="S736" t="s">
        <v>20</v>
      </c>
      <c r="T736" t="s">
        <v>21</v>
      </c>
      <c r="U736" t="str">
        <f t="shared" si="84"/>
        <v>Low-Cost</v>
      </c>
    </row>
    <row r="737" spans="1:21" x14ac:dyDescent="0.3">
      <c r="A737">
        <v>1074</v>
      </c>
      <c r="B737" s="1">
        <v>45153</v>
      </c>
      <c r="C737" s="2" t="s">
        <v>22</v>
      </c>
      <c r="D737" t="s">
        <v>19</v>
      </c>
      <c r="E737">
        <v>29</v>
      </c>
      <c r="F737" t="s">
        <v>14</v>
      </c>
      <c r="G737">
        <f>1</f>
        <v>1</v>
      </c>
      <c r="H737" s="3">
        <v>1723.01</v>
      </c>
      <c r="I737" s="3">
        <v>2197.42</v>
      </c>
      <c r="J737" s="3">
        <f t="shared" si="78"/>
        <v>2043.6006</v>
      </c>
      <c r="K737" s="3">
        <f t="shared" si="79"/>
        <v>59264.417399999998</v>
      </c>
      <c r="L737" s="3">
        <f t="shared" si="82"/>
        <v>49967.29</v>
      </c>
      <c r="M737" s="8">
        <f t="shared" si="83"/>
        <v>9297.1273999999976</v>
      </c>
      <c r="N737" s="4">
        <f t="shared" si="80"/>
        <v>0.15687536987413289</v>
      </c>
      <c r="O737" s="4" t="str">
        <f t="shared" si="81"/>
        <v>Profit</v>
      </c>
      <c r="P737" t="s">
        <v>28</v>
      </c>
      <c r="Q737">
        <v>7.0000000000000007E-2</v>
      </c>
      <c r="R737" t="s">
        <v>25</v>
      </c>
      <c r="S737" t="s">
        <v>20</v>
      </c>
      <c r="T737" t="s">
        <v>45</v>
      </c>
      <c r="U737" t="str">
        <f t="shared" si="84"/>
        <v>Low-Cost</v>
      </c>
    </row>
    <row r="738" spans="1:21" x14ac:dyDescent="0.3">
      <c r="A738">
        <v>1074</v>
      </c>
      <c r="B738" s="1">
        <v>45276</v>
      </c>
      <c r="C738" s="2" t="s">
        <v>12</v>
      </c>
      <c r="D738" t="s">
        <v>13</v>
      </c>
      <c r="E738">
        <v>19</v>
      </c>
      <c r="F738" t="s">
        <v>14</v>
      </c>
      <c r="G738">
        <f>1</f>
        <v>1</v>
      </c>
      <c r="H738" s="3">
        <v>278.67</v>
      </c>
      <c r="I738" s="3">
        <v>423.13</v>
      </c>
      <c r="J738" s="3">
        <f t="shared" si="78"/>
        <v>321.5788</v>
      </c>
      <c r="K738" s="3">
        <f t="shared" si="79"/>
        <v>6109.9972000000007</v>
      </c>
      <c r="L738" s="3">
        <f t="shared" si="82"/>
        <v>5294.7300000000005</v>
      </c>
      <c r="M738" s="8">
        <f t="shared" si="83"/>
        <v>815.26720000000023</v>
      </c>
      <c r="N738" s="4">
        <f t="shared" si="80"/>
        <v>0.1334316814416871</v>
      </c>
      <c r="O738" s="4" t="str">
        <f t="shared" si="81"/>
        <v>Profit</v>
      </c>
      <c r="P738" t="s">
        <v>28</v>
      </c>
      <c r="Q738">
        <v>0.24</v>
      </c>
      <c r="R738" t="s">
        <v>29</v>
      </c>
      <c r="S738" t="s">
        <v>17</v>
      </c>
      <c r="T738" t="s">
        <v>18</v>
      </c>
      <c r="U738" t="str">
        <f t="shared" si="84"/>
        <v>Low-Cost</v>
      </c>
    </row>
    <row r="739" spans="1:21" x14ac:dyDescent="0.3">
      <c r="A739">
        <v>1074</v>
      </c>
      <c r="B739" s="1">
        <v>45010</v>
      </c>
      <c r="C739" s="2" t="s">
        <v>36</v>
      </c>
      <c r="D739" t="s">
        <v>19</v>
      </c>
      <c r="E739">
        <v>38</v>
      </c>
      <c r="F739" t="s">
        <v>24</v>
      </c>
      <c r="G739">
        <f>1</f>
        <v>1</v>
      </c>
      <c r="H739" s="3">
        <v>2610.6</v>
      </c>
      <c r="I739" s="3">
        <v>2836.94</v>
      </c>
      <c r="J739" s="3">
        <f t="shared" si="78"/>
        <v>2297.9214000000002</v>
      </c>
      <c r="K739" s="3">
        <f t="shared" si="79"/>
        <v>87321.013200000001</v>
      </c>
      <c r="L739" s="3">
        <f t="shared" si="82"/>
        <v>99202.8</v>
      </c>
      <c r="M739" s="8">
        <f t="shared" si="83"/>
        <v>-11881.786800000002</v>
      </c>
      <c r="N739" s="4">
        <f t="shared" si="80"/>
        <v>-0.13607018934590193</v>
      </c>
      <c r="O739" s="4" t="str">
        <f t="shared" si="81"/>
        <v>Loss</v>
      </c>
      <c r="P739" t="s">
        <v>15</v>
      </c>
      <c r="Q739">
        <v>0.19</v>
      </c>
      <c r="R739" t="s">
        <v>29</v>
      </c>
      <c r="S739" t="s">
        <v>17</v>
      </c>
      <c r="T739" t="s">
        <v>39</v>
      </c>
      <c r="U739" t="str">
        <f t="shared" si="84"/>
        <v>High-Cost</v>
      </c>
    </row>
    <row r="740" spans="1:21" x14ac:dyDescent="0.3">
      <c r="A740">
        <v>1074</v>
      </c>
      <c r="B740" s="1">
        <v>45255</v>
      </c>
      <c r="C740" s="2" t="s">
        <v>36</v>
      </c>
      <c r="D740" t="s">
        <v>13</v>
      </c>
      <c r="E740">
        <v>42</v>
      </c>
      <c r="F740" t="s">
        <v>14</v>
      </c>
      <c r="G740">
        <f>1</f>
        <v>1</v>
      </c>
      <c r="H740" s="3">
        <v>2120.81</v>
      </c>
      <c r="I740" s="3">
        <v>2611.94</v>
      </c>
      <c r="J740" s="3">
        <f t="shared" si="78"/>
        <v>2011.1938</v>
      </c>
      <c r="K740" s="3">
        <f t="shared" si="79"/>
        <v>84470.139599999995</v>
      </c>
      <c r="L740" s="3">
        <f t="shared" si="82"/>
        <v>89074.02</v>
      </c>
      <c r="M740" s="8">
        <f t="shared" si="83"/>
        <v>-4603.8804000000091</v>
      </c>
      <c r="N740" s="4">
        <f t="shared" si="80"/>
        <v>-5.4503051868994533E-2</v>
      </c>
      <c r="O740" s="4" t="str">
        <f t="shared" si="81"/>
        <v>Loss</v>
      </c>
      <c r="P740" t="s">
        <v>15</v>
      </c>
      <c r="Q740">
        <v>0.23</v>
      </c>
      <c r="R740" t="s">
        <v>16</v>
      </c>
      <c r="S740" t="s">
        <v>17</v>
      </c>
      <c r="T740" t="s">
        <v>38</v>
      </c>
      <c r="U740" t="str">
        <f t="shared" si="84"/>
        <v>Low-Cost</v>
      </c>
    </row>
    <row r="741" spans="1:21" x14ac:dyDescent="0.3">
      <c r="A741">
        <v>1074</v>
      </c>
      <c r="B741" s="1">
        <v>45073</v>
      </c>
      <c r="C741" s="2" t="s">
        <v>36</v>
      </c>
      <c r="D741" t="s">
        <v>19</v>
      </c>
      <c r="E741">
        <v>2</v>
      </c>
      <c r="F741" t="s">
        <v>24</v>
      </c>
      <c r="G741">
        <f>1</f>
        <v>1</v>
      </c>
      <c r="H741" s="3">
        <v>3173.69</v>
      </c>
      <c r="I741" s="3">
        <v>3503.11</v>
      </c>
      <c r="J741" s="3">
        <f t="shared" si="78"/>
        <v>2802.4880000000003</v>
      </c>
      <c r="K741" s="3">
        <f t="shared" si="79"/>
        <v>5604.9760000000006</v>
      </c>
      <c r="L741" s="3">
        <f t="shared" si="82"/>
        <v>6347.38</v>
      </c>
      <c r="M741" s="8">
        <f t="shared" si="83"/>
        <v>-742.40399999999954</v>
      </c>
      <c r="N741" s="4">
        <f t="shared" si="80"/>
        <v>-0.13245444761940095</v>
      </c>
      <c r="O741" s="4" t="str">
        <f t="shared" si="81"/>
        <v>Loss</v>
      </c>
      <c r="P741" t="s">
        <v>28</v>
      </c>
      <c r="Q741">
        <v>0.2</v>
      </c>
      <c r="R741" t="s">
        <v>25</v>
      </c>
      <c r="S741" t="s">
        <v>20</v>
      </c>
      <c r="T741" t="s">
        <v>39</v>
      </c>
      <c r="U741" t="str">
        <f t="shared" si="84"/>
        <v>High-Cost</v>
      </c>
    </row>
    <row r="742" spans="1:21" x14ac:dyDescent="0.3">
      <c r="A742">
        <v>1075</v>
      </c>
      <c r="B742" s="1">
        <v>44928</v>
      </c>
      <c r="C742" s="2" t="s">
        <v>22</v>
      </c>
      <c r="D742" t="s">
        <v>19</v>
      </c>
      <c r="E742">
        <v>26</v>
      </c>
      <c r="F742" t="s">
        <v>33</v>
      </c>
      <c r="G742">
        <f>1</f>
        <v>1</v>
      </c>
      <c r="H742" s="3">
        <v>4535.38</v>
      </c>
      <c r="I742" s="3">
        <v>4557.5600000000004</v>
      </c>
      <c r="J742" s="3">
        <f t="shared" si="78"/>
        <v>4557.5600000000004</v>
      </c>
      <c r="K742" s="3">
        <f t="shared" si="79"/>
        <v>118496.56000000001</v>
      </c>
      <c r="L742" s="3">
        <f t="shared" si="82"/>
        <v>117919.88</v>
      </c>
      <c r="M742" s="8">
        <f t="shared" si="83"/>
        <v>576.68000000000757</v>
      </c>
      <c r="N742" s="4">
        <f t="shared" si="80"/>
        <v>4.8666391665716496E-3</v>
      </c>
      <c r="O742" s="4" t="str">
        <f t="shared" si="81"/>
        <v>Profit</v>
      </c>
      <c r="P742" t="s">
        <v>28</v>
      </c>
      <c r="Q742">
        <v>0</v>
      </c>
      <c r="R742" t="s">
        <v>29</v>
      </c>
      <c r="S742" t="s">
        <v>17</v>
      </c>
      <c r="T742" t="s">
        <v>45</v>
      </c>
      <c r="U742" t="str">
        <f t="shared" si="84"/>
        <v>High-Cost</v>
      </c>
    </row>
    <row r="743" spans="1:21" x14ac:dyDescent="0.3">
      <c r="A743">
        <v>1075</v>
      </c>
      <c r="B743" s="1">
        <v>45235</v>
      </c>
      <c r="C743" s="2" t="s">
        <v>12</v>
      </c>
      <c r="D743" t="s">
        <v>32</v>
      </c>
      <c r="E743">
        <v>37</v>
      </c>
      <c r="F743" t="s">
        <v>24</v>
      </c>
      <c r="G743">
        <f>1</f>
        <v>1</v>
      </c>
      <c r="H743" s="3">
        <v>1675.51</v>
      </c>
      <c r="I743" s="3">
        <v>1906.64</v>
      </c>
      <c r="J743" s="3">
        <f t="shared" si="78"/>
        <v>1658.7768000000001</v>
      </c>
      <c r="K743" s="3">
        <f t="shared" si="79"/>
        <v>61374.741600000008</v>
      </c>
      <c r="L743" s="3">
        <f t="shared" si="82"/>
        <v>61993.87</v>
      </c>
      <c r="M743" s="8">
        <f t="shared" si="83"/>
        <v>-619.12839999999414</v>
      </c>
      <c r="N743" s="4">
        <f t="shared" si="80"/>
        <v>-1.0087674242851624E-2</v>
      </c>
      <c r="O743" s="4" t="str">
        <f t="shared" si="81"/>
        <v>Loss</v>
      </c>
      <c r="P743" t="s">
        <v>28</v>
      </c>
      <c r="Q743">
        <v>0.13</v>
      </c>
      <c r="R743" t="s">
        <v>25</v>
      </c>
      <c r="S743" t="s">
        <v>17</v>
      </c>
      <c r="T743" t="s">
        <v>44</v>
      </c>
      <c r="U743" t="str">
        <f t="shared" si="84"/>
        <v>Low-Cost</v>
      </c>
    </row>
    <row r="744" spans="1:21" x14ac:dyDescent="0.3">
      <c r="A744">
        <v>1075</v>
      </c>
      <c r="B744" s="1">
        <v>45208</v>
      </c>
      <c r="C744" s="2" t="s">
        <v>31</v>
      </c>
      <c r="D744" t="s">
        <v>19</v>
      </c>
      <c r="E744">
        <v>18</v>
      </c>
      <c r="F744" t="s">
        <v>27</v>
      </c>
      <c r="G744">
        <f>1</f>
        <v>1</v>
      </c>
      <c r="H744" s="3">
        <v>2228.35</v>
      </c>
      <c r="I744" s="3">
        <v>2682.34</v>
      </c>
      <c r="J744" s="3">
        <f t="shared" si="78"/>
        <v>2333.6358</v>
      </c>
      <c r="K744" s="3">
        <f t="shared" si="79"/>
        <v>42005.4444</v>
      </c>
      <c r="L744" s="3">
        <f t="shared" si="82"/>
        <v>40110.299999999996</v>
      </c>
      <c r="M744" s="8">
        <f t="shared" si="83"/>
        <v>1895.1444000000047</v>
      </c>
      <c r="N744" s="4">
        <f t="shared" si="80"/>
        <v>4.5116637309043792E-2</v>
      </c>
      <c r="O744" s="4" t="str">
        <f t="shared" si="81"/>
        <v>Profit</v>
      </c>
      <c r="P744" t="s">
        <v>28</v>
      </c>
      <c r="Q744">
        <v>0.13</v>
      </c>
      <c r="R744" t="s">
        <v>25</v>
      </c>
      <c r="S744" t="s">
        <v>17</v>
      </c>
      <c r="T744" t="s">
        <v>35</v>
      </c>
      <c r="U744" t="str">
        <f t="shared" si="84"/>
        <v>Low-Cost</v>
      </c>
    </row>
    <row r="745" spans="1:21" x14ac:dyDescent="0.3">
      <c r="A745">
        <v>1075</v>
      </c>
      <c r="B745" s="1">
        <v>45148</v>
      </c>
      <c r="C745" s="2" t="s">
        <v>31</v>
      </c>
      <c r="D745" t="s">
        <v>13</v>
      </c>
      <c r="E745">
        <v>17</v>
      </c>
      <c r="F745" t="s">
        <v>33</v>
      </c>
      <c r="G745">
        <f>1</f>
        <v>1</v>
      </c>
      <c r="H745" s="3">
        <v>4966.66</v>
      </c>
      <c r="I745" s="3">
        <v>5037.2700000000004</v>
      </c>
      <c r="J745" s="3">
        <f t="shared" si="78"/>
        <v>3828.3252000000002</v>
      </c>
      <c r="K745" s="3">
        <f t="shared" si="79"/>
        <v>65081.52840000001</v>
      </c>
      <c r="L745" s="3">
        <f t="shared" si="82"/>
        <v>84433.22</v>
      </c>
      <c r="M745" s="8">
        <f t="shared" si="83"/>
        <v>-19351.691599999991</v>
      </c>
      <c r="N745" s="4">
        <f t="shared" si="80"/>
        <v>-0.29734537703327796</v>
      </c>
      <c r="O745" s="4" t="str">
        <f t="shared" si="81"/>
        <v>Loss</v>
      </c>
      <c r="P745" t="s">
        <v>15</v>
      </c>
      <c r="Q745">
        <v>0.24</v>
      </c>
      <c r="R745" t="s">
        <v>25</v>
      </c>
      <c r="S745" t="s">
        <v>20</v>
      </c>
      <c r="T745" t="s">
        <v>51</v>
      </c>
      <c r="U745" t="str">
        <f t="shared" si="84"/>
        <v>High-Cost</v>
      </c>
    </row>
    <row r="746" spans="1:21" x14ac:dyDescent="0.3">
      <c r="A746">
        <v>1075</v>
      </c>
      <c r="B746" s="1">
        <v>45150</v>
      </c>
      <c r="C746" s="2" t="s">
        <v>22</v>
      </c>
      <c r="D746" t="s">
        <v>32</v>
      </c>
      <c r="E746">
        <v>14</v>
      </c>
      <c r="F746" t="s">
        <v>14</v>
      </c>
      <c r="G746">
        <f>1</f>
        <v>1</v>
      </c>
      <c r="H746" s="3">
        <v>1612.93</v>
      </c>
      <c r="I746" s="3">
        <v>1964.15</v>
      </c>
      <c r="J746" s="3">
        <f t="shared" si="78"/>
        <v>1492.7540000000001</v>
      </c>
      <c r="K746" s="3">
        <f t="shared" si="79"/>
        <v>20898.556</v>
      </c>
      <c r="L746" s="3">
        <f t="shared" si="82"/>
        <v>22581.02</v>
      </c>
      <c r="M746" s="8">
        <f t="shared" si="83"/>
        <v>-1682.4639999999999</v>
      </c>
      <c r="N746" s="4">
        <f t="shared" si="80"/>
        <v>-8.0506232105222952E-2</v>
      </c>
      <c r="O746" s="4" t="str">
        <f t="shared" si="81"/>
        <v>Loss</v>
      </c>
      <c r="P746" t="s">
        <v>15</v>
      </c>
      <c r="Q746">
        <v>0.24</v>
      </c>
      <c r="R746" t="s">
        <v>25</v>
      </c>
      <c r="S746" t="s">
        <v>20</v>
      </c>
      <c r="T746" t="s">
        <v>48</v>
      </c>
      <c r="U746" t="str">
        <f t="shared" si="84"/>
        <v>Low-Cost</v>
      </c>
    </row>
    <row r="747" spans="1:21" x14ac:dyDescent="0.3">
      <c r="A747">
        <v>1075</v>
      </c>
      <c r="B747" s="1">
        <v>45059</v>
      </c>
      <c r="C747" s="2" t="s">
        <v>12</v>
      </c>
      <c r="D747" t="s">
        <v>32</v>
      </c>
      <c r="E747">
        <v>36</v>
      </c>
      <c r="F747" t="s">
        <v>27</v>
      </c>
      <c r="G747">
        <f>1</f>
        <v>1</v>
      </c>
      <c r="H747" s="3">
        <v>4337.6099999999997</v>
      </c>
      <c r="I747" s="3">
        <v>4386.82</v>
      </c>
      <c r="J747" s="3">
        <f t="shared" si="78"/>
        <v>3377.8514</v>
      </c>
      <c r="K747" s="3">
        <f t="shared" si="79"/>
        <v>121602.6504</v>
      </c>
      <c r="L747" s="3">
        <f t="shared" si="82"/>
        <v>156153.96</v>
      </c>
      <c r="M747" s="8">
        <f t="shared" si="83"/>
        <v>-34551.309599999993</v>
      </c>
      <c r="N747" s="4">
        <f t="shared" si="80"/>
        <v>-0.28413286623561945</v>
      </c>
      <c r="O747" s="4" t="str">
        <f t="shared" si="81"/>
        <v>Loss</v>
      </c>
      <c r="P747" t="s">
        <v>15</v>
      </c>
      <c r="Q747">
        <v>0.23</v>
      </c>
      <c r="R747" t="s">
        <v>29</v>
      </c>
      <c r="S747" t="s">
        <v>17</v>
      </c>
      <c r="T747" t="s">
        <v>44</v>
      </c>
      <c r="U747" t="str">
        <f t="shared" si="84"/>
        <v>High-Cost</v>
      </c>
    </row>
    <row r="748" spans="1:21" x14ac:dyDescent="0.3">
      <c r="A748">
        <v>1075</v>
      </c>
      <c r="B748" s="1">
        <v>45092</v>
      </c>
      <c r="C748" s="2" t="s">
        <v>36</v>
      </c>
      <c r="D748" t="s">
        <v>13</v>
      </c>
      <c r="E748">
        <v>26</v>
      </c>
      <c r="F748" t="s">
        <v>14</v>
      </c>
      <c r="G748">
        <f>1</f>
        <v>1</v>
      </c>
      <c r="H748" s="3">
        <v>1749.34</v>
      </c>
      <c r="I748" s="3">
        <v>1935.25</v>
      </c>
      <c r="J748" s="3">
        <f t="shared" si="78"/>
        <v>1664.3150000000001</v>
      </c>
      <c r="K748" s="3">
        <f t="shared" si="79"/>
        <v>43272.19</v>
      </c>
      <c r="L748" s="3">
        <f t="shared" si="82"/>
        <v>45482.84</v>
      </c>
      <c r="M748" s="8">
        <f t="shared" si="83"/>
        <v>-2210.6499999999942</v>
      </c>
      <c r="N748" s="4">
        <f t="shared" si="80"/>
        <v>-5.108708387534798E-2</v>
      </c>
      <c r="O748" s="4" t="str">
        <f t="shared" si="81"/>
        <v>Loss</v>
      </c>
      <c r="P748" t="s">
        <v>28</v>
      </c>
      <c r="Q748">
        <v>0.14000000000000001</v>
      </c>
      <c r="R748" t="s">
        <v>29</v>
      </c>
      <c r="S748" t="s">
        <v>17</v>
      </c>
      <c r="T748" t="s">
        <v>38</v>
      </c>
      <c r="U748" t="str">
        <f t="shared" si="84"/>
        <v>Low-Cost</v>
      </c>
    </row>
    <row r="749" spans="1:21" x14ac:dyDescent="0.3">
      <c r="A749">
        <v>1075</v>
      </c>
      <c r="B749" s="1">
        <v>45153</v>
      </c>
      <c r="C749" s="2" t="s">
        <v>31</v>
      </c>
      <c r="D749" t="s">
        <v>13</v>
      </c>
      <c r="E749">
        <v>28</v>
      </c>
      <c r="F749" t="s">
        <v>27</v>
      </c>
      <c r="G749">
        <f>1</f>
        <v>1</v>
      </c>
      <c r="H749" s="3">
        <v>2570.2199999999998</v>
      </c>
      <c r="I749" s="3">
        <v>2610.84</v>
      </c>
      <c r="J749" s="3">
        <f t="shared" si="78"/>
        <v>1905.9132</v>
      </c>
      <c r="K749" s="3">
        <f t="shared" si="79"/>
        <v>53365.569600000003</v>
      </c>
      <c r="L749" s="3">
        <f t="shared" si="82"/>
        <v>71966.159999999989</v>
      </c>
      <c r="M749" s="8">
        <f t="shared" si="83"/>
        <v>-18600.590399999986</v>
      </c>
      <c r="N749" s="4">
        <f t="shared" si="80"/>
        <v>-0.34855039568433627</v>
      </c>
      <c r="O749" s="4" t="str">
        <f t="shared" si="81"/>
        <v>Loss</v>
      </c>
      <c r="P749" t="s">
        <v>15</v>
      </c>
      <c r="Q749">
        <v>0.27</v>
      </c>
      <c r="R749" t="s">
        <v>25</v>
      </c>
      <c r="S749" t="s">
        <v>20</v>
      </c>
      <c r="T749" t="s">
        <v>51</v>
      </c>
      <c r="U749" t="str">
        <f t="shared" si="84"/>
        <v>Low-Cost</v>
      </c>
    </row>
    <row r="750" spans="1:21" x14ac:dyDescent="0.3">
      <c r="A750">
        <v>1075</v>
      </c>
      <c r="B750" s="1">
        <v>45162</v>
      </c>
      <c r="C750" s="2" t="s">
        <v>31</v>
      </c>
      <c r="D750" t="s">
        <v>19</v>
      </c>
      <c r="E750">
        <v>42</v>
      </c>
      <c r="F750" t="s">
        <v>27</v>
      </c>
      <c r="G750">
        <f>1</f>
        <v>1</v>
      </c>
      <c r="H750" s="3">
        <v>967.77</v>
      </c>
      <c r="I750" s="3">
        <v>1414.88</v>
      </c>
      <c r="J750" s="3">
        <f t="shared" si="78"/>
        <v>1174.3504</v>
      </c>
      <c r="K750" s="3">
        <f t="shared" si="79"/>
        <v>49322.716800000002</v>
      </c>
      <c r="L750" s="3">
        <f t="shared" si="82"/>
        <v>40646.339999999997</v>
      </c>
      <c r="M750" s="8">
        <f t="shared" si="83"/>
        <v>8676.3768000000055</v>
      </c>
      <c r="N750" s="4">
        <f t="shared" si="80"/>
        <v>0.17591035861187609</v>
      </c>
      <c r="O750" s="4" t="str">
        <f t="shared" si="81"/>
        <v>Profit</v>
      </c>
      <c r="P750" t="s">
        <v>28</v>
      </c>
      <c r="Q750">
        <v>0.17</v>
      </c>
      <c r="R750" t="s">
        <v>25</v>
      </c>
      <c r="S750" t="s">
        <v>17</v>
      </c>
      <c r="T750" t="s">
        <v>35</v>
      </c>
      <c r="U750" t="str">
        <f t="shared" si="84"/>
        <v>Low-Cost</v>
      </c>
    </row>
    <row r="751" spans="1:21" x14ac:dyDescent="0.3">
      <c r="A751">
        <v>1075</v>
      </c>
      <c r="B751" s="1">
        <v>45041</v>
      </c>
      <c r="C751" s="2" t="s">
        <v>22</v>
      </c>
      <c r="D751" t="s">
        <v>19</v>
      </c>
      <c r="E751">
        <v>44</v>
      </c>
      <c r="F751" t="s">
        <v>14</v>
      </c>
      <c r="G751">
        <f>1</f>
        <v>1</v>
      </c>
      <c r="H751" s="3">
        <v>3519.29</v>
      </c>
      <c r="I751" s="3">
        <v>3822.98</v>
      </c>
      <c r="J751" s="3">
        <f t="shared" si="78"/>
        <v>2790.7754</v>
      </c>
      <c r="K751" s="3">
        <f t="shared" si="79"/>
        <v>122794.1176</v>
      </c>
      <c r="L751" s="3">
        <f t="shared" si="82"/>
        <v>154848.76</v>
      </c>
      <c r="M751" s="8">
        <f t="shared" si="83"/>
        <v>-32054.642400000012</v>
      </c>
      <c r="N751" s="4">
        <f t="shared" si="80"/>
        <v>-0.26104379449525039</v>
      </c>
      <c r="O751" s="4" t="str">
        <f t="shared" si="81"/>
        <v>Loss</v>
      </c>
      <c r="P751" t="s">
        <v>15</v>
      </c>
      <c r="Q751">
        <v>0.27</v>
      </c>
      <c r="R751" t="s">
        <v>25</v>
      </c>
      <c r="S751" t="s">
        <v>17</v>
      </c>
      <c r="T751" t="s">
        <v>45</v>
      </c>
      <c r="U751" t="str">
        <f t="shared" si="84"/>
        <v>High-Cost</v>
      </c>
    </row>
    <row r="752" spans="1:21" x14ac:dyDescent="0.3">
      <c r="A752">
        <v>1075</v>
      </c>
      <c r="B752" s="1">
        <v>45042</v>
      </c>
      <c r="C752" s="2" t="s">
        <v>22</v>
      </c>
      <c r="D752" t="s">
        <v>23</v>
      </c>
      <c r="E752">
        <v>37</v>
      </c>
      <c r="F752" t="s">
        <v>33</v>
      </c>
      <c r="G752">
        <f>1</f>
        <v>1</v>
      </c>
      <c r="H752" s="3">
        <v>4399.8</v>
      </c>
      <c r="I752" s="3">
        <v>4801.0600000000004</v>
      </c>
      <c r="J752" s="3">
        <f t="shared" si="78"/>
        <v>4176.9222</v>
      </c>
      <c r="K752" s="3">
        <f t="shared" si="79"/>
        <v>154546.1214</v>
      </c>
      <c r="L752" s="3">
        <f t="shared" si="82"/>
        <v>162792.6</v>
      </c>
      <c r="M752" s="8">
        <f t="shared" si="83"/>
        <v>-8246.4786000000022</v>
      </c>
      <c r="N752" s="4">
        <f t="shared" si="80"/>
        <v>-5.335933716936362E-2</v>
      </c>
      <c r="O752" s="4" t="str">
        <f t="shared" si="81"/>
        <v>Loss</v>
      </c>
      <c r="P752" t="s">
        <v>28</v>
      </c>
      <c r="Q752">
        <v>0.13</v>
      </c>
      <c r="R752" t="s">
        <v>25</v>
      </c>
      <c r="S752" t="s">
        <v>20</v>
      </c>
      <c r="T752" t="s">
        <v>26</v>
      </c>
      <c r="U752" t="str">
        <f t="shared" si="84"/>
        <v>High-Cost</v>
      </c>
    </row>
    <row r="753" spans="1:21" x14ac:dyDescent="0.3">
      <c r="A753">
        <v>1075</v>
      </c>
      <c r="B753" s="1">
        <v>45106</v>
      </c>
      <c r="C753" s="2" t="s">
        <v>22</v>
      </c>
      <c r="D753" t="s">
        <v>23</v>
      </c>
      <c r="E753">
        <v>30</v>
      </c>
      <c r="F753" t="s">
        <v>14</v>
      </c>
      <c r="G753">
        <f>1</f>
        <v>1</v>
      </c>
      <c r="H753" s="3">
        <v>738.06</v>
      </c>
      <c r="I753" s="3">
        <v>1095.45</v>
      </c>
      <c r="J753" s="3">
        <f t="shared" si="78"/>
        <v>1040.6775</v>
      </c>
      <c r="K753" s="3">
        <f t="shared" si="79"/>
        <v>31220.324999999997</v>
      </c>
      <c r="L753" s="3">
        <f t="shared" si="82"/>
        <v>22141.8</v>
      </c>
      <c r="M753" s="8">
        <f t="shared" si="83"/>
        <v>9078.5249999999978</v>
      </c>
      <c r="N753" s="4">
        <f t="shared" si="80"/>
        <v>0.29078893317093907</v>
      </c>
      <c r="O753" s="4" t="str">
        <f t="shared" si="81"/>
        <v>Profit</v>
      </c>
      <c r="P753" t="s">
        <v>28</v>
      </c>
      <c r="Q753">
        <v>0.05</v>
      </c>
      <c r="R753" t="s">
        <v>25</v>
      </c>
      <c r="S753" t="s">
        <v>17</v>
      </c>
      <c r="T753" t="s">
        <v>26</v>
      </c>
      <c r="U753" t="str">
        <f t="shared" si="84"/>
        <v>Low-Cost</v>
      </c>
    </row>
    <row r="754" spans="1:21" x14ac:dyDescent="0.3">
      <c r="A754">
        <v>1076</v>
      </c>
      <c r="B754" s="1">
        <v>44970</v>
      </c>
      <c r="C754" s="2" t="s">
        <v>36</v>
      </c>
      <c r="D754" t="s">
        <v>13</v>
      </c>
      <c r="E754">
        <v>17</v>
      </c>
      <c r="F754" t="s">
        <v>27</v>
      </c>
      <c r="G754">
        <f>1</f>
        <v>1</v>
      </c>
      <c r="H754" s="3">
        <v>604.08000000000004</v>
      </c>
      <c r="I754" s="3">
        <v>624.71</v>
      </c>
      <c r="J754" s="3">
        <f t="shared" si="78"/>
        <v>537.25060000000008</v>
      </c>
      <c r="K754" s="3">
        <f t="shared" si="79"/>
        <v>9133.2601999999988</v>
      </c>
      <c r="L754" s="3">
        <f t="shared" si="82"/>
        <v>10269.36</v>
      </c>
      <c r="M754" s="8">
        <f t="shared" si="83"/>
        <v>-1136.0998000000018</v>
      </c>
      <c r="N754" s="4">
        <f t="shared" si="80"/>
        <v>-0.12439148509094287</v>
      </c>
      <c r="O754" s="4" t="str">
        <f t="shared" si="81"/>
        <v>Loss</v>
      </c>
      <c r="P754" t="s">
        <v>28</v>
      </c>
      <c r="Q754">
        <v>0.14000000000000001</v>
      </c>
      <c r="R754" t="s">
        <v>25</v>
      </c>
      <c r="S754" t="s">
        <v>20</v>
      </c>
      <c r="T754" t="s">
        <v>38</v>
      </c>
      <c r="U754" t="str">
        <f t="shared" si="84"/>
        <v>Low-Cost</v>
      </c>
    </row>
    <row r="755" spans="1:21" x14ac:dyDescent="0.3">
      <c r="A755">
        <v>1076</v>
      </c>
      <c r="B755" s="1">
        <v>45213</v>
      </c>
      <c r="C755" s="2" t="s">
        <v>31</v>
      </c>
      <c r="D755" t="s">
        <v>23</v>
      </c>
      <c r="E755">
        <v>23</v>
      </c>
      <c r="F755" t="s">
        <v>24</v>
      </c>
      <c r="G755">
        <f>1</f>
        <v>1</v>
      </c>
      <c r="H755" s="3">
        <v>1727.78</v>
      </c>
      <c r="I755" s="3">
        <v>1984.34</v>
      </c>
      <c r="J755" s="3">
        <f t="shared" si="78"/>
        <v>1508.0983999999999</v>
      </c>
      <c r="K755" s="3">
        <f t="shared" si="79"/>
        <v>34686.263200000001</v>
      </c>
      <c r="L755" s="3">
        <f t="shared" si="82"/>
        <v>39738.94</v>
      </c>
      <c r="M755" s="8">
        <f t="shared" si="83"/>
        <v>-5052.6768000000011</v>
      </c>
      <c r="N755" s="4">
        <f t="shared" si="80"/>
        <v>-0.14566794845747469</v>
      </c>
      <c r="O755" s="4" t="str">
        <f t="shared" si="81"/>
        <v>Loss</v>
      </c>
      <c r="P755" t="s">
        <v>15</v>
      </c>
      <c r="Q755">
        <v>0.24</v>
      </c>
      <c r="R755" t="s">
        <v>25</v>
      </c>
      <c r="S755" t="s">
        <v>17</v>
      </c>
      <c r="T755" t="s">
        <v>42</v>
      </c>
      <c r="U755" t="str">
        <f t="shared" si="84"/>
        <v>Low-Cost</v>
      </c>
    </row>
    <row r="756" spans="1:21" x14ac:dyDescent="0.3">
      <c r="A756">
        <v>1076</v>
      </c>
      <c r="B756" s="1">
        <v>45275</v>
      </c>
      <c r="C756" s="2" t="s">
        <v>12</v>
      </c>
      <c r="D756" t="s">
        <v>19</v>
      </c>
      <c r="E756">
        <v>32</v>
      </c>
      <c r="F756" t="s">
        <v>24</v>
      </c>
      <c r="G756">
        <f>1</f>
        <v>1</v>
      </c>
      <c r="H756" s="3">
        <v>2636.36</v>
      </c>
      <c r="I756" s="3">
        <v>2696.78</v>
      </c>
      <c r="J756" s="3">
        <f t="shared" si="78"/>
        <v>2454.0698000000002</v>
      </c>
      <c r="K756" s="3">
        <f t="shared" si="79"/>
        <v>78530.233600000007</v>
      </c>
      <c r="L756" s="3">
        <f t="shared" si="82"/>
        <v>84363.520000000004</v>
      </c>
      <c r="M756" s="8">
        <f t="shared" si="83"/>
        <v>-5833.2863999999972</v>
      </c>
      <c r="N756" s="4">
        <f t="shared" si="80"/>
        <v>-7.4280772290991851E-2</v>
      </c>
      <c r="O756" s="4" t="str">
        <f t="shared" si="81"/>
        <v>Loss</v>
      </c>
      <c r="P756" t="s">
        <v>28</v>
      </c>
      <c r="Q756">
        <v>0.09</v>
      </c>
      <c r="R756" t="s">
        <v>16</v>
      </c>
      <c r="S756" t="s">
        <v>20</v>
      </c>
      <c r="T756" t="s">
        <v>21</v>
      </c>
      <c r="U756" t="str">
        <f t="shared" si="84"/>
        <v>Low-Cost</v>
      </c>
    </row>
    <row r="757" spans="1:21" x14ac:dyDescent="0.3">
      <c r="A757">
        <v>1076</v>
      </c>
      <c r="B757" s="1">
        <v>45276</v>
      </c>
      <c r="C757" s="2" t="s">
        <v>36</v>
      </c>
      <c r="D757" t="s">
        <v>32</v>
      </c>
      <c r="E757">
        <v>30</v>
      </c>
      <c r="F757" t="s">
        <v>27</v>
      </c>
      <c r="G757">
        <f>1</f>
        <v>1</v>
      </c>
      <c r="H757" s="3">
        <v>3519.63</v>
      </c>
      <c r="I757" s="3">
        <v>3774.65</v>
      </c>
      <c r="J757" s="3">
        <f t="shared" si="78"/>
        <v>3019.7200000000003</v>
      </c>
      <c r="K757" s="3">
        <f t="shared" si="79"/>
        <v>90591.6</v>
      </c>
      <c r="L757" s="3">
        <f t="shared" si="82"/>
        <v>105588.90000000001</v>
      </c>
      <c r="M757" s="8">
        <f t="shared" si="83"/>
        <v>-14997.300000000003</v>
      </c>
      <c r="N757" s="4">
        <f t="shared" si="80"/>
        <v>-0.16554846144675667</v>
      </c>
      <c r="O757" s="4" t="str">
        <f t="shared" si="81"/>
        <v>Loss</v>
      </c>
      <c r="P757" t="s">
        <v>28</v>
      </c>
      <c r="Q757">
        <v>0.2</v>
      </c>
      <c r="R757" t="s">
        <v>29</v>
      </c>
      <c r="S757" t="s">
        <v>20</v>
      </c>
      <c r="T757" t="s">
        <v>46</v>
      </c>
      <c r="U757" t="str">
        <f t="shared" si="84"/>
        <v>High-Cost</v>
      </c>
    </row>
    <row r="758" spans="1:21" x14ac:dyDescent="0.3">
      <c r="A758">
        <v>1076</v>
      </c>
      <c r="B758" s="1">
        <v>44943</v>
      </c>
      <c r="C758" s="2" t="s">
        <v>31</v>
      </c>
      <c r="D758" t="s">
        <v>23</v>
      </c>
      <c r="E758">
        <v>16</v>
      </c>
      <c r="F758" t="s">
        <v>27</v>
      </c>
      <c r="G758">
        <f>1</f>
        <v>1</v>
      </c>
      <c r="H758" s="3">
        <v>1964.15</v>
      </c>
      <c r="I758" s="3">
        <v>2211.17</v>
      </c>
      <c r="J758" s="3">
        <f t="shared" si="78"/>
        <v>1746.8243000000002</v>
      </c>
      <c r="K758" s="3">
        <f t="shared" si="79"/>
        <v>27949.188800000004</v>
      </c>
      <c r="L758" s="3">
        <f t="shared" si="82"/>
        <v>31426.400000000001</v>
      </c>
      <c r="M758" s="8">
        <f t="shared" si="83"/>
        <v>-3477.2111999999979</v>
      </c>
      <c r="N758" s="4">
        <f t="shared" si="80"/>
        <v>-0.1244118827520317</v>
      </c>
      <c r="O758" s="4" t="str">
        <f t="shared" si="81"/>
        <v>Loss</v>
      </c>
      <c r="P758" t="s">
        <v>15</v>
      </c>
      <c r="Q758">
        <v>0.21</v>
      </c>
      <c r="R758" t="s">
        <v>25</v>
      </c>
      <c r="S758" t="s">
        <v>17</v>
      </c>
      <c r="T758" t="s">
        <v>42</v>
      </c>
      <c r="U758" t="str">
        <f t="shared" si="84"/>
        <v>Low-Cost</v>
      </c>
    </row>
    <row r="759" spans="1:21" x14ac:dyDescent="0.3">
      <c r="A759">
        <v>1076</v>
      </c>
      <c r="B759" s="1">
        <v>45190</v>
      </c>
      <c r="C759" s="2" t="s">
        <v>12</v>
      </c>
      <c r="D759" t="s">
        <v>13</v>
      </c>
      <c r="E759">
        <v>26</v>
      </c>
      <c r="F759" t="s">
        <v>33</v>
      </c>
      <c r="G759">
        <f>1</f>
        <v>1</v>
      </c>
      <c r="H759" s="3">
        <v>1762</v>
      </c>
      <c r="I759" s="3">
        <v>2002.95</v>
      </c>
      <c r="J759" s="3">
        <f t="shared" si="78"/>
        <v>1422.0944999999999</v>
      </c>
      <c r="K759" s="3">
        <f t="shared" si="79"/>
        <v>36974.457000000002</v>
      </c>
      <c r="L759" s="3">
        <f t="shared" si="82"/>
        <v>45812</v>
      </c>
      <c r="M759" s="8">
        <f t="shared" si="83"/>
        <v>-8837.5429999999978</v>
      </c>
      <c r="N759" s="4">
        <f t="shared" si="80"/>
        <v>-0.23901751958115294</v>
      </c>
      <c r="O759" s="4" t="str">
        <f t="shared" si="81"/>
        <v>Loss</v>
      </c>
      <c r="P759" t="s">
        <v>15</v>
      </c>
      <c r="Q759">
        <v>0.28999999999999998</v>
      </c>
      <c r="R759" t="s">
        <v>29</v>
      </c>
      <c r="S759" t="s">
        <v>20</v>
      </c>
      <c r="T759" t="s">
        <v>18</v>
      </c>
      <c r="U759" t="str">
        <f t="shared" si="84"/>
        <v>Low-Cost</v>
      </c>
    </row>
    <row r="760" spans="1:21" x14ac:dyDescent="0.3">
      <c r="A760">
        <v>1076</v>
      </c>
      <c r="B760" s="1">
        <v>45007</v>
      </c>
      <c r="C760" s="2" t="s">
        <v>31</v>
      </c>
      <c r="D760" t="s">
        <v>23</v>
      </c>
      <c r="E760">
        <v>23</v>
      </c>
      <c r="F760" t="s">
        <v>24</v>
      </c>
      <c r="G760">
        <f>1</f>
        <v>1</v>
      </c>
      <c r="H760" s="3">
        <v>2759.16</v>
      </c>
      <c r="I760" s="3">
        <v>2864.45</v>
      </c>
      <c r="J760" s="3">
        <f t="shared" si="78"/>
        <v>2348.8490000000002</v>
      </c>
      <c r="K760" s="3">
        <f t="shared" si="79"/>
        <v>54023.526999999995</v>
      </c>
      <c r="L760" s="3">
        <f t="shared" si="82"/>
        <v>63460.679999999993</v>
      </c>
      <c r="M760" s="8">
        <f t="shared" si="83"/>
        <v>-9437.1529999999984</v>
      </c>
      <c r="N760" s="4">
        <f t="shared" si="80"/>
        <v>-0.17468598449708772</v>
      </c>
      <c r="O760" s="4" t="str">
        <f t="shared" si="81"/>
        <v>Loss</v>
      </c>
      <c r="P760" t="s">
        <v>15</v>
      </c>
      <c r="Q760">
        <v>0.18</v>
      </c>
      <c r="R760" t="s">
        <v>29</v>
      </c>
      <c r="S760" t="s">
        <v>20</v>
      </c>
      <c r="T760" t="s">
        <v>42</v>
      </c>
      <c r="U760" t="str">
        <f t="shared" si="84"/>
        <v>High-Cost</v>
      </c>
    </row>
    <row r="761" spans="1:21" x14ac:dyDescent="0.3">
      <c r="A761">
        <v>1076</v>
      </c>
      <c r="B761" s="1">
        <v>45046</v>
      </c>
      <c r="C761" s="2" t="s">
        <v>36</v>
      </c>
      <c r="D761" t="s">
        <v>19</v>
      </c>
      <c r="E761">
        <v>32</v>
      </c>
      <c r="F761" t="s">
        <v>27</v>
      </c>
      <c r="G761">
        <f>1</f>
        <v>1</v>
      </c>
      <c r="H761" s="3">
        <v>4337.82</v>
      </c>
      <c r="I761" s="3">
        <v>4460.71</v>
      </c>
      <c r="J761" s="3">
        <f t="shared" si="78"/>
        <v>3122.4969999999998</v>
      </c>
      <c r="K761" s="3">
        <f t="shared" si="79"/>
        <v>99919.903999999995</v>
      </c>
      <c r="L761" s="3">
        <f t="shared" si="82"/>
        <v>138810.23999999999</v>
      </c>
      <c r="M761" s="8">
        <f t="shared" si="83"/>
        <v>-38890.335999999996</v>
      </c>
      <c r="N761" s="4">
        <f t="shared" si="80"/>
        <v>-0.38921510573108636</v>
      </c>
      <c r="O761" s="4" t="str">
        <f t="shared" si="81"/>
        <v>Loss</v>
      </c>
      <c r="P761" t="s">
        <v>15</v>
      </c>
      <c r="Q761">
        <v>0.3</v>
      </c>
      <c r="R761" t="s">
        <v>16</v>
      </c>
      <c r="S761" t="s">
        <v>20</v>
      </c>
      <c r="T761" t="s">
        <v>39</v>
      </c>
      <c r="U761" t="str">
        <f t="shared" si="84"/>
        <v>High-Cost</v>
      </c>
    </row>
    <row r="762" spans="1:21" x14ac:dyDescent="0.3">
      <c r="A762">
        <v>1077</v>
      </c>
      <c r="B762" s="1">
        <v>45200</v>
      </c>
      <c r="C762" s="2" t="s">
        <v>40</v>
      </c>
      <c r="D762" t="s">
        <v>19</v>
      </c>
      <c r="E762">
        <v>5</v>
      </c>
      <c r="F762" t="s">
        <v>33</v>
      </c>
      <c r="G762">
        <f>1</f>
        <v>1</v>
      </c>
      <c r="H762" s="3">
        <v>3650.89</v>
      </c>
      <c r="I762" s="3">
        <v>3930.06</v>
      </c>
      <c r="J762" s="3">
        <f t="shared" si="78"/>
        <v>3261.9497999999999</v>
      </c>
      <c r="K762" s="3">
        <f t="shared" si="79"/>
        <v>16309.748999999998</v>
      </c>
      <c r="L762" s="3">
        <f t="shared" si="82"/>
        <v>18254.45</v>
      </c>
      <c r="M762" s="8">
        <f t="shared" si="83"/>
        <v>-1944.7010000000028</v>
      </c>
      <c r="N762" s="4">
        <f t="shared" si="80"/>
        <v>-0.11923549528567258</v>
      </c>
      <c r="O762" s="4" t="str">
        <f t="shared" si="81"/>
        <v>Loss</v>
      </c>
      <c r="P762" t="s">
        <v>28</v>
      </c>
      <c r="Q762">
        <v>0.17</v>
      </c>
      <c r="R762" t="s">
        <v>25</v>
      </c>
      <c r="S762" t="s">
        <v>17</v>
      </c>
      <c r="T762" t="s">
        <v>49</v>
      </c>
      <c r="U762" t="str">
        <f t="shared" si="84"/>
        <v>High-Cost</v>
      </c>
    </row>
    <row r="763" spans="1:21" x14ac:dyDescent="0.3">
      <c r="A763">
        <v>1077</v>
      </c>
      <c r="B763" s="1">
        <v>45262</v>
      </c>
      <c r="C763" s="2" t="s">
        <v>22</v>
      </c>
      <c r="D763" t="s">
        <v>32</v>
      </c>
      <c r="E763">
        <v>24</v>
      </c>
      <c r="F763" t="s">
        <v>33</v>
      </c>
      <c r="G763">
        <f>1</f>
        <v>1</v>
      </c>
      <c r="H763" s="3">
        <v>2258.54</v>
      </c>
      <c r="I763" s="3">
        <v>2439.4899999999998</v>
      </c>
      <c r="J763" s="3">
        <f t="shared" si="78"/>
        <v>1951.5919999999999</v>
      </c>
      <c r="K763" s="3">
        <f t="shared" si="79"/>
        <v>46838.207999999999</v>
      </c>
      <c r="L763" s="3">
        <f t="shared" si="82"/>
        <v>54204.959999999999</v>
      </c>
      <c r="M763" s="8">
        <f t="shared" si="83"/>
        <v>-7366.7520000000004</v>
      </c>
      <c r="N763" s="4">
        <f t="shared" si="80"/>
        <v>-0.15728082509049024</v>
      </c>
      <c r="O763" s="4" t="str">
        <f t="shared" si="81"/>
        <v>Loss</v>
      </c>
      <c r="P763" t="s">
        <v>15</v>
      </c>
      <c r="Q763">
        <v>0.2</v>
      </c>
      <c r="R763" t="s">
        <v>29</v>
      </c>
      <c r="S763" t="s">
        <v>20</v>
      </c>
      <c r="T763" t="s">
        <v>48</v>
      </c>
      <c r="U763" t="str">
        <f t="shared" si="84"/>
        <v>Low-Cost</v>
      </c>
    </row>
    <row r="764" spans="1:21" x14ac:dyDescent="0.3">
      <c r="A764">
        <v>1077</v>
      </c>
      <c r="B764" s="1">
        <v>44964</v>
      </c>
      <c r="C764" s="2" t="s">
        <v>36</v>
      </c>
      <c r="D764" t="s">
        <v>19</v>
      </c>
      <c r="E764">
        <v>12</v>
      </c>
      <c r="F764" t="s">
        <v>27</v>
      </c>
      <c r="G764">
        <f>1</f>
        <v>1</v>
      </c>
      <c r="H764" s="3">
        <v>2427.46</v>
      </c>
      <c r="I764" s="3">
        <v>2743.09</v>
      </c>
      <c r="J764" s="3">
        <f t="shared" si="78"/>
        <v>1947.5939000000001</v>
      </c>
      <c r="K764" s="3">
        <f t="shared" si="79"/>
        <v>23371.126800000002</v>
      </c>
      <c r="L764" s="3">
        <f t="shared" si="82"/>
        <v>29129.52</v>
      </c>
      <c r="M764" s="8">
        <f t="shared" si="83"/>
        <v>-5758.3931999999986</v>
      </c>
      <c r="N764" s="4">
        <f t="shared" si="80"/>
        <v>-0.24638919848742588</v>
      </c>
      <c r="O764" s="4" t="str">
        <f t="shared" si="81"/>
        <v>Loss</v>
      </c>
      <c r="P764" t="s">
        <v>28</v>
      </c>
      <c r="Q764">
        <v>0.28999999999999998</v>
      </c>
      <c r="R764" t="s">
        <v>29</v>
      </c>
      <c r="S764" t="s">
        <v>20</v>
      </c>
      <c r="T764" t="s">
        <v>39</v>
      </c>
      <c r="U764" t="str">
        <f t="shared" si="84"/>
        <v>Low-Cost</v>
      </c>
    </row>
    <row r="765" spans="1:21" x14ac:dyDescent="0.3">
      <c r="A765">
        <v>1077</v>
      </c>
      <c r="B765" s="1">
        <v>45145</v>
      </c>
      <c r="C765" s="2" t="s">
        <v>31</v>
      </c>
      <c r="D765" t="s">
        <v>32</v>
      </c>
      <c r="E765">
        <v>43</v>
      </c>
      <c r="F765" t="s">
        <v>24</v>
      </c>
      <c r="G765">
        <f>1</f>
        <v>1</v>
      </c>
      <c r="H765" s="3">
        <v>4402.66</v>
      </c>
      <c r="I765" s="3">
        <v>4724.7</v>
      </c>
      <c r="J765" s="3">
        <f t="shared" si="78"/>
        <v>4252.2299999999996</v>
      </c>
      <c r="K765" s="3">
        <f t="shared" si="79"/>
        <v>182845.89</v>
      </c>
      <c r="L765" s="3">
        <f t="shared" si="82"/>
        <v>189314.38</v>
      </c>
      <c r="M765" s="8">
        <f t="shared" si="83"/>
        <v>-6468.4899999999907</v>
      </c>
      <c r="N765" s="4">
        <f t="shared" si="80"/>
        <v>-3.5376731738405442E-2</v>
      </c>
      <c r="O765" s="4" t="str">
        <f t="shared" si="81"/>
        <v>Loss</v>
      </c>
      <c r="P765" t="s">
        <v>28</v>
      </c>
      <c r="Q765">
        <v>0.1</v>
      </c>
      <c r="R765" t="s">
        <v>25</v>
      </c>
      <c r="S765" t="s">
        <v>20</v>
      </c>
      <c r="T765" t="s">
        <v>34</v>
      </c>
      <c r="U765" t="str">
        <f t="shared" si="84"/>
        <v>High-Cost</v>
      </c>
    </row>
    <row r="766" spans="1:21" x14ac:dyDescent="0.3">
      <c r="A766">
        <v>1077</v>
      </c>
      <c r="B766" s="1">
        <v>44937</v>
      </c>
      <c r="C766" s="2" t="s">
        <v>36</v>
      </c>
      <c r="D766" t="s">
        <v>13</v>
      </c>
      <c r="E766">
        <v>35</v>
      </c>
      <c r="F766" t="s">
        <v>33</v>
      </c>
      <c r="G766">
        <f>1</f>
        <v>1</v>
      </c>
      <c r="H766" s="3">
        <v>585.37</v>
      </c>
      <c r="I766" s="3">
        <v>970.49</v>
      </c>
      <c r="J766" s="3">
        <f t="shared" si="78"/>
        <v>824.91650000000004</v>
      </c>
      <c r="K766" s="3">
        <f t="shared" si="79"/>
        <v>28872.077499999999</v>
      </c>
      <c r="L766" s="3">
        <f t="shared" si="82"/>
        <v>20487.95</v>
      </c>
      <c r="M766" s="8">
        <f t="shared" si="83"/>
        <v>8384.1274999999987</v>
      </c>
      <c r="N766" s="4">
        <f t="shared" si="80"/>
        <v>0.29038878480428015</v>
      </c>
      <c r="O766" s="4" t="str">
        <f t="shared" si="81"/>
        <v>Profit</v>
      </c>
      <c r="P766" t="s">
        <v>15</v>
      </c>
      <c r="Q766">
        <v>0.15</v>
      </c>
      <c r="R766" t="s">
        <v>25</v>
      </c>
      <c r="S766" t="s">
        <v>20</v>
      </c>
      <c r="T766" t="s">
        <v>38</v>
      </c>
      <c r="U766" t="str">
        <f t="shared" si="84"/>
        <v>Low-Cost</v>
      </c>
    </row>
    <row r="767" spans="1:21" x14ac:dyDescent="0.3">
      <c r="A767">
        <v>1077</v>
      </c>
      <c r="B767" s="1">
        <v>45211</v>
      </c>
      <c r="C767" s="2" t="s">
        <v>22</v>
      </c>
      <c r="D767" t="s">
        <v>23</v>
      </c>
      <c r="E767">
        <v>23</v>
      </c>
      <c r="F767" t="s">
        <v>33</v>
      </c>
      <c r="G767">
        <f>1</f>
        <v>1</v>
      </c>
      <c r="H767" s="3">
        <v>557.52</v>
      </c>
      <c r="I767" s="3">
        <v>822.39</v>
      </c>
      <c r="J767" s="3">
        <f t="shared" si="78"/>
        <v>583.89689999999996</v>
      </c>
      <c r="K767" s="3">
        <f t="shared" si="79"/>
        <v>13429.628699999999</v>
      </c>
      <c r="L767" s="3">
        <f t="shared" si="82"/>
        <v>12822.96</v>
      </c>
      <c r="M767" s="8">
        <f t="shared" si="83"/>
        <v>606.66870000000017</v>
      </c>
      <c r="N767" s="4">
        <f t="shared" si="80"/>
        <v>4.5173899707294234E-2</v>
      </c>
      <c r="O767" s="4" t="str">
        <f t="shared" si="81"/>
        <v>Profit</v>
      </c>
      <c r="P767" t="s">
        <v>15</v>
      </c>
      <c r="Q767">
        <v>0.28999999999999998</v>
      </c>
      <c r="R767" t="s">
        <v>29</v>
      </c>
      <c r="S767" t="s">
        <v>17</v>
      </c>
      <c r="T767" t="s">
        <v>26</v>
      </c>
      <c r="U767" t="str">
        <f t="shared" si="84"/>
        <v>Low-Cost</v>
      </c>
    </row>
    <row r="768" spans="1:21" x14ac:dyDescent="0.3">
      <c r="A768">
        <v>1077</v>
      </c>
      <c r="B768" s="1">
        <v>45168</v>
      </c>
      <c r="C768" s="2" t="s">
        <v>40</v>
      </c>
      <c r="D768" t="s">
        <v>19</v>
      </c>
      <c r="E768">
        <v>25</v>
      </c>
      <c r="F768" t="s">
        <v>33</v>
      </c>
      <c r="G768">
        <f>1</f>
        <v>1</v>
      </c>
      <c r="H768" s="3">
        <v>61.5</v>
      </c>
      <c r="I768" s="3">
        <v>258.92</v>
      </c>
      <c r="J768" s="3">
        <f t="shared" si="78"/>
        <v>214.90360000000001</v>
      </c>
      <c r="K768" s="3">
        <f t="shared" si="79"/>
        <v>5372.59</v>
      </c>
      <c r="L768" s="3">
        <f t="shared" si="82"/>
        <v>1537.5</v>
      </c>
      <c r="M768" s="8">
        <f t="shared" si="83"/>
        <v>3835.09</v>
      </c>
      <c r="N768" s="4">
        <f t="shared" si="80"/>
        <v>0.71382517556709146</v>
      </c>
      <c r="O768" s="4" t="str">
        <f t="shared" si="81"/>
        <v>Profit</v>
      </c>
      <c r="P768" t="s">
        <v>28</v>
      </c>
      <c r="Q768">
        <v>0.17</v>
      </c>
      <c r="R768" t="s">
        <v>29</v>
      </c>
      <c r="S768" t="s">
        <v>17</v>
      </c>
      <c r="T768" t="s">
        <v>49</v>
      </c>
      <c r="U768" t="str">
        <f t="shared" si="84"/>
        <v>Low-Cost</v>
      </c>
    </row>
    <row r="769" spans="1:21" x14ac:dyDescent="0.3">
      <c r="A769">
        <v>1078</v>
      </c>
      <c r="B769" s="1">
        <v>45020</v>
      </c>
      <c r="C769" s="2" t="s">
        <v>22</v>
      </c>
      <c r="D769" t="s">
        <v>32</v>
      </c>
      <c r="E769">
        <v>49</v>
      </c>
      <c r="F769" t="s">
        <v>14</v>
      </c>
      <c r="G769">
        <f>1</f>
        <v>1</v>
      </c>
      <c r="H769" s="3">
        <v>1833.95</v>
      </c>
      <c r="I769" s="3">
        <v>2147.14</v>
      </c>
      <c r="J769" s="3">
        <f t="shared" si="78"/>
        <v>1760.6548</v>
      </c>
      <c r="K769" s="3">
        <f t="shared" si="79"/>
        <v>86272.085200000001</v>
      </c>
      <c r="L769" s="3">
        <f t="shared" si="82"/>
        <v>89863.55</v>
      </c>
      <c r="M769" s="8">
        <f t="shared" si="83"/>
        <v>-3591.4648000000016</v>
      </c>
      <c r="N769" s="4">
        <f t="shared" si="80"/>
        <v>-4.1629511929311774E-2</v>
      </c>
      <c r="O769" s="4" t="str">
        <f t="shared" si="81"/>
        <v>Loss</v>
      </c>
      <c r="P769" t="s">
        <v>15</v>
      </c>
      <c r="Q769">
        <v>0.18</v>
      </c>
      <c r="R769" t="s">
        <v>29</v>
      </c>
      <c r="S769" t="s">
        <v>20</v>
      </c>
      <c r="T769" t="s">
        <v>48</v>
      </c>
      <c r="U769" t="str">
        <f t="shared" si="84"/>
        <v>Low-Cost</v>
      </c>
    </row>
    <row r="770" spans="1:21" x14ac:dyDescent="0.3">
      <c r="A770">
        <v>1078</v>
      </c>
      <c r="B770" s="1">
        <v>44965</v>
      </c>
      <c r="C770" s="2" t="s">
        <v>40</v>
      </c>
      <c r="D770" t="s">
        <v>23</v>
      </c>
      <c r="E770">
        <v>49</v>
      </c>
      <c r="F770" t="s">
        <v>14</v>
      </c>
      <c r="G770">
        <f>1</f>
        <v>1</v>
      </c>
      <c r="H770" s="3">
        <v>3026.85</v>
      </c>
      <c r="I770" s="3">
        <v>3183.58</v>
      </c>
      <c r="J770" s="3">
        <f t="shared" ref="J770:J833" si="85">I770*(1-Q770)</f>
        <v>2387.6849999999999</v>
      </c>
      <c r="K770" s="3">
        <f t="shared" ref="K770:K833" si="86">E770*I770*(1-Q770)</f>
        <v>116996.56499999999</v>
      </c>
      <c r="L770" s="3">
        <f t="shared" si="82"/>
        <v>148315.65</v>
      </c>
      <c r="M770" s="8">
        <f t="shared" si="83"/>
        <v>-31319.085000000006</v>
      </c>
      <c r="N770" s="4">
        <f t="shared" ref="N770:N833" si="87">(M770/K770)</f>
        <v>-0.26769234635221989</v>
      </c>
      <c r="O770" s="4" t="str">
        <f t="shared" ref="O770:O833" si="88">IF(M770&lt;0,"Loss","Profit")</f>
        <v>Loss</v>
      </c>
      <c r="P770" t="s">
        <v>15</v>
      </c>
      <c r="Q770">
        <v>0.25</v>
      </c>
      <c r="R770" t="s">
        <v>16</v>
      </c>
      <c r="S770" t="s">
        <v>20</v>
      </c>
      <c r="T770" t="s">
        <v>41</v>
      </c>
      <c r="U770" t="str">
        <f t="shared" si="84"/>
        <v>High-Cost</v>
      </c>
    </row>
    <row r="771" spans="1:21" x14ac:dyDescent="0.3">
      <c r="A771">
        <v>1078</v>
      </c>
      <c r="B771" s="1">
        <v>44938</v>
      </c>
      <c r="C771" s="2" t="s">
        <v>36</v>
      </c>
      <c r="D771" t="s">
        <v>32</v>
      </c>
      <c r="E771">
        <v>36</v>
      </c>
      <c r="F771" t="s">
        <v>24</v>
      </c>
      <c r="G771">
        <f>1</f>
        <v>1</v>
      </c>
      <c r="H771" s="3">
        <v>4548.88</v>
      </c>
      <c r="I771" s="3">
        <v>4853.41</v>
      </c>
      <c r="J771" s="3">
        <f t="shared" si="85"/>
        <v>3640.0574999999999</v>
      </c>
      <c r="K771" s="3">
        <f t="shared" si="86"/>
        <v>131042.07</v>
      </c>
      <c r="L771" s="3">
        <f t="shared" ref="L771:L834" si="89">H771*E771</f>
        <v>163759.67999999999</v>
      </c>
      <c r="M771" s="8">
        <f t="shared" ref="M771:M834" si="90">K771-L771</f>
        <v>-32717.609999999986</v>
      </c>
      <c r="N771" s="4">
        <f t="shared" si="87"/>
        <v>-0.24967256698554888</v>
      </c>
      <c r="O771" s="4" t="str">
        <f t="shared" si="88"/>
        <v>Loss</v>
      </c>
      <c r="P771" t="s">
        <v>15</v>
      </c>
      <c r="Q771">
        <v>0.25</v>
      </c>
      <c r="R771" t="s">
        <v>29</v>
      </c>
      <c r="S771" t="s">
        <v>20</v>
      </c>
      <c r="T771" t="s">
        <v>46</v>
      </c>
      <c r="U771" t="str">
        <f t="shared" si="84"/>
        <v>High-Cost</v>
      </c>
    </row>
    <row r="772" spans="1:21" x14ac:dyDescent="0.3">
      <c r="A772">
        <v>1078</v>
      </c>
      <c r="B772" s="1">
        <v>45089</v>
      </c>
      <c r="C772" s="2" t="s">
        <v>31</v>
      </c>
      <c r="D772" t="s">
        <v>23</v>
      </c>
      <c r="E772">
        <v>29</v>
      </c>
      <c r="F772" t="s">
        <v>33</v>
      </c>
      <c r="G772">
        <f>1</f>
        <v>1</v>
      </c>
      <c r="H772" s="3">
        <v>3177.81</v>
      </c>
      <c r="I772" s="3">
        <v>3222.65</v>
      </c>
      <c r="J772" s="3">
        <f t="shared" si="85"/>
        <v>2964.8380000000002</v>
      </c>
      <c r="K772" s="3">
        <f t="shared" si="86"/>
        <v>85980.302000000011</v>
      </c>
      <c r="L772" s="3">
        <f t="shared" si="89"/>
        <v>92156.49</v>
      </c>
      <c r="M772" s="8">
        <f t="shared" si="90"/>
        <v>-6176.1879999999946</v>
      </c>
      <c r="N772" s="4">
        <f t="shared" si="87"/>
        <v>-7.1832592539626039E-2</v>
      </c>
      <c r="O772" s="4" t="str">
        <f t="shared" si="88"/>
        <v>Loss</v>
      </c>
      <c r="P772" t="s">
        <v>15</v>
      </c>
      <c r="Q772">
        <v>0.08</v>
      </c>
      <c r="R772" t="s">
        <v>29</v>
      </c>
      <c r="S772" t="s">
        <v>20</v>
      </c>
      <c r="T772" t="s">
        <v>42</v>
      </c>
      <c r="U772" t="str">
        <f t="shared" si="84"/>
        <v>High-Cost</v>
      </c>
    </row>
    <row r="773" spans="1:21" x14ac:dyDescent="0.3">
      <c r="A773">
        <v>1078</v>
      </c>
      <c r="B773" s="1">
        <v>45292</v>
      </c>
      <c r="C773" s="2" t="s">
        <v>22</v>
      </c>
      <c r="D773" t="s">
        <v>32</v>
      </c>
      <c r="E773">
        <v>42</v>
      </c>
      <c r="F773" t="s">
        <v>24</v>
      </c>
      <c r="G773">
        <f>1</f>
        <v>1</v>
      </c>
      <c r="H773" s="3">
        <v>63.41</v>
      </c>
      <c r="I773" s="3">
        <v>314.93</v>
      </c>
      <c r="J773" s="3">
        <f t="shared" si="85"/>
        <v>305.4821</v>
      </c>
      <c r="K773" s="3">
        <f t="shared" si="86"/>
        <v>12830.2482</v>
      </c>
      <c r="L773" s="3">
        <f t="shared" si="89"/>
        <v>2663.22</v>
      </c>
      <c r="M773" s="8">
        <f t="shared" si="90"/>
        <v>10167.028200000001</v>
      </c>
      <c r="N773" s="4">
        <f t="shared" si="87"/>
        <v>0.79242646295805885</v>
      </c>
      <c r="O773" s="4" t="str">
        <f t="shared" si="88"/>
        <v>Profit</v>
      </c>
      <c r="P773" t="s">
        <v>15</v>
      </c>
      <c r="Q773">
        <v>0.03</v>
      </c>
      <c r="R773" t="s">
        <v>16</v>
      </c>
      <c r="S773" t="s">
        <v>20</v>
      </c>
      <c r="T773" t="s">
        <v>48</v>
      </c>
      <c r="U773" t="str">
        <f t="shared" si="84"/>
        <v>Low-Cost</v>
      </c>
    </row>
    <row r="774" spans="1:21" x14ac:dyDescent="0.3">
      <c r="A774">
        <v>1078</v>
      </c>
      <c r="B774" s="1">
        <v>45246</v>
      </c>
      <c r="C774" s="2" t="s">
        <v>22</v>
      </c>
      <c r="D774" t="s">
        <v>32</v>
      </c>
      <c r="E774">
        <v>8</v>
      </c>
      <c r="F774" t="s">
        <v>14</v>
      </c>
      <c r="G774">
        <f>1</f>
        <v>1</v>
      </c>
      <c r="H774" s="3">
        <v>3459.61</v>
      </c>
      <c r="I774" s="3">
        <v>3657.23</v>
      </c>
      <c r="J774" s="3">
        <f t="shared" si="85"/>
        <v>3547.5131000000001</v>
      </c>
      <c r="K774" s="3">
        <f t="shared" si="86"/>
        <v>28380.104800000001</v>
      </c>
      <c r="L774" s="3">
        <f t="shared" si="89"/>
        <v>27676.880000000001</v>
      </c>
      <c r="M774" s="8">
        <f t="shared" si="90"/>
        <v>703.22479999999996</v>
      </c>
      <c r="N774" s="4">
        <f t="shared" si="87"/>
        <v>2.4778795038135303E-2</v>
      </c>
      <c r="O774" s="4" t="str">
        <f t="shared" si="88"/>
        <v>Profit</v>
      </c>
      <c r="P774" t="s">
        <v>15</v>
      </c>
      <c r="Q774">
        <v>0.03</v>
      </c>
      <c r="R774" t="s">
        <v>25</v>
      </c>
      <c r="S774" t="s">
        <v>17</v>
      </c>
      <c r="T774" t="s">
        <v>48</v>
      </c>
      <c r="U774" t="str">
        <f t="shared" si="84"/>
        <v>High-Cost</v>
      </c>
    </row>
    <row r="775" spans="1:21" x14ac:dyDescent="0.3">
      <c r="A775">
        <v>1078</v>
      </c>
      <c r="B775" s="1">
        <v>45008</v>
      </c>
      <c r="C775" s="2" t="s">
        <v>36</v>
      </c>
      <c r="D775" t="s">
        <v>19</v>
      </c>
      <c r="E775">
        <v>33</v>
      </c>
      <c r="F775" t="s">
        <v>27</v>
      </c>
      <c r="G775">
        <f>1</f>
        <v>1</v>
      </c>
      <c r="H775" s="3">
        <v>2396.6799999999998</v>
      </c>
      <c r="I775" s="3">
        <v>2661.54</v>
      </c>
      <c r="J775" s="3">
        <f t="shared" si="85"/>
        <v>2182.4628000000002</v>
      </c>
      <c r="K775" s="3">
        <f t="shared" si="86"/>
        <v>72021.272400000002</v>
      </c>
      <c r="L775" s="3">
        <f t="shared" si="89"/>
        <v>79090.439999999988</v>
      </c>
      <c r="M775" s="8">
        <f t="shared" si="90"/>
        <v>-7069.1675999999861</v>
      </c>
      <c r="N775" s="4">
        <f t="shared" si="87"/>
        <v>-9.8153883768373779E-2</v>
      </c>
      <c r="O775" s="4" t="str">
        <f t="shared" si="88"/>
        <v>Loss</v>
      </c>
      <c r="P775" t="s">
        <v>28</v>
      </c>
      <c r="Q775">
        <v>0.18</v>
      </c>
      <c r="R775" t="s">
        <v>25</v>
      </c>
      <c r="S775" t="s">
        <v>17</v>
      </c>
      <c r="T775" t="s">
        <v>39</v>
      </c>
      <c r="U775" t="str">
        <f t="shared" si="84"/>
        <v>Low-Cost</v>
      </c>
    </row>
    <row r="776" spans="1:21" x14ac:dyDescent="0.3">
      <c r="A776">
        <v>1078</v>
      </c>
      <c r="B776" s="1">
        <v>45134</v>
      </c>
      <c r="C776" s="2" t="s">
        <v>36</v>
      </c>
      <c r="D776" t="s">
        <v>13</v>
      </c>
      <c r="E776">
        <v>3</v>
      </c>
      <c r="F776" t="s">
        <v>27</v>
      </c>
      <c r="G776">
        <f>1</f>
        <v>1</v>
      </c>
      <c r="H776" s="3">
        <v>902.38</v>
      </c>
      <c r="I776" s="3">
        <v>1128.9100000000001</v>
      </c>
      <c r="J776" s="3">
        <f t="shared" si="85"/>
        <v>1117.6209000000001</v>
      </c>
      <c r="K776" s="3">
        <f t="shared" si="86"/>
        <v>3352.8627000000006</v>
      </c>
      <c r="L776" s="3">
        <f t="shared" si="89"/>
        <v>2707.14</v>
      </c>
      <c r="M776" s="8">
        <f t="shared" si="90"/>
        <v>645.72270000000071</v>
      </c>
      <c r="N776" s="4">
        <f t="shared" si="87"/>
        <v>0.1925884707417338</v>
      </c>
      <c r="O776" s="4" t="str">
        <f t="shared" si="88"/>
        <v>Profit</v>
      </c>
      <c r="P776" t="s">
        <v>28</v>
      </c>
      <c r="Q776">
        <v>0.01</v>
      </c>
      <c r="R776" t="s">
        <v>25</v>
      </c>
      <c r="S776" t="s">
        <v>20</v>
      </c>
      <c r="T776" t="s">
        <v>38</v>
      </c>
      <c r="U776" t="str">
        <f t="shared" ref="U776:U839" si="91">IF(I776 &gt;=2800, "High-Cost", "Low-Cost")</f>
        <v>Low-Cost</v>
      </c>
    </row>
    <row r="777" spans="1:21" x14ac:dyDescent="0.3">
      <c r="A777">
        <v>1079</v>
      </c>
      <c r="B777" s="1">
        <v>45203</v>
      </c>
      <c r="C777" s="2" t="s">
        <v>36</v>
      </c>
      <c r="D777" t="s">
        <v>32</v>
      </c>
      <c r="E777">
        <v>12</v>
      </c>
      <c r="F777" t="s">
        <v>24</v>
      </c>
      <c r="G777">
        <f>1</f>
        <v>1</v>
      </c>
      <c r="H777" s="3">
        <v>4754.0200000000004</v>
      </c>
      <c r="I777" s="3">
        <v>5080.74</v>
      </c>
      <c r="J777" s="3">
        <f t="shared" si="85"/>
        <v>4064.5920000000001</v>
      </c>
      <c r="K777" s="3">
        <f t="shared" si="86"/>
        <v>48775.103999999999</v>
      </c>
      <c r="L777" s="3">
        <f t="shared" si="89"/>
        <v>57048.240000000005</v>
      </c>
      <c r="M777" s="8">
        <f t="shared" si="90"/>
        <v>-8273.1360000000059</v>
      </c>
      <c r="N777" s="4">
        <f t="shared" si="87"/>
        <v>-0.16961800840035124</v>
      </c>
      <c r="O777" s="4" t="str">
        <f t="shared" si="88"/>
        <v>Loss</v>
      </c>
      <c r="P777" t="s">
        <v>28</v>
      </c>
      <c r="Q777">
        <v>0.2</v>
      </c>
      <c r="R777" t="s">
        <v>16</v>
      </c>
      <c r="S777" t="s">
        <v>17</v>
      </c>
      <c r="T777" t="s">
        <v>46</v>
      </c>
      <c r="U777" t="str">
        <f t="shared" si="91"/>
        <v>High-Cost</v>
      </c>
    </row>
    <row r="778" spans="1:21" x14ac:dyDescent="0.3">
      <c r="A778">
        <v>1079</v>
      </c>
      <c r="B778" s="1">
        <v>45083</v>
      </c>
      <c r="C778" s="2" t="s">
        <v>22</v>
      </c>
      <c r="D778" t="s">
        <v>23</v>
      </c>
      <c r="E778">
        <v>34</v>
      </c>
      <c r="F778" t="s">
        <v>14</v>
      </c>
      <c r="G778">
        <f>1</f>
        <v>1</v>
      </c>
      <c r="H778" s="3">
        <v>1967.96</v>
      </c>
      <c r="I778" s="3">
        <v>1993.4</v>
      </c>
      <c r="J778" s="3">
        <f t="shared" si="85"/>
        <v>1694.39</v>
      </c>
      <c r="K778" s="3">
        <f t="shared" si="86"/>
        <v>57609.26</v>
      </c>
      <c r="L778" s="3">
        <f t="shared" si="89"/>
        <v>66910.64</v>
      </c>
      <c r="M778" s="8">
        <f t="shared" si="90"/>
        <v>-9301.3799999999974</v>
      </c>
      <c r="N778" s="4">
        <f t="shared" si="87"/>
        <v>-0.1614563353183151</v>
      </c>
      <c r="O778" s="4" t="str">
        <f t="shared" si="88"/>
        <v>Loss</v>
      </c>
      <c r="P778" t="s">
        <v>15</v>
      </c>
      <c r="Q778">
        <v>0.15</v>
      </c>
      <c r="R778" t="s">
        <v>29</v>
      </c>
      <c r="S778" t="s">
        <v>17</v>
      </c>
      <c r="T778" t="s">
        <v>26</v>
      </c>
      <c r="U778" t="str">
        <f t="shared" si="91"/>
        <v>Low-Cost</v>
      </c>
    </row>
    <row r="779" spans="1:21" x14ac:dyDescent="0.3">
      <c r="A779">
        <v>1079</v>
      </c>
      <c r="B779" s="1">
        <v>45144</v>
      </c>
      <c r="C779" s="2" t="s">
        <v>22</v>
      </c>
      <c r="D779" t="s">
        <v>13</v>
      </c>
      <c r="E779">
        <v>45</v>
      </c>
      <c r="F779" t="s">
        <v>27</v>
      </c>
      <c r="G779">
        <f>1</f>
        <v>1</v>
      </c>
      <c r="H779" s="3">
        <v>1406.9</v>
      </c>
      <c r="I779" s="3">
        <v>1547.35</v>
      </c>
      <c r="J779" s="3">
        <f t="shared" si="85"/>
        <v>1284.3004999999998</v>
      </c>
      <c r="K779" s="3">
        <f t="shared" si="86"/>
        <v>57793.522499999999</v>
      </c>
      <c r="L779" s="3">
        <f t="shared" si="89"/>
        <v>63310.500000000007</v>
      </c>
      <c r="M779" s="8">
        <f t="shared" si="90"/>
        <v>-5516.9775000000081</v>
      </c>
      <c r="N779" s="4">
        <f t="shared" si="87"/>
        <v>-9.5460135692542497E-2</v>
      </c>
      <c r="O779" s="4" t="str">
        <f t="shared" si="88"/>
        <v>Loss</v>
      </c>
      <c r="P779" t="s">
        <v>28</v>
      </c>
      <c r="Q779">
        <v>0.17</v>
      </c>
      <c r="R779" t="s">
        <v>16</v>
      </c>
      <c r="S779" t="s">
        <v>20</v>
      </c>
      <c r="T779" t="s">
        <v>43</v>
      </c>
      <c r="U779" t="str">
        <f t="shared" si="91"/>
        <v>Low-Cost</v>
      </c>
    </row>
    <row r="780" spans="1:21" x14ac:dyDescent="0.3">
      <c r="A780">
        <v>1079</v>
      </c>
      <c r="B780" s="1">
        <v>45099</v>
      </c>
      <c r="C780" s="2" t="s">
        <v>36</v>
      </c>
      <c r="D780" t="s">
        <v>32</v>
      </c>
      <c r="E780">
        <v>49</v>
      </c>
      <c r="F780" t="s">
        <v>27</v>
      </c>
      <c r="G780">
        <f>1</f>
        <v>1</v>
      </c>
      <c r="H780" s="3">
        <v>437.59</v>
      </c>
      <c r="I780" s="3">
        <v>675.54</v>
      </c>
      <c r="J780" s="3">
        <f t="shared" si="85"/>
        <v>607.98599999999999</v>
      </c>
      <c r="K780" s="3">
        <f t="shared" si="86"/>
        <v>29791.313999999998</v>
      </c>
      <c r="L780" s="3">
        <f t="shared" si="89"/>
        <v>21441.91</v>
      </c>
      <c r="M780" s="8">
        <f t="shared" si="90"/>
        <v>8349.4039999999986</v>
      </c>
      <c r="N780" s="4">
        <f t="shared" si="87"/>
        <v>0.28026303237245592</v>
      </c>
      <c r="O780" s="4" t="str">
        <f t="shared" si="88"/>
        <v>Profit</v>
      </c>
      <c r="P780" t="s">
        <v>15</v>
      </c>
      <c r="Q780">
        <v>0.1</v>
      </c>
      <c r="R780" t="s">
        <v>16</v>
      </c>
      <c r="S780" t="s">
        <v>17</v>
      </c>
      <c r="T780" t="s">
        <v>46</v>
      </c>
      <c r="U780" t="str">
        <f t="shared" si="91"/>
        <v>Low-Cost</v>
      </c>
    </row>
    <row r="781" spans="1:21" x14ac:dyDescent="0.3">
      <c r="A781">
        <v>1079</v>
      </c>
      <c r="B781" s="1">
        <v>45162</v>
      </c>
      <c r="C781" s="2" t="s">
        <v>40</v>
      </c>
      <c r="D781" t="s">
        <v>13</v>
      </c>
      <c r="E781">
        <v>8</v>
      </c>
      <c r="F781" t="s">
        <v>27</v>
      </c>
      <c r="G781">
        <f>1</f>
        <v>1</v>
      </c>
      <c r="H781" s="3">
        <v>3808.23</v>
      </c>
      <c r="I781" s="3">
        <v>3891.62</v>
      </c>
      <c r="J781" s="3">
        <f t="shared" si="85"/>
        <v>2879.7988</v>
      </c>
      <c r="K781" s="3">
        <f t="shared" si="86"/>
        <v>23038.3904</v>
      </c>
      <c r="L781" s="3">
        <f t="shared" si="89"/>
        <v>30465.84</v>
      </c>
      <c r="M781" s="8">
        <f t="shared" si="90"/>
        <v>-7427.4495999999999</v>
      </c>
      <c r="N781" s="4">
        <f t="shared" si="87"/>
        <v>-0.3223944672801447</v>
      </c>
      <c r="O781" s="4" t="str">
        <f t="shared" si="88"/>
        <v>Loss</v>
      </c>
      <c r="P781" t="s">
        <v>15</v>
      </c>
      <c r="Q781">
        <v>0.26</v>
      </c>
      <c r="R781" t="s">
        <v>25</v>
      </c>
      <c r="S781" t="s">
        <v>17</v>
      </c>
      <c r="T781" t="s">
        <v>47</v>
      </c>
      <c r="U781" t="str">
        <f t="shared" si="91"/>
        <v>High-Cost</v>
      </c>
    </row>
    <row r="782" spans="1:21" x14ac:dyDescent="0.3">
      <c r="A782">
        <v>1079</v>
      </c>
      <c r="B782" s="1">
        <v>45227</v>
      </c>
      <c r="C782" s="2" t="s">
        <v>12</v>
      </c>
      <c r="D782" t="s">
        <v>19</v>
      </c>
      <c r="E782">
        <v>38</v>
      </c>
      <c r="F782" t="s">
        <v>14</v>
      </c>
      <c r="G782">
        <f>1</f>
        <v>1</v>
      </c>
      <c r="H782" s="3">
        <v>1127.76</v>
      </c>
      <c r="I782" s="3">
        <v>1265.6600000000001</v>
      </c>
      <c r="J782" s="3">
        <f t="shared" si="85"/>
        <v>936.58840000000009</v>
      </c>
      <c r="K782" s="3">
        <f t="shared" si="86"/>
        <v>35590.359199999999</v>
      </c>
      <c r="L782" s="3">
        <f t="shared" si="89"/>
        <v>42854.879999999997</v>
      </c>
      <c r="M782" s="8">
        <f t="shared" si="90"/>
        <v>-7264.5207999999984</v>
      </c>
      <c r="N782" s="4">
        <f t="shared" si="87"/>
        <v>-0.20411484916960318</v>
      </c>
      <c r="O782" s="4" t="str">
        <f t="shared" si="88"/>
        <v>Loss</v>
      </c>
      <c r="P782" t="s">
        <v>15</v>
      </c>
      <c r="Q782">
        <v>0.26</v>
      </c>
      <c r="R782" t="s">
        <v>25</v>
      </c>
      <c r="S782" t="s">
        <v>20</v>
      </c>
      <c r="T782" t="s">
        <v>21</v>
      </c>
      <c r="U782" t="str">
        <f t="shared" si="91"/>
        <v>Low-Cost</v>
      </c>
    </row>
    <row r="783" spans="1:21" x14ac:dyDescent="0.3">
      <c r="A783">
        <v>1080</v>
      </c>
      <c r="B783" s="1">
        <v>44962</v>
      </c>
      <c r="C783" s="2" t="s">
        <v>31</v>
      </c>
      <c r="D783" t="s">
        <v>23</v>
      </c>
      <c r="E783">
        <v>9</v>
      </c>
      <c r="F783" t="s">
        <v>33</v>
      </c>
      <c r="G783">
        <f>1</f>
        <v>1</v>
      </c>
      <c r="H783" s="3">
        <v>1141.52</v>
      </c>
      <c r="I783" s="3">
        <v>1550.19</v>
      </c>
      <c r="J783" s="3">
        <f t="shared" si="85"/>
        <v>1116.1368</v>
      </c>
      <c r="K783" s="3">
        <f t="shared" si="86"/>
        <v>10045.2312</v>
      </c>
      <c r="L783" s="3">
        <f t="shared" si="89"/>
        <v>10273.68</v>
      </c>
      <c r="M783" s="8">
        <f t="shared" si="90"/>
        <v>-228.44880000000012</v>
      </c>
      <c r="N783" s="4">
        <f t="shared" si="87"/>
        <v>-2.2742015136495826E-2</v>
      </c>
      <c r="O783" s="4" t="str">
        <f t="shared" si="88"/>
        <v>Loss</v>
      </c>
      <c r="P783" t="s">
        <v>28</v>
      </c>
      <c r="Q783">
        <v>0.28000000000000003</v>
      </c>
      <c r="R783" t="s">
        <v>29</v>
      </c>
      <c r="S783" t="s">
        <v>20</v>
      </c>
      <c r="T783" t="s">
        <v>42</v>
      </c>
      <c r="U783" t="str">
        <f t="shared" si="91"/>
        <v>Low-Cost</v>
      </c>
    </row>
    <row r="784" spans="1:21" x14ac:dyDescent="0.3">
      <c r="A784">
        <v>1080</v>
      </c>
      <c r="B784" s="1">
        <v>45114</v>
      </c>
      <c r="C784" s="2" t="s">
        <v>31</v>
      </c>
      <c r="D784" t="s">
        <v>19</v>
      </c>
      <c r="E784">
        <v>14</v>
      </c>
      <c r="F784" t="s">
        <v>24</v>
      </c>
      <c r="G784">
        <f>1</f>
        <v>1</v>
      </c>
      <c r="H784" s="3">
        <v>4127.54</v>
      </c>
      <c r="I784" s="3">
        <v>4495.13</v>
      </c>
      <c r="J784" s="3">
        <f t="shared" si="85"/>
        <v>4225.4222</v>
      </c>
      <c r="K784" s="3">
        <f t="shared" si="86"/>
        <v>59155.910799999998</v>
      </c>
      <c r="L784" s="3">
        <f t="shared" si="89"/>
        <v>57785.56</v>
      </c>
      <c r="M784" s="8">
        <f t="shared" si="90"/>
        <v>1370.3508000000002</v>
      </c>
      <c r="N784" s="4">
        <f t="shared" si="87"/>
        <v>2.3165069753266317E-2</v>
      </c>
      <c r="O784" s="4" t="str">
        <f t="shared" si="88"/>
        <v>Profit</v>
      </c>
      <c r="P784" t="s">
        <v>28</v>
      </c>
      <c r="Q784">
        <v>0.06</v>
      </c>
      <c r="R784" t="s">
        <v>25</v>
      </c>
      <c r="S784" t="s">
        <v>20</v>
      </c>
      <c r="T784" t="s">
        <v>35</v>
      </c>
      <c r="U784" t="str">
        <f t="shared" si="91"/>
        <v>High-Cost</v>
      </c>
    </row>
    <row r="785" spans="1:21" x14ac:dyDescent="0.3">
      <c r="A785">
        <v>1080</v>
      </c>
      <c r="B785" s="1">
        <v>45241</v>
      </c>
      <c r="C785" s="2" t="s">
        <v>40</v>
      </c>
      <c r="D785" t="s">
        <v>32</v>
      </c>
      <c r="E785">
        <v>32</v>
      </c>
      <c r="F785" t="s">
        <v>33</v>
      </c>
      <c r="G785">
        <f>1</f>
        <v>1</v>
      </c>
      <c r="H785" s="3">
        <v>3414.54</v>
      </c>
      <c r="I785" s="3">
        <v>3753.83</v>
      </c>
      <c r="J785" s="3">
        <f t="shared" si="85"/>
        <v>2927.9874</v>
      </c>
      <c r="K785" s="3">
        <f t="shared" si="86"/>
        <v>93695.596799999999</v>
      </c>
      <c r="L785" s="3">
        <f t="shared" si="89"/>
        <v>109265.28</v>
      </c>
      <c r="M785" s="8">
        <f t="shared" si="90"/>
        <v>-15569.683199999999</v>
      </c>
      <c r="N785" s="4">
        <f t="shared" si="87"/>
        <v>-0.16617305115452341</v>
      </c>
      <c r="O785" s="4" t="str">
        <f t="shared" si="88"/>
        <v>Loss</v>
      </c>
      <c r="P785" t="s">
        <v>28</v>
      </c>
      <c r="Q785">
        <v>0.22</v>
      </c>
      <c r="R785" t="s">
        <v>16</v>
      </c>
      <c r="S785" t="s">
        <v>20</v>
      </c>
      <c r="T785" t="s">
        <v>50</v>
      </c>
      <c r="U785" t="str">
        <f t="shared" si="91"/>
        <v>High-Cost</v>
      </c>
    </row>
    <row r="786" spans="1:21" x14ac:dyDescent="0.3">
      <c r="A786">
        <v>1080</v>
      </c>
      <c r="B786" s="1">
        <v>44943</v>
      </c>
      <c r="C786" s="2" t="s">
        <v>12</v>
      </c>
      <c r="D786" t="s">
        <v>23</v>
      </c>
      <c r="E786">
        <v>47</v>
      </c>
      <c r="F786" t="s">
        <v>14</v>
      </c>
      <c r="G786">
        <f>1</f>
        <v>1</v>
      </c>
      <c r="H786" s="3">
        <v>4035.33</v>
      </c>
      <c r="I786" s="3">
        <v>4211.25</v>
      </c>
      <c r="J786" s="3">
        <f t="shared" si="85"/>
        <v>3916.4624999999996</v>
      </c>
      <c r="K786" s="3">
        <f t="shared" si="86"/>
        <v>184073.73749999999</v>
      </c>
      <c r="L786" s="3">
        <f t="shared" si="89"/>
        <v>189660.51</v>
      </c>
      <c r="M786" s="8">
        <f t="shared" si="90"/>
        <v>-5586.772500000021</v>
      </c>
      <c r="N786" s="4">
        <f t="shared" si="87"/>
        <v>-3.0350731048746273E-2</v>
      </c>
      <c r="O786" s="4" t="str">
        <f t="shared" si="88"/>
        <v>Loss</v>
      </c>
      <c r="P786" t="s">
        <v>15</v>
      </c>
      <c r="Q786">
        <v>7.0000000000000007E-2</v>
      </c>
      <c r="R786" t="s">
        <v>25</v>
      </c>
      <c r="S786" t="s">
        <v>17</v>
      </c>
      <c r="T786" t="s">
        <v>30</v>
      </c>
      <c r="U786" t="str">
        <f t="shared" si="91"/>
        <v>High-Cost</v>
      </c>
    </row>
    <row r="787" spans="1:21" x14ac:dyDescent="0.3">
      <c r="A787">
        <v>1080</v>
      </c>
      <c r="B787" s="1">
        <v>44944</v>
      </c>
      <c r="C787" s="2" t="s">
        <v>31</v>
      </c>
      <c r="D787" t="s">
        <v>32</v>
      </c>
      <c r="E787">
        <v>44</v>
      </c>
      <c r="F787" t="s">
        <v>33</v>
      </c>
      <c r="G787">
        <f>1</f>
        <v>1</v>
      </c>
      <c r="H787" s="3">
        <v>1763.67</v>
      </c>
      <c r="I787" s="3">
        <v>1983.82</v>
      </c>
      <c r="J787" s="3">
        <f t="shared" si="85"/>
        <v>1507.7031999999999</v>
      </c>
      <c r="K787" s="3">
        <f t="shared" si="86"/>
        <v>66338.940799999997</v>
      </c>
      <c r="L787" s="3">
        <f t="shared" si="89"/>
        <v>77601.48000000001</v>
      </c>
      <c r="M787" s="8">
        <f t="shared" si="90"/>
        <v>-11262.539200000014</v>
      </c>
      <c r="N787" s="4">
        <f t="shared" si="87"/>
        <v>-0.16977267143825145</v>
      </c>
      <c r="O787" s="4" t="str">
        <f t="shared" si="88"/>
        <v>Loss</v>
      </c>
      <c r="P787" t="s">
        <v>28</v>
      </c>
      <c r="Q787">
        <v>0.24</v>
      </c>
      <c r="R787" t="s">
        <v>29</v>
      </c>
      <c r="S787" t="s">
        <v>17</v>
      </c>
      <c r="T787" t="s">
        <v>34</v>
      </c>
      <c r="U787" t="str">
        <f t="shared" si="91"/>
        <v>Low-Cost</v>
      </c>
    </row>
    <row r="788" spans="1:21" x14ac:dyDescent="0.3">
      <c r="A788">
        <v>1080</v>
      </c>
      <c r="B788" s="1">
        <v>45159</v>
      </c>
      <c r="C788" s="2" t="s">
        <v>22</v>
      </c>
      <c r="D788" t="s">
        <v>23</v>
      </c>
      <c r="E788">
        <v>12</v>
      </c>
      <c r="F788" t="s">
        <v>33</v>
      </c>
      <c r="G788">
        <f>1</f>
        <v>1</v>
      </c>
      <c r="H788" s="3">
        <v>2316.13</v>
      </c>
      <c r="I788" s="3">
        <v>2525.27</v>
      </c>
      <c r="J788" s="3">
        <f t="shared" si="85"/>
        <v>2222.2375999999999</v>
      </c>
      <c r="K788" s="3">
        <f t="shared" si="86"/>
        <v>26666.851199999997</v>
      </c>
      <c r="L788" s="3">
        <f t="shared" si="89"/>
        <v>27793.56</v>
      </c>
      <c r="M788" s="8">
        <f t="shared" si="90"/>
        <v>-1126.708800000004</v>
      </c>
      <c r="N788" s="4">
        <f t="shared" si="87"/>
        <v>-4.2251287621089817E-2</v>
      </c>
      <c r="O788" s="4" t="str">
        <f t="shared" si="88"/>
        <v>Loss</v>
      </c>
      <c r="P788" t="s">
        <v>15</v>
      </c>
      <c r="Q788">
        <v>0.12</v>
      </c>
      <c r="R788" t="s">
        <v>29</v>
      </c>
      <c r="S788" t="s">
        <v>20</v>
      </c>
      <c r="T788" t="s">
        <v>26</v>
      </c>
      <c r="U788" t="str">
        <f t="shared" si="91"/>
        <v>Low-Cost</v>
      </c>
    </row>
    <row r="789" spans="1:21" x14ac:dyDescent="0.3">
      <c r="A789">
        <v>1080</v>
      </c>
      <c r="B789" s="1">
        <v>45162</v>
      </c>
      <c r="C789" s="2" t="s">
        <v>12</v>
      </c>
      <c r="D789" t="s">
        <v>19</v>
      </c>
      <c r="E789">
        <v>17</v>
      </c>
      <c r="F789" t="s">
        <v>14</v>
      </c>
      <c r="G789">
        <f>1</f>
        <v>1</v>
      </c>
      <c r="H789" s="3">
        <v>2742.67</v>
      </c>
      <c r="I789" s="3">
        <v>2979.64</v>
      </c>
      <c r="J789" s="3">
        <f t="shared" si="85"/>
        <v>2949.8435999999997</v>
      </c>
      <c r="K789" s="3">
        <f t="shared" si="86"/>
        <v>50147.341199999995</v>
      </c>
      <c r="L789" s="3">
        <f t="shared" si="89"/>
        <v>46625.39</v>
      </c>
      <c r="M789" s="8">
        <f t="shared" si="90"/>
        <v>3521.9511999999959</v>
      </c>
      <c r="N789" s="4">
        <f t="shared" si="87"/>
        <v>7.0232062472735765E-2</v>
      </c>
      <c r="O789" s="4" t="str">
        <f t="shared" si="88"/>
        <v>Profit</v>
      </c>
      <c r="P789" t="s">
        <v>15</v>
      </c>
      <c r="Q789">
        <v>0.01</v>
      </c>
      <c r="R789" t="s">
        <v>16</v>
      </c>
      <c r="S789" t="s">
        <v>20</v>
      </c>
      <c r="T789" t="s">
        <v>21</v>
      </c>
      <c r="U789" t="str">
        <f t="shared" si="91"/>
        <v>High-Cost</v>
      </c>
    </row>
    <row r="790" spans="1:21" x14ac:dyDescent="0.3">
      <c r="A790">
        <v>1080</v>
      </c>
      <c r="B790" s="1">
        <v>45104</v>
      </c>
      <c r="C790" s="2" t="s">
        <v>36</v>
      </c>
      <c r="D790" t="s">
        <v>19</v>
      </c>
      <c r="E790">
        <v>35</v>
      </c>
      <c r="F790" t="s">
        <v>14</v>
      </c>
      <c r="G790">
        <f>1</f>
        <v>1</v>
      </c>
      <c r="H790" s="3">
        <v>900.97</v>
      </c>
      <c r="I790" s="3">
        <v>1321.18</v>
      </c>
      <c r="J790" s="3">
        <f t="shared" si="85"/>
        <v>1189.0620000000001</v>
      </c>
      <c r="K790" s="3">
        <f t="shared" si="86"/>
        <v>41617.170000000006</v>
      </c>
      <c r="L790" s="3">
        <f t="shared" si="89"/>
        <v>31533.95</v>
      </c>
      <c r="M790" s="8">
        <f t="shared" si="90"/>
        <v>10083.220000000005</v>
      </c>
      <c r="N790" s="4">
        <f t="shared" si="87"/>
        <v>0.24228509531042125</v>
      </c>
      <c r="O790" s="4" t="str">
        <f t="shared" si="88"/>
        <v>Profit</v>
      </c>
      <c r="P790" t="s">
        <v>15</v>
      </c>
      <c r="Q790">
        <v>0.1</v>
      </c>
      <c r="R790" t="s">
        <v>16</v>
      </c>
      <c r="S790" t="s">
        <v>17</v>
      </c>
      <c r="T790" t="s">
        <v>39</v>
      </c>
      <c r="U790" t="str">
        <f t="shared" si="91"/>
        <v>Low-Cost</v>
      </c>
    </row>
    <row r="791" spans="1:21" x14ac:dyDescent="0.3">
      <c r="A791">
        <v>1081</v>
      </c>
      <c r="B791" s="1">
        <v>45173</v>
      </c>
      <c r="C791" s="2" t="s">
        <v>40</v>
      </c>
      <c r="D791" t="s">
        <v>13</v>
      </c>
      <c r="E791">
        <v>23</v>
      </c>
      <c r="F791" t="s">
        <v>33</v>
      </c>
      <c r="G791">
        <f>1</f>
        <v>1</v>
      </c>
      <c r="H791" s="3">
        <v>1236.25</v>
      </c>
      <c r="I791" s="3">
        <v>1543.38</v>
      </c>
      <c r="J791" s="3">
        <f t="shared" si="85"/>
        <v>1389.0420000000001</v>
      </c>
      <c r="K791" s="3">
        <f t="shared" si="86"/>
        <v>31947.966000000004</v>
      </c>
      <c r="L791" s="3">
        <f t="shared" si="89"/>
        <v>28433.75</v>
      </c>
      <c r="M791" s="8">
        <f t="shared" si="90"/>
        <v>3514.216000000004</v>
      </c>
      <c r="N791" s="4">
        <f t="shared" si="87"/>
        <v>0.10999811380793392</v>
      </c>
      <c r="O791" s="4" t="str">
        <f t="shared" si="88"/>
        <v>Profit</v>
      </c>
      <c r="P791" t="s">
        <v>28</v>
      </c>
      <c r="Q791">
        <v>0.1</v>
      </c>
      <c r="R791" t="s">
        <v>25</v>
      </c>
      <c r="S791" t="s">
        <v>17</v>
      </c>
      <c r="T791" t="s">
        <v>47</v>
      </c>
      <c r="U791" t="str">
        <f t="shared" si="91"/>
        <v>Low-Cost</v>
      </c>
    </row>
    <row r="792" spans="1:21" x14ac:dyDescent="0.3">
      <c r="A792">
        <v>1081</v>
      </c>
      <c r="B792" s="1">
        <v>44931</v>
      </c>
      <c r="C792" s="2" t="s">
        <v>12</v>
      </c>
      <c r="D792" t="s">
        <v>23</v>
      </c>
      <c r="E792">
        <v>44</v>
      </c>
      <c r="F792" t="s">
        <v>24</v>
      </c>
      <c r="G792">
        <f>1</f>
        <v>1</v>
      </c>
      <c r="H792" s="3">
        <v>618.79</v>
      </c>
      <c r="I792" s="3">
        <v>938.04</v>
      </c>
      <c r="J792" s="3">
        <f t="shared" si="85"/>
        <v>909.89879999999994</v>
      </c>
      <c r="K792" s="3">
        <f t="shared" si="86"/>
        <v>40035.547199999994</v>
      </c>
      <c r="L792" s="3">
        <f t="shared" si="89"/>
        <v>27226.76</v>
      </c>
      <c r="M792" s="8">
        <f t="shared" si="90"/>
        <v>12808.787199999995</v>
      </c>
      <c r="N792" s="4">
        <f t="shared" si="87"/>
        <v>0.3199353598444134</v>
      </c>
      <c r="O792" s="4" t="str">
        <f t="shared" si="88"/>
        <v>Profit</v>
      </c>
      <c r="P792" t="s">
        <v>15</v>
      </c>
      <c r="Q792">
        <v>0.03</v>
      </c>
      <c r="R792" t="s">
        <v>16</v>
      </c>
      <c r="S792" t="s">
        <v>17</v>
      </c>
      <c r="T792" t="s">
        <v>30</v>
      </c>
      <c r="U792" t="str">
        <f t="shared" si="91"/>
        <v>Low-Cost</v>
      </c>
    </row>
    <row r="793" spans="1:21" x14ac:dyDescent="0.3">
      <c r="A793">
        <v>1081</v>
      </c>
      <c r="B793" s="1">
        <v>44964</v>
      </c>
      <c r="C793" s="2" t="s">
        <v>22</v>
      </c>
      <c r="D793" t="s">
        <v>32</v>
      </c>
      <c r="E793">
        <v>41</v>
      </c>
      <c r="F793" t="s">
        <v>14</v>
      </c>
      <c r="G793">
        <f>1</f>
        <v>1</v>
      </c>
      <c r="H793" s="3">
        <v>2782.08</v>
      </c>
      <c r="I793" s="3">
        <v>2879.24</v>
      </c>
      <c r="J793" s="3">
        <f t="shared" si="85"/>
        <v>2274.5996</v>
      </c>
      <c r="K793" s="3">
        <f t="shared" si="86"/>
        <v>93258.583599999998</v>
      </c>
      <c r="L793" s="3">
        <f t="shared" si="89"/>
        <v>114065.28</v>
      </c>
      <c r="M793" s="8">
        <f t="shared" si="90"/>
        <v>-20806.696400000001</v>
      </c>
      <c r="N793" s="4">
        <f t="shared" si="87"/>
        <v>-0.22310757462544178</v>
      </c>
      <c r="O793" s="4" t="str">
        <f t="shared" si="88"/>
        <v>Loss</v>
      </c>
      <c r="P793" t="s">
        <v>28</v>
      </c>
      <c r="Q793">
        <v>0.21</v>
      </c>
      <c r="R793" t="s">
        <v>25</v>
      </c>
      <c r="S793" t="s">
        <v>17</v>
      </c>
      <c r="T793" t="s">
        <v>48</v>
      </c>
      <c r="U793" t="str">
        <f t="shared" si="91"/>
        <v>High-Cost</v>
      </c>
    </row>
    <row r="794" spans="1:21" x14ac:dyDescent="0.3">
      <c r="A794">
        <v>1081</v>
      </c>
      <c r="B794" s="1">
        <v>45028</v>
      </c>
      <c r="C794" s="2" t="s">
        <v>12</v>
      </c>
      <c r="D794" t="s">
        <v>23</v>
      </c>
      <c r="E794">
        <v>19</v>
      </c>
      <c r="F794" t="s">
        <v>24</v>
      </c>
      <c r="G794">
        <f>1</f>
        <v>1</v>
      </c>
      <c r="H794" s="3">
        <v>2443.69</v>
      </c>
      <c r="I794" s="3">
        <v>2462.34</v>
      </c>
      <c r="J794" s="3">
        <f t="shared" si="85"/>
        <v>2289.9762000000001</v>
      </c>
      <c r="K794" s="3">
        <f t="shared" si="86"/>
        <v>43509.5478</v>
      </c>
      <c r="L794" s="3">
        <f t="shared" si="89"/>
        <v>46430.11</v>
      </c>
      <c r="M794" s="8">
        <f t="shared" si="90"/>
        <v>-2920.5622000000003</v>
      </c>
      <c r="N794" s="4">
        <f t="shared" si="87"/>
        <v>-6.7124627758140029E-2</v>
      </c>
      <c r="O794" s="4" t="str">
        <f t="shared" si="88"/>
        <v>Loss</v>
      </c>
      <c r="P794" t="s">
        <v>28</v>
      </c>
      <c r="Q794">
        <v>7.0000000000000007E-2</v>
      </c>
      <c r="R794" t="s">
        <v>25</v>
      </c>
      <c r="S794" t="s">
        <v>20</v>
      </c>
      <c r="T794" t="s">
        <v>30</v>
      </c>
      <c r="U794" t="str">
        <f t="shared" si="91"/>
        <v>Low-Cost</v>
      </c>
    </row>
    <row r="795" spans="1:21" x14ac:dyDescent="0.3">
      <c r="A795">
        <v>1081</v>
      </c>
      <c r="B795" s="1">
        <v>45121</v>
      </c>
      <c r="C795" s="2" t="s">
        <v>36</v>
      </c>
      <c r="D795" t="s">
        <v>13</v>
      </c>
      <c r="E795">
        <v>16</v>
      </c>
      <c r="F795" t="s">
        <v>27</v>
      </c>
      <c r="G795">
        <f>1</f>
        <v>1</v>
      </c>
      <c r="H795" s="3">
        <v>2530.15</v>
      </c>
      <c r="I795" s="3">
        <v>2568.13</v>
      </c>
      <c r="J795" s="3">
        <f t="shared" si="85"/>
        <v>2542.4486999999999</v>
      </c>
      <c r="K795" s="3">
        <f t="shared" si="86"/>
        <v>40679.179199999999</v>
      </c>
      <c r="L795" s="3">
        <f t="shared" si="89"/>
        <v>40482.400000000001</v>
      </c>
      <c r="M795" s="8">
        <f t="shared" si="90"/>
        <v>196.77919999999722</v>
      </c>
      <c r="N795" s="4">
        <f t="shared" si="87"/>
        <v>4.8373444073816817E-3</v>
      </c>
      <c r="O795" s="4" t="str">
        <f t="shared" si="88"/>
        <v>Profit</v>
      </c>
      <c r="P795" t="s">
        <v>28</v>
      </c>
      <c r="Q795">
        <v>0.01</v>
      </c>
      <c r="R795" t="s">
        <v>29</v>
      </c>
      <c r="S795" t="s">
        <v>17</v>
      </c>
      <c r="T795" t="s">
        <v>38</v>
      </c>
      <c r="U795" t="str">
        <f t="shared" si="91"/>
        <v>Low-Cost</v>
      </c>
    </row>
    <row r="796" spans="1:21" x14ac:dyDescent="0.3">
      <c r="A796">
        <v>1081</v>
      </c>
      <c r="B796" s="1">
        <v>45032</v>
      </c>
      <c r="C796" s="2" t="s">
        <v>31</v>
      </c>
      <c r="D796" t="s">
        <v>19</v>
      </c>
      <c r="E796">
        <v>44</v>
      </c>
      <c r="F796" t="s">
        <v>33</v>
      </c>
      <c r="G796">
        <f>1</f>
        <v>1</v>
      </c>
      <c r="H796" s="3">
        <v>1362.15</v>
      </c>
      <c r="I796" s="3">
        <v>1844.07</v>
      </c>
      <c r="J796" s="3">
        <f t="shared" si="85"/>
        <v>1309.2896999999998</v>
      </c>
      <c r="K796" s="3">
        <f t="shared" si="86"/>
        <v>57608.746800000001</v>
      </c>
      <c r="L796" s="3">
        <f t="shared" si="89"/>
        <v>59934.600000000006</v>
      </c>
      <c r="M796" s="8">
        <f t="shared" si="90"/>
        <v>-2325.853200000005</v>
      </c>
      <c r="N796" s="4">
        <f t="shared" si="87"/>
        <v>-4.0373264984823534E-2</v>
      </c>
      <c r="O796" s="4" t="str">
        <f t="shared" si="88"/>
        <v>Loss</v>
      </c>
      <c r="P796" t="s">
        <v>28</v>
      </c>
      <c r="Q796">
        <v>0.28999999999999998</v>
      </c>
      <c r="R796" t="s">
        <v>29</v>
      </c>
      <c r="S796" t="s">
        <v>17</v>
      </c>
      <c r="T796" t="s">
        <v>35</v>
      </c>
      <c r="U796" t="str">
        <f t="shared" si="91"/>
        <v>Low-Cost</v>
      </c>
    </row>
    <row r="797" spans="1:21" x14ac:dyDescent="0.3">
      <c r="A797">
        <v>1081</v>
      </c>
      <c r="B797" s="1">
        <v>45227</v>
      </c>
      <c r="C797" s="2" t="s">
        <v>31</v>
      </c>
      <c r="D797" t="s">
        <v>13</v>
      </c>
      <c r="E797">
        <v>23</v>
      </c>
      <c r="F797" t="s">
        <v>24</v>
      </c>
      <c r="G797">
        <f>1</f>
        <v>1</v>
      </c>
      <c r="H797" s="3">
        <v>1411.37</v>
      </c>
      <c r="I797" s="3">
        <v>1675.35</v>
      </c>
      <c r="J797" s="3">
        <f t="shared" si="85"/>
        <v>1323.5264999999999</v>
      </c>
      <c r="K797" s="3">
        <f t="shared" si="86"/>
        <v>30441.109499999999</v>
      </c>
      <c r="L797" s="3">
        <f t="shared" si="89"/>
        <v>32461.51</v>
      </c>
      <c r="M797" s="8">
        <f t="shared" si="90"/>
        <v>-2020.4004999999997</v>
      </c>
      <c r="N797" s="4">
        <f t="shared" si="87"/>
        <v>-6.6370790460183446E-2</v>
      </c>
      <c r="O797" s="4" t="str">
        <f t="shared" si="88"/>
        <v>Loss</v>
      </c>
      <c r="P797" t="s">
        <v>28</v>
      </c>
      <c r="Q797">
        <v>0.21</v>
      </c>
      <c r="R797" t="s">
        <v>16</v>
      </c>
      <c r="S797" t="s">
        <v>20</v>
      </c>
      <c r="T797" t="s">
        <v>51</v>
      </c>
      <c r="U797" t="str">
        <f t="shared" si="91"/>
        <v>Low-Cost</v>
      </c>
    </row>
    <row r="798" spans="1:21" x14ac:dyDescent="0.3">
      <c r="A798">
        <v>1082</v>
      </c>
      <c r="B798" s="1">
        <v>45082</v>
      </c>
      <c r="C798" s="2" t="s">
        <v>31</v>
      </c>
      <c r="D798" t="s">
        <v>32</v>
      </c>
      <c r="E798">
        <v>15</v>
      </c>
      <c r="F798" t="s">
        <v>27</v>
      </c>
      <c r="G798">
        <f>1</f>
        <v>1</v>
      </c>
      <c r="H798" s="3">
        <v>1719.47</v>
      </c>
      <c r="I798" s="3">
        <v>1832.6</v>
      </c>
      <c r="J798" s="3">
        <f t="shared" si="85"/>
        <v>1612.6879999999999</v>
      </c>
      <c r="K798" s="3">
        <f t="shared" si="86"/>
        <v>24190.32</v>
      </c>
      <c r="L798" s="3">
        <f t="shared" si="89"/>
        <v>25792.05</v>
      </c>
      <c r="M798" s="8">
        <f t="shared" si="90"/>
        <v>-1601.7299999999996</v>
      </c>
      <c r="N798" s="4">
        <f t="shared" si="87"/>
        <v>-6.6213675552865753E-2</v>
      </c>
      <c r="O798" s="4" t="str">
        <f t="shared" si="88"/>
        <v>Loss</v>
      </c>
      <c r="P798" t="s">
        <v>15</v>
      </c>
      <c r="Q798">
        <v>0.12</v>
      </c>
      <c r="R798" t="s">
        <v>29</v>
      </c>
      <c r="S798" t="s">
        <v>17</v>
      </c>
      <c r="T798" t="s">
        <v>34</v>
      </c>
      <c r="U798" t="str">
        <f t="shared" si="91"/>
        <v>Low-Cost</v>
      </c>
    </row>
    <row r="799" spans="1:21" x14ac:dyDescent="0.3">
      <c r="A799">
        <v>1082</v>
      </c>
      <c r="B799" s="1">
        <v>45088</v>
      </c>
      <c r="C799" s="2" t="s">
        <v>40</v>
      </c>
      <c r="D799" t="s">
        <v>13</v>
      </c>
      <c r="E799">
        <v>17</v>
      </c>
      <c r="F799" t="s">
        <v>14</v>
      </c>
      <c r="G799">
        <f>1</f>
        <v>1</v>
      </c>
      <c r="H799" s="3">
        <v>890.31</v>
      </c>
      <c r="I799" s="3">
        <v>1159.06</v>
      </c>
      <c r="J799" s="3">
        <f t="shared" si="85"/>
        <v>1089.5164</v>
      </c>
      <c r="K799" s="3">
        <f t="shared" si="86"/>
        <v>18521.7788</v>
      </c>
      <c r="L799" s="3">
        <f t="shared" si="89"/>
        <v>15135.269999999999</v>
      </c>
      <c r="M799" s="8">
        <f t="shared" si="90"/>
        <v>3386.5088000000014</v>
      </c>
      <c r="N799" s="4">
        <f t="shared" si="87"/>
        <v>0.18283928539304234</v>
      </c>
      <c r="O799" s="4" t="str">
        <f t="shared" si="88"/>
        <v>Profit</v>
      </c>
      <c r="P799" t="s">
        <v>15</v>
      </c>
      <c r="Q799">
        <v>0.06</v>
      </c>
      <c r="R799" t="s">
        <v>16</v>
      </c>
      <c r="S799" t="s">
        <v>20</v>
      </c>
      <c r="T799" t="s">
        <v>47</v>
      </c>
      <c r="U799" t="str">
        <f t="shared" si="91"/>
        <v>Low-Cost</v>
      </c>
    </row>
    <row r="800" spans="1:21" x14ac:dyDescent="0.3">
      <c r="A800">
        <v>1082</v>
      </c>
      <c r="B800" s="1">
        <v>45149</v>
      </c>
      <c r="C800" s="2" t="s">
        <v>31</v>
      </c>
      <c r="D800" t="s">
        <v>13</v>
      </c>
      <c r="E800">
        <v>43</v>
      </c>
      <c r="F800" t="s">
        <v>14</v>
      </c>
      <c r="G800">
        <f>1</f>
        <v>1</v>
      </c>
      <c r="H800" s="3">
        <v>2289.2199999999998</v>
      </c>
      <c r="I800" s="3">
        <v>2581</v>
      </c>
      <c r="J800" s="3">
        <f t="shared" si="85"/>
        <v>2451.9499999999998</v>
      </c>
      <c r="K800" s="3">
        <f t="shared" si="86"/>
        <v>105433.84999999999</v>
      </c>
      <c r="L800" s="3">
        <f t="shared" si="89"/>
        <v>98436.459999999992</v>
      </c>
      <c r="M800" s="8">
        <f t="shared" si="90"/>
        <v>6997.3899999999994</v>
      </c>
      <c r="N800" s="4">
        <f t="shared" si="87"/>
        <v>6.6367584983380579E-2</v>
      </c>
      <c r="O800" s="4" t="str">
        <f t="shared" si="88"/>
        <v>Profit</v>
      </c>
      <c r="P800" t="s">
        <v>28</v>
      </c>
      <c r="Q800">
        <v>0.05</v>
      </c>
      <c r="R800" t="s">
        <v>25</v>
      </c>
      <c r="S800" t="s">
        <v>17</v>
      </c>
      <c r="T800" t="s">
        <v>51</v>
      </c>
      <c r="U800" t="str">
        <f t="shared" si="91"/>
        <v>Low-Cost</v>
      </c>
    </row>
    <row r="801" spans="1:21" x14ac:dyDescent="0.3">
      <c r="A801">
        <v>1082</v>
      </c>
      <c r="B801" s="1">
        <v>45072</v>
      </c>
      <c r="C801" s="2" t="s">
        <v>22</v>
      </c>
      <c r="D801" t="s">
        <v>23</v>
      </c>
      <c r="E801">
        <v>2</v>
      </c>
      <c r="F801" t="s">
        <v>14</v>
      </c>
      <c r="G801">
        <f>1</f>
        <v>1</v>
      </c>
      <c r="H801" s="3">
        <v>1349.3</v>
      </c>
      <c r="I801" s="3">
        <v>1576.69</v>
      </c>
      <c r="J801" s="3">
        <f t="shared" si="85"/>
        <v>1387.4872</v>
      </c>
      <c r="K801" s="3">
        <f t="shared" si="86"/>
        <v>2774.9744000000001</v>
      </c>
      <c r="L801" s="3">
        <f t="shared" si="89"/>
        <v>2698.6</v>
      </c>
      <c r="M801" s="8">
        <f t="shared" si="90"/>
        <v>76.374400000000151</v>
      </c>
      <c r="N801" s="4">
        <f t="shared" si="87"/>
        <v>2.7522560208123055E-2</v>
      </c>
      <c r="O801" s="4" t="str">
        <f t="shared" si="88"/>
        <v>Profit</v>
      </c>
      <c r="P801" t="s">
        <v>15</v>
      </c>
      <c r="Q801">
        <v>0.12</v>
      </c>
      <c r="R801" t="s">
        <v>29</v>
      </c>
      <c r="S801" t="s">
        <v>17</v>
      </c>
      <c r="T801" t="s">
        <v>26</v>
      </c>
      <c r="U801" t="str">
        <f t="shared" si="91"/>
        <v>Low-Cost</v>
      </c>
    </row>
    <row r="802" spans="1:21" x14ac:dyDescent="0.3">
      <c r="A802">
        <v>1082</v>
      </c>
      <c r="B802" s="1">
        <v>45135</v>
      </c>
      <c r="C802" s="2" t="s">
        <v>40</v>
      </c>
      <c r="D802" t="s">
        <v>32</v>
      </c>
      <c r="E802">
        <v>48</v>
      </c>
      <c r="F802" t="s">
        <v>24</v>
      </c>
      <c r="G802">
        <f>1</f>
        <v>1</v>
      </c>
      <c r="H802" s="3">
        <v>3380.52</v>
      </c>
      <c r="I802" s="3">
        <v>3778.94</v>
      </c>
      <c r="J802" s="3">
        <f t="shared" si="85"/>
        <v>2645.2579999999998</v>
      </c>
      <c r="K802" s="3">
        <f t="shared" si="86"/>
        <v>126972.38399999999</v>
      </c>
      <c r="L802" s="3">
        <f t="shared" si="89"/>
        <v>162264.95999999999</v>
      </c>
      <c r="M802" s="8">
        <f t="shared" si="90"/>
        <v>-35292.576000000001</v>
      </c>
      <c r="N802" s="4">
        <f t="shared" si="87"/>
        <v>-0.27795474014254945</v>
      </c>
      <c r="O802" s="4" t="str">
        <f t="shared" si="88"/>
        <v>Loss</v>
      </c>
      <c r="P802" t="s">
        <v>15</v>
      </c>
      <c r="Q802">
        <v>0.3</v>
      </c>
      <c r="R802" t="s">
        <v>25</v>
      </c>
      <c r="S802" t="s">
        <v>17</v>
      </c>
      <c r="T802" t="s">
        <v>50</v>
      </c>
      <c r="U802" t="str">
        <f t="shared" si="91"/>
        <v>High-Cost</v>
      </c>
    </row>
    <row r="803" spans="1:21" x14ac:dyDescent="0.3">
      <c r="A803">
        <v>1082</v>
      </c>
      <c r="B803" s="1">
        <v>45136</v>
      </c>
      <c r="C803" s="2" t="s">
        <v>36</v>
      </c>
      <c r="D803" t="s">
        <v>32</v>
      </c>
      <c r="E803">
        <v>46</v>
      </c>
      <c r="F803" t="s">
        <v>24</v>
      </c>
      <c r="G803">
        <f>1</f>
        <v>1</v>
      </c>
      <c r="H803" s="3">
        <v>1102.69</v>
      </c>
      <c r="I803" s="3">
        <v>1437.12</v>
      </c>
      <c r="J803" s="3">
        <f t="shared" si="85"/>
        <v>1279.0367999999999</v>
      </c>
      <c r="K803" s="3">
        <f t="shared" si="86"/>
        <v>58835.69279999999</v>
      </c>
      <c r="L803" s="3">
        <f t="shared" si="89"/>
        <v>50723.740000000005</v>
      </c>
      <c r="M803" s="8">
        <f t="shared" si="90"/>
        <v>8111.9527999999846</v>
      </c>
      <c r="N803" s="4">
        <f t="shared" si="87"/>
        <v>0.13787468820287244</v>
      </c>
      <c r="O803" s="4" t="str">
        <f t="shared" si="88"/>
        <v>Profit</v>
      </c>
      <c r="P803" t="s">
        <v>28</v>
      </c>
      <c r="Q803">
        <v>0.11</v>
      </c>
      <c r="R803" t="s">
        <v>29</v>
      </c>
      <c r="S803" t="s">
        <v>17</v>
      </c>
      <c r="T803" t="s">
        <v>46</v>
      </c>
      <c r="U803" t="str">
        <f t="shared" si="91"/>
        <v>Low-Cost</v>
      </c>
    </row>
    <row r="804" spans="1:21" x14ac:dyDescent="0.3">
      <c r="A804">
        <v>1082</v>
      </c>
      <c r="B804" s="1">
        <v>45260</v>
      </c>
      <c r="C804" s="2" t="s">
        <v>40</v>
      </c>
      <c r="D804" t="s">
        <v>23</v>
      </c>
      <c r="E804">
        <v>41</v>
      </c>
      <c r="F804" t="s">
        <v>33</v>
      </c>
      <c r="G804">
        <f>1</f>
        <v>1</v>
      </c>
      <c r="H804" s="3">
        <v>1196.42</v>
      </c>
      <c r="I804" s="3">
        <v>1444.97</v>
      </c>
      <c r="J804" s="3">
        <f t="shared" si="85"/>
        <v>1141.5263</v>
      </c>
      <c r="K804" s="3">
        <f t="shared" si="86"/>
        <v>46802.578300000008</v>
      </c>
      <c r="L804" s="3">
        <f t="shared" si="89"/>
        <v>49053.22</v>
      </c>
      <c r="M804" s="8">
        <f t="shared" si="90"/>
        <v>-2250.6416999999929</v>
      </c>
      <c r="N804" s="4">
        <f t="shared" si="87"/>
        <v>-4.8087985357849236E-2</v>
      </c>
      <c r="O804" s="4" t="str">
        <f t="shared" si="88"/>
        <v>Loss</v>
      </c>
      <c r="P804" t="s">
        <v>15</v>
      </c>
      <c r="Q804">
        <v>0.21</v>
      </c>
      <c r="R804" t="s">
        <v>25</v>
      </c>
      <c r="S804" t="s">
        <v>17</v>
      </c>
      <c r="T804" t="s">
        <v>41</v>
      </c>
      <c r="U804" t="str">
        <f t="shared" si="91"/>
        <v>Low-Cost</v>
      </c>
    </row>
    <row r="805" spans="1:21" x14ac:dyDescent="0.3">
      <c r="A805">
        <v>1083</v>
      </c>
      <c r="B805" s="1">
        <v>45027</v>
      </c>
      <c r="C805" s="2" t="s">
        <v>12</v>
      </c>
      <c r="D805" t="s">
        <v>19</v>
      </c>
      <c r="E805">
        <v>29</v>
      </c>
      <c r="F805" t="s">
        <v>14</v>
      </c>
      <c r="G805">
        <f>1</f>
        <v>1</v>
      </c>
      <c r="H805" s="3">
        <v>2408.81</v>
      </c>
      <c r="I805" s="3">
        <v>2624.09</v>
      </c>
      <c r="J805" s="3">
        <f t="shared" si="85"/>
        <v>2256.7174</v>
      </c>
      <c r="K805" s="3">
        <f t="shared" si="86"/>
        <v>65444.804600000003</v>
      </c>
      <c r="L805" s="3">
        <f t="shared" si="89"/>
        <v>69855.490000000005</v>
      </c>
      <c r="M805" s="8">
        <f t="shared" si="90"/>
        <v>-4410.6854000000021</v>
      </c>
      <c r="N805" s="4">
        <f t="shared" si="87"/>
        <v>-6.7395501093756832E-2</v>
      </c>
      <c r="O805" s="4" t="str">
        <f t="shared" si="88"/>
        <v>Loss</v>
      </c>
      <c r="P805" t="s">
        <v>15</v>
      </c>
      <c r="Q805">
        <v>0.14000000000000001</v>
      </c>
      <c r="R805" t="s">
        <v>16</v>
      </c>
      <c r="S805" t="s">
        <v>17</v>
      </c>
      <c r="T805" t="s">
        <v>21</v>
      </c>
      <c r="U805" t="str">
        <f t="shared" si="91"/>
        <v>Low-Cost</v>
      </c>
    </row>
    <row r="806" spans="1:21" x14ac:dyDescent="0.3">
      <c r="A806">
        <v>1083</v>
      </c>
      <c r="B806" s="1">
        <v>45152</v>
      </c>
      <c r="C806" s="2" t="s">
        <v>36</v>
      </c>
      <c r="D806" t="s">
        <v>19</v>
      </c>
      <c r="E806">
        <v>42</v>
      </c>
      <c r="F806" t="s">
        <v>27</v>
      </c>
      <c r="G806">
        <f>1</f>
        <v>1</v>
      </c>
      <c r="H806" s="3">
        <v>2505.41</v>
      </c>
      <c r="I806" s="3">
        <v>2638.96</v>
      </c>
      <c r="J806" s="3">
        <f t="shared" si="85"/>
        <v>2375.0640000000003</v>
      </c>
      <c r="K806" s="3">
        <f t="shared" si="86"/>
        <v>99752.688000000009</v>
      </c>
      <c r="L806" s="3">
        <f t="shared" si="89"/>
        <v>105227.22</v>
      </c>
      <c r="M806" s="8">
        <f t="shared" si="90"/>
        <v>-5474.531999999992</v>
      </c>
      <c r="N806" s="4">
        <f t="shared" si="87"/>
        <v>-5.4881047415985339E-2</v>
      </c>
      <c r="O806" s="4" t="str">
        <f t="shared" si="88"/>
        <v>Loss</v>
      </c>
      <c r="P806" t="s">
        <v>28</v>
      </c>
      <c r="Q806">
        <v>0.1</v>
      </c>
      <c r="R806" t="s">
        <v>25</v>
      </c>
      <c r="S806" t="s">
        <v>17</v>
      </c>
      <c r="T806" t="s">
        <v>39</v>
      </c>
      <c r="U806" t="str">
        <f t="shared" si="91"/>
        <v>Low-Cost</v>
      </c>
    </row>
    <row r="807" spans="1:21" x14ac:dyDescent="0.3">
      <c r="A807">
        <v>1083</v>
      </c>
      <c r="B807" s="1">
        <v>44951</v>
      </c>
      <c r="C807" s="2" t="s">
        <v>22</v>
      </c>
      <c r="D807" t="s">
        <v>32</v>
      </c>
      <c r="E807">
        <v>34</v>
      </c>
      <c r="F807" t="s">
        <v>27</v>
      </c>
      <c r="G807">
        <f>1</f>
        <v>1</v>
      </c>
      <c r="H807" s="3">
        <v>1167.9100000000001</v>
      </c>
      <c r="I807" s="3">
        <v>1547.26</v>
      </c>
      <c r="J807" s="3">
        <f t="shared" si="85"/>
        <v>1377.0614</v>
      </c>
      <c r="K807" s="3">
        <f t="shared" si="86"/>
        <v>46820.087599999999</v>
      </c>
      <c r="L807" s="3">
        <f t="shared" si="89"/>
        <v>39708.94</v>
      </c>
      <c r="M807" s="8">
        <f t="shared" si="90"/>
        <v>7111.1475999999966</v>
      </c>
      <c r="N807" s="4">
        <f t="shared" si="87"/>
        <v>0.15188240698635508</v>
      </c>
      <c r="O807" s="4" t="str">
        <f t="shared" si="88"/>
        <v>Profit</v>
      </c>
      <c r="P807" t="s">
        <v>28</v>
      </c>
      <c r="Q807">
        <v>0.11</v>
      </c>
      <c r="R807" t="s">
        <v>25</v>
      </c>
      <c r="S807" t="s">
        <v>17</v>
      </c>
      <c r="T807" t="s">
        <v>48</v>
      </c>
      <c r="U807" t="str">
        <f t="shared" si="91"/>
        <v>Low-Cost</v>
      </c>
    </row>
    <row r="808" spans="1:21" x14ac:dyDescent="0.3">
      <c r="A808">
        <v>1083</v>
      </c>
      <c r="B808" s="1">
        <v>44984</v>
      </c>
      <c r="C808" s="2" t="s">
        <v>40</v>
      </c>
      <c r="D808" t="s">
        <v>19</v>
      </c>
      <c r="E808">
        <v>20</v>
      </c>
      <c r="F808" t="s">
        <v>27</v>
      </c>
      <c r="G808">
        <f>1</f>
        <v>1</v>
      </c>
      <c r="H808" s="3">
        <v>3617.59</v>
      </c>
      <c r="I808" s="3">
        <v>4003.5</v>
      </c>
      <c r="J808" s="3">
        <f t="shared" si="85"/>
        <v>3963.4650000000001</v>
      </c>
      <c r="K808" s="3">
        <f t="shared" si="86"/>
        <v>79269.3</v>
      </c>
      <c r="L808" s="3">
        <f t="shared" si="89"/>
        <v>72351.8</v>
      </c>
      <c r="M808" s="8">
        <f t="shared" si="90"/>
        <v>6917.5</v>
      </c>
      <c r="N808" s="4">
        <f t="shared" si="87"/>
        <v>8.7265814129808134E-2</v>
      </c>
      <c r="O808" s="4" t="str">
        <f t="shared" si="88"/>
        <v>Profit</v>
      </c>
      <c r="P808" t="s">
        <v>28</v>
      </c>
      <c r="Q808">
        <v>0.01</v>
      </c>
      <c r="R808" t="s">
        <v>29</v>
      </c>
      <c r="S808" t="s">
        <v>20</v>
      </c>
      <c r="T808" t="s">
        <v>49</v>
      </c>
      <c r="U808" t="str">
        <f t="shared" si="91"/>
        <v>High-Cost</v>
      </c>
    </row>
    <row r="809" spans="1:21" x14ac:dyDescent="0.3">
      <c r="A809">
        <v>1084</v>
      </c>
      <c r="B809" s="1">
        <v>44937</v>
      </c>
      <c r="C809" s="2" t="s">
        <v>12</v>
      </c>
      <c r="D809" t="s">
        <v>32</v>
      </c>
      <c r="E809">
        <v>21</v>
      </c>
      <c r="F809" t="s">
        <v>27</v>
      </c>
      <c r="G809">
        <f>1</f>
        <v>1</v>
      </c>
      <c r="H809" s="3">
        <v>576.74</v>
      </c>
      <c r="I809" s="3">
        <v>648.29</v>
      </c>
      <c r="J809" s="3">
        <f t="shared" si="85"/>
        <v>518.63199999999995</v>
      </c>
      <c r="K809" s="3">
        <f t="shared" si="86"/>
        <v>10891.272000000001</v>
      </c>
      <c r="L809" s="3">
        <f t="shared" si="89"/>
        <v>12111.54</v>
      </c>
      <c r="M809" s="8">
        <f t="shared" si="90"/>
        <v>-1220.268</v>
      </c>
      <c r="N809" s="4">
        <f t="shared" si="87"/>
        <v>-0.11204090761850406</v>
      </c>
      <c r="O809" s="4" t="str">
        <f t="shared" si="88"/>
        <v>Loss</v>
      </c>
      <c r="P809" t="s">
        <v>15</v>
      </c>
      <c r="Q809">
        <v>0.2</v>
      </c>
      <c r="R809" t="s">
        <v>25</v>
      </c>
      <c r="S809" t="s">
        <v>17</v>
      </c>
      <c r="T809" t="s">
        <v>44</v>
      </c>
      <c r="U809" t="str">
        <f t="shared" si="91"/>
        <v>Low-Cost</v>
      </c>
    </row>
    <row r="810" spans="1:21" x14ac:dyDescent="0.3">
      <c r="A810">
        <v>1084</v>
      </c>
      <c r="B810" s="1">
        <v>45151</v>
      </c>
      <c r="C810" s="2" t="s">
        <v>40</v>
      </c>
      <c r="D810" t="s">
        <v>19</v>
      </c>
      <c r="E810">
        <v>21</v>
      </c>
      <c r="F810" t="s">
        <v>14</v>
      </c>
      <c r="G810">
        <f>1</f>
        <v>1</v>
      </c>
      <c r="H810" s="3">
        <v>3497.98</v>
      </c>
      <c r="I810" s="3">
        <v>3765.31</v>
      </c>
      <c r="J810" s="3">
        <f t="shared" si="85"/>
        <v>3464.0852</v>
      </c>
      <c r="K810" s="3">
        <f t="shared" si="86"/>
        <v>72745.789199999999</v>
      </c>
      <c r="L810" s="3">
        <f t="shared" si="89"/>
        <v>73457.58</v>
      </c>
      <c r="M810" s="8">
        <f t="shared" si="90"/>
        <v>-711.79080000000249</v>
      </c>
      <c r="N810" s="4">
        <f t="shared" si="87"/>
        <v>-9.7846323179349402E-3</v>
      </c>
      <c r="O810" s="4" t="str">
        <f t="shared" si="88"/>
        <v>Loss</v>
      </c>
      <c r="P810" t="s">
        <v>28</v>
      </c>
      <c r="Q810">
        <v>0.08</v>
      </c>
      <c r="R810" t="s">
        <v>16</v>
      </c>
      <c r="S810" t="s">
        <v>17</v>
      </c>
      <c r="T810" t="s">
        <v>49</v>
      </c>
      <c r="U810" t="str">
        <f t="shared" si="91"/>
        <v>High-Cost</v>
      </c>
    </row>
    <row r="811" spans="1:21" x14ac:dyDescent="0.3">
      <c r="A811">
        <v>1084</v>
      </c>
      <c r="B811" s="1">
        <v>44976</v>
      </c>
      <c r="C811" s="2" t="s">
        <v>22</v>
      </c>
      <c r="D811" t="s">
        <v>19</v>
      </c>
      <c r="E811">
        <v>35</v>
      </c>
      <c r="F811" t="s">
        <v>24</v>
      </c>
      <c r="G811">
        <f>1</f>
        <v>1</v>
      </c>
      <c r="H811" s="3">
        <v>465.61</v>
      </c>
      <c r="I811" s="3">
        <v>812.91</v>
      </c>
      <c r="J811" s="3">
        <f t="shared" si="85"/>
        <v>682.84439999999995</v>
      </c>
      <c r="K811" s="3">
        <f t="shared" si="86"/>
        <v>23899.553999999996</v>
      </c>
      <c r="L811" s="3">
        <f t="shared" si="89"/>
        <v>16296.35</v>
      </c>
      <c r="M811" s="8">
        <f t="shared" si="90"/>
        <v>7603.2039999999961</v>
      </c>
      <c r="N811" s="4">
        <f t="shared" si="87"/>
        <v>0.31813162705881448</v>
      </c>
      <c r="O811" s="4" t="str">
        <f t="shared" si="88"/>
        <v>Profit</v>
      </c>
      <c r="P811" t="s">
        <v>28</v>
      </c>
      <c r="Q811">
        <v>0.16</v>
      </c>
      <c r="R811" t="s">
        <v>25</v>
      </c>
      <c r="S811" t="s">
        <v>17</v>
      </c>
      <c r="T811" t="s">
        <v>45</v>
      </c>
      <c r="U811" t="str">
        <f t="shared" si="91"/>
        <v>Low-Cost</v>
      </c>
    </row>
    <row r="812" spans="1:21" x14ac:dyDescent="0.3">
      <c r="A812">
        <v>1084</v>
      </c>
      <c r="B812" s="1">
        <v>45250</v>
      </c>
      <c r="C812" s="2" t="s">
        <v>12</v>
      </c>
      <c r="D812" t="s">
        <v>23</v>
      </c>
      <c r="E812">
        <v>15</v>
      </c>
      <c r="F812" t="s">
        <v>14</v>
      </c>
      <c r="G812">
        <f>1</f>
        <v>1</v>
      </c>
      <c r="H812" s="3">
        <v>3420.72</v>
      </c>
      <c r="I812" s="3">
        <v>3513.74</v>
      </c>
      <c r="J812" s="3">
        <f t="shared" si="85"/>
        <v>3443.4651999999996</v>
      </c>
      <c r="K812" s="3">
        <f t="shared" si="86"/>
        <v>51651.977999999996</v>
      </c>
      <c r="L812" s="3">
        <f t="shared" si="89"/>
        <v>51310.799999999996</v>
      </c>
      <c r="M812" s="8">
        <f t="shared" si="90"/>
        <v>341.17799999999988</v>
      </c>
      <c r="N812" s="4">
        <f t="shared" si="87"/>
        <v>6.6053230333212006E-3</v>
      </c>
      <c r="O812" s="4" t="str">
        <f t="shared" si="88"/>
        <v>Profit</v>
      </c>
      <c r="P812" t="s">
        <v>28</v>
      </c>
      <c r="Q812">
        <v>0.02</v>
      </c>
      <c r="R812" t="s">
        <v>16</v>
      </c>
      <c r="S812" t="s">
        <v>17</v>
      </c>
      <c r="T812" t="s">
        <v>30</v>
      </c>
      <c r="U812" t="str">
        <f t="shared" si="91"/>
        <v>High-Cost</v>
      </c>
    </row>
    <row r="813" spans="1:21" x14ac:dyDescent="0.3">
      <c r="A813">
        <v>1084</v>
      </c>
      <c r="B813" s="1">
        <v>45006</v>
      </c>
      <c r="C813" s="2" t="s">
        <v>36</v>
      </c>
      <c r="D813" t="s">
        <v>23</v>
      </c>
      <c r="E813">
        <v>40</v>
      </c>
      <c r="F813" t="s">
        <v>24</v>
      </c>
      <c r="G813">
        <f>1</f>
        <v>1</v>
      </c>
      <c r="H813" s="3">
        <v>2890.95</v>
      </c>
      <c r="I813" s="3">
        <v>3104.43</v>
      </c>
      <c r="J813" s="3">
        <f t="shared" si="85"/>
        <v>2452.4996999999998</v>
      </c>
      <c r="K813" s="3">
        <f t="shared" si="86"/>
        <v>98099.987999999998</v>
      </c>
      <c r="L813" s="3">
        <f t="shared" si="89"/>
        <v>115638</v>
      </c>
      <c r="M813" s="8">
        <f t="shared" si="90"/>
        <v>-17538.012000000002</v>
      </c>
      <c r="N813" s="4">
        <f t="shared" si="87"/>
        <v>-0.17877690260267926</v>
      </c>
      <c r="O813" s="4" t="str">
        <f t="shared" si="88"/>
        <v>Loss</v>
      </c>
      <c r="P813" t="s">
        <v>28</v>
      </c>
      <c r="Q813">
        <v>0.21</v>
      </c>
      <c r="R813" t="s">
        <v>25</v>
      </c>
      <c r="S813" t="s">
        <v>17</v>
      </c>
      <c r="T813" t="s">
        <v>37</v>
      </c>
      <c r="U813" t="str">
        <f t="shared" si="91"/>
        <v>High-Cost</v>
      </c>
    </row>
    <row r="814" spans="1:21" x14ac:dyDescent="0.3">
      <c r="A814">
        <v>1084</v>
      </c>
      <c r="B814" s="1">
        <v>45190</v>
      </c>
      <c r="C814" s="2" t="s">
        <v>36</v>
      </c>
      <c r="D814" t="s">
        <v>23</v>
      </c>
      <c r="E814">
        <v>36</v>
      </c>
      <c r="F814" t="s">
        <v>14</v>
      </c>
      <c r="G814">
        <f>1</f>
        <v>1</v>
      </c>
      <c r="H814" s="3">
        <v>1458.77</v>
      </c>
      <c r="I814" s="3">
        <v>1485.75</v>
      </c>
      <c r="J814" s="3">
        <f t="shared" si="85"/>
        <v>1114.3125</v>
      </c>
      <c r="K814" s="3">
        <f t="shared" si="86"/>
        <v>40115.25</v>
      </c>
      <c r="L814" s="3">
        <f t="shared" si="89"/>
        <v>52515.72</v>
      </c>
      <c r="M814" s="8">
        <f t="shared" si="90"/>
        <v>-12400.470000000001</v>
      </c>
      <c r="N814" s="4">
        <f t="shared" si="87"/>
        <v>-0.30912109484547651</v>
      </c>
      <c r="O814" s="4" t="str">
        <f t="shared" si="88"/>
        <v>Loss</v>
      </c>
      <c r="P814" t="s">
        <v>28</v>
      </c>
      <c r="Q814">
        <v>0.25</v>
      </c>
      <c r="R814" t="s">
        <v>29</v>
      </c>
      <c r="S814" t="s">
        <v>17</v>
      </c>
      <c r="T814" t="s">
        <v>37</v>
      </c>
      <c r="U814" t="str">
        <f t="shared" si="91"/>
        <v>Low-Cost</v>
      </c>
    </row>
    <row r="815" spans="1:21" x14ac:dyDescent="0.3">
      <c r="A815">
        <v>1084</v>
      </c>
      <c r="B815" s="1">
        <v>45099</v>
      </c>
      <c r="C815" s="2" t="s">
        <v>36</v>
      </c>
      <c r="D815" t="s">
        <v>13</v>
      </c>
      <c r="E815">
        <v>49</v>
      </c>
      <c r="F815" t="s">
        <v>14</v>
      </c>
      <c r="G815">
        <f>1</f>
        <v>1</v>
      </c>
      <c r="H815" s="3">
        <v>4291.97</v>
      </c>
      <c r="I815" s="3">
        <v>4645.6400000000003</v>
      </c>
      <c r="J815" s="3">
        <f t="shared" si="85"/>
        <v>3437.7736</v>
      </c>
      <c r="K815" s="3">
        <f t="shared" si="86"/>
        <v>168450.90640000001</v>
      </c>
      <c r="L815" s="3">
        <f t="shared" si="89"/>
        <v>210306.53</v>
      </c>
      <c r="M815" s="8">
        <f t="shared" si="90"/>
        <v>-41855.623599999992</v>
      </c>
      <c r="N815" s="4">
        <f t="shared" si="87"/>
        <v>-0.24847372148066987</v>
      </c>
      <c r="O815" s="4" t="str">
        <f t="shared" si="88"/>
        <v>Loss</v>
      </c>
      <c r="P815" t="s">
        <v>15</v>
      </c>
      <c r="Q815">
        <v>0.26</v>
      </c>
      <c r="R815" t="s">
        <v>29</v>
      </c>
      <c r="S815" t="s">
        <v>17</v>
      </c>
      <c r="T815" t="s">
        <v>38</v>
      </c>
      <c r="U815" t="str">
        <f t="shared" si="91"/>
        <v>High-Cost</v>
      </c>
    </row>
    <row r="816" spans="1:21" x14ac:dyDescent="0.3">
      <c r="A816">
        <v>1084</v>
      </c>
      <c r="B816" s="1">
        <v>45199</v>
      </c>
      <c r="C816" s="2" t="s">
        <v>40</v>
      </c>
      <c r="D816" t="s">
        <v>32</v>
      </c>
      <c r="E816">
        <v>30</v>
      </c>
      <c r="F816" t="s">
        <v>24</v>
      </c>
      <c r="G816">
        <f>1</f>
        <v>1</v>
      </c>
      <c r="H816" s="3">
        <v>169</v>
      </c>
      <c r="I816" s="3">
        <v>381.92</v>
      </c>
      <c r="J816" s="3">
        <f t="shared" si="85"/>
        <v>282.62080000000003</v>
      </c>
      <c r="K816" s="3">
        <f t="shared" si="86"/>
        <v>8478.6239999999998</v>
      </c>
      <c r="L816" s="3">
        <f t="shared" si="89"/>
        <v>5070</v>
      </c>
      <c r="M816" s="8">
        <f t="shared" si="90"/>
        <v>3408.6239999999998</v>
      </c>
      <c r="N816" s="4">
        <f t="shared" si="87"/>
        <v>0.40202561170303103</v>
      </c>
      <c r="O816" s="4" t="str">
        <f t="shared" si="88"/>
        <v>Profit</v>
      </c>
      <c r="P816" t="s">
        <v>15</v>
      </c>
      <c r="Q816">
        <v>0.26</v>
      </c>
      <c r="R816" t="s">
        <v>16</v>
      </c>
      <c r="S816" t="s">
        <v>20</v>
      </c>
      <c r="T816" t="s">
        <v>50</v>
      </c>
      <c r="U816" t="str">
        <f t="shared" si="91"/>
        <v>Low-Cost</v>
      </c>
    </row>
    <row r="817" spans="1:21" x14ac:dyDescent="0.3">
      <c r="A817">
        <v>1085</v>
      </c>
      <c r="B817" s="1">
        <v>45266</v>
      </c>
      <c r="C817" s="2" t="s">
        <v>36</v>
      </c>
      <c r="D817" t="s">
        <v>13</v>
      </c>
      <c r="E817">
        <v>42</v>
      </c>
      <c r="F817" t="s">
        <v>33</v>
      </c>
      <c r="G817">
        <f>1</f>
        <v>1</v>
      </c>
      <c r="H817" s="3">
        <v>3117.75</v>
      </c>
      <c r="I817" s="3">
        <v>3159.88</v>
      </c>
      <c r="J817" s="3">
        <f t="shared" si="85"/>
        <v>3033.4848000000002</v>
      </c>
      <c r="K817" s="3">
        <f t="shared" si="86"/>
        <v>127406.36159999999</v>
      </c>
      <c r="L817" s="3">
        <f t="shared" si="89"/>
        <v>130945.5</v>
      </c>
      <c r="M817" s="8">
        <f t="shared" si="90"/>
        <v>-3539.1384000000107</v>
      </c>
      <c r="N817" s="4">
        <f t="shared" si="87"/>
        <v>-2.7778349177816967E-2</v>
      </c>
      <c r="O817" s="4" t="str">
        <f t="shared" si="88"/>
        <v>Loss</v>
      </c>
      <c r="P817" t="s">
        <v>28</v>
      </c>
      <c r="Q817">
        <v>0.04</v>
      </c>
      <c r="R817" t="s">
        <v>16</v>
      </c>
      <c r="S817" t="s">
        <v>20</v>
      </c>
      <c r="T817" t="s">
        <v>38</v>
      </c>
      <c r="U817" t="str">
        <f t="shared" si="91"/>
        <v>High-Cost</v>
      </c>
    </row>
    <row r="818" spans="1:21" x14ac:dyDescent="0.3">
      <c r="A818">
        <v>1085</v>
      </c>
      <c r="B818" s="1">
        <v>44933</v>
      </c>
      <c r="C818" s="2" t="s">
        <v>36</v>
      </c>
      <c r="D818" t="s">
        <v>19</v>
      </c>
      <c r="E818">
        <v>16</v>
      </c>
      <c r="F818" t="s">
        <v>24</v>
      </c>
      <c r="G818">
        <f>1</f>
        <v>1</v>
      </c>
      <c r="H818" s="3">
        <v>472.08</v>
      </c>
      <c r="I818" s="3">
        <v>842.46</v>
      </c>
      <c r="J818" s="3">
        <f t="shared" si="85"/>
        <v>842.46</v>
      </c>
      <c r="K818" s="3">
        <f t="shared" si="86"/>
        <v>13479.36</v>
      </c>
      <c r="L818" s="3">
        <f t="shared" si="89"/>
        <v>7553.28</v>
      </c>
      <c r="M818" s="8">
        <f t="shared" si="90"/>
        <v>5926.0800000000008</v>
      </c>
      <c r="N818" s="4">
        <f t="shared" si="87"/>
        <v>0.439641051207179</v>
      </c>
      <c r="O818" s="4" t="str">
        <f t="shared" si="88"/>
        <v>Profit</v>
      </c>
      <c r="P818" t="s">
        <v>28</v>
      </c>
      <c r="Q818">
        <v>0</v>
      </c>
      <c r="R818" t="s">
        <v>16</v>
      </c>
      <c r="S818" t="s">
        <v>20</v>
      </c>
      <c r="T818" t="s">
        <v>39</v>
      </c>
      <c r="U818" t="str">
        <f t="shared" si="91"/>
        <v>Low-Cost</v>
      </c>
    </row>
    <row r="819" spans="1:21" x14ac:dyDescent="0.3">
      <c r="A819">
        <v>1085</v>
      </c>
      <c r="B819" s="1">
        <v>45084</v>
      </c>
      <c r="C819" s="2" t="s">
        <v>31</v>
      </c>
      <c r="D819" t="s">
        <v>32</v>
      </c>
      <c r="E819">
        <v>42</v>
      </c>
      <c r="F819" t="s">
        <v>27</v>
      </c>
      <c r="G819">
        <f>1</f>
        <v>1</v>
      </c>
      <c r="H819" s="3">
        <v>2254.11</v>
      </c>
      <c r="I819" s="3">
        <v>2382.23</v>
      </c>
      <c r="J819" s="3">
        <f t="shared" si="85"/>
        <v>2024.8954999999999</v>
      </c>
      <c r="K819" s="3">
        <f t="shared" si="86"/>
        <v>85045.611000000004</v>
      </c>
      <c r="L819" s="3">
        <f t="shared" si="89"/>
        <v>94672.62000000001</v>
      </c>
      <c r="M819" s="8">
        <f t="shared" si="90"/>
        <v>-9627.0090000000055</v>
      </c>
      <c r="N819" s="4">
        <f t="shared" si="87"/>
        <v>-0.11319818726447864</v>
      </c>
      <c r="O819" s="4" t="str">
        <f t="shared" si="88"/>
        <v>Loss</v>
      </c>
      <c r="P819" t="s">
        <v>15</v>
      </c>
      <c r="Q819">
        <v>0.15</v>
      </c>
      <c r="R819" t="s">
        <v>29</v>
      </c>
      <c r="S819" t="s">
        <v>20</v>
      </c>
      <c r="T819" t="s">
        <v>34</v>
      </c>
      <c r="U819" t="str">
        <f t="shared" si="91"/>
        <v>Low-Cost</v>
      </c>
    </row>
    <row r="820" spans="1:21" x14ac:dyDescent="0.3">
      <c r="A820">
        <v>1085</v>
      </c>
      <c r="B820" s="1">
        <v>45088</v>
      </c>
      <c r="C820" s="2" t="s">
        <v>22</v>
      </c>
      <c r="D820" t="s">
        <v>32</v>
      </c>
      <c r="E820">
        <v>8</v>
      </c>
      <c r="F820" t="s">
        <v>24</v>
      </c>
      <c r="G820">
        <f>1</f>
        <v>1</v>
      </c>
      <c r="H820" s="3">
        <v>3048.48</v>
      </c>
      <c r="I820" s="3">
        <v>3198.54</v>
      </c>
      <c r="J820" s="3">
        <f t="shared" si="85"/>
        <v>3102.5837999999999</v>
      </c>
      <c r="K820" s="3">
        <f t="shared" si="86"/>
        <v>24820.670399999999</v>
      </c>
      <c r="L820" s="3">
        <f t="shared" si="89"/>
        <v>24387.84</v>
      </c>
      <c r="M820" s="8">
        <f t="shared" si="90"/>
        <v>432.83039999999892</v>
      </c>
      <c r="N820" s="4">
        <f t="shared" si="87"/>
        <v>1.7438304164419303E-2</v>
      </c>
      <c r="O820" s="4" t="str">
        <f t="shared" si="88"/>
        <v>Profit</v>
      </c>
      <c r="P820" t="s">
        <v>15</v>
      </c>
      <c r="Q820">
        <v>0.03</v>
      </c>
      <c r="R820" t="s">
        <v>25</v>
      </c>
      <c r="S820" t="s">
        <v>17</v>
      </c>
      <c r="T820" t="s">
        <v>48</v>
      </c>
      <c r="U820" t="str">
        <f t="shared" si="91"/>
        <v>High-Cost</v>
      </c>
    </row>
    <row r="821" spans="1:21" x14ac:dyDescent="0.3">
      <c r="A821">
        <v>1085</v>
      </c>
      <c r="B821" s="1">
        <v>45244</v>
      </c>
      <c r="C821" s="2" t="s">
        <v>31</v>
      </c>
      <c r="D821" t="s">
        <v>23</v>
      </c>
      <c r="E821">
        <v>32</v>
      </c>
      <c r="F821" t="s">
        <v>14</v>
      </c>
      <c r="G821">
        <f>1</f>
        <v>1</v>
      </c>
      <c r="H821" s="3">
        <v>1074.93</v>
      </c>
      <c r="I821" s="3">
        <v>1492.48</v>
      </c>
      <c r="J821" s="3">
        <f t="shared" si="85"/>
        <v>1432.7808</v>
      </c>
      <c r="K821" s="3">
        <f t="shared" si="86"/>
        <v>45848.9856</v>
      </c>
      <c r="L821" s="3">
        <f t="shared" si="89"/>
        <v>34397.760000000002</v>
      </c>
      <c r="M821" s="8">
        <f t="shared" si="90"/>
        <v>11451.225599999998</v>
      </c>
      <c r="N821" s="4">
        <f t="shared" si="87"/>
        <v>0.2497596282697255</v>
      </c>
      <c r="O821" s="4" t="str">
        <f t="shared" si="88"/>
        <v>Profit</v>
      </c>
      <c r="P821" t="s">
        <v>15</v>
      </c>
      <c r="Q821">
        <v>0.04</v>
      </c>
      <c r="R821" t="s">
        <v>29</v>
      </c>
      <c r="S821" t="s">
        <v>20</v>
      </c>
      <c r="T821" t="s">
        <v>42</v>
      </c>
      <c r="U821" t="str">
        <f t="shared" si="91"/>
        <v>Low-Cost</v>
      </c>
    </row>
    <row r="822" spans="1:21" x14ac:dyDescent="0.3">
      <c r="A822">
        <v>1085</v>
      </c>
      <c r="B822" s="1">
        <v>45187</v>
      </c>
      <c r="C822" s="2" t="s">
        <v>36</v>
      </c>
      <c r="D822" t="s">
        <v>32</v>
      </c>
      <c r="E822">
        <v>40</v>
      </c>
      <c r="F822" t="s">
        <v>27</v>
      </c>
      <c r="G822">
        <f>1</f>
        <v>1</v>
      </c>
      <c r="H822" s="3">
        <v>4083.23</v>
      </c>
      <c r="I822" s="3">
        <v>4521.57</v>
      </c>
      <c r="J822" s="3">
        <f t="shared" si="85"/>
        <v>3300.7460999999998</v>
      </c>
      <c r="K822" s="3">
        <f t="shared" si="86"/>
        <v>132029.84399999998</v>
      </c>
      <c r="L822" s="3">
        <f t="shared" si="89"/>
        <v>163329.20000000001</v>
      </c>
      <c r="M822" s="8">
        <f t="shared" si="90"/>
        <v>-31299.356000000029</v>
      </c>
      <c r="N822" s="4">
        <f t="shared" si="87"/>
        <v>-0.23706273560392932</v>
      </c>
      <c r="O822" s="4" t="str">
        <f t="shared" si="88"/>
        <v>Loss</v>
      </c>
      <c r="P822" t="s">
        <v>28</v>
      </c>
      <c r="Q822">
        <v>0.27</v>
      </c>
      <c r="R822" t="s">
        <v>25</v>
      </c>
      <c r="S822" t="s">
        <v>20</v>
      </c>
      <c r="T822" t="s">
        <v>46</v>
      </c>
      <c r="U822" t="str">
        <f t="shared" si="91"/>
        <v>High-Cost</v>
      </c>
    </row>
    <row r="823" spans="1:21" x14ac:dyDescent="0.3">
      <c r="A823">
        <v>1085</v>
      </c>
      <c r="B823" s="1">
        <v>44984</v>
      </c>
      <c r="C823" s="2" t="s">
        <v>36</v>
      </c>
      <c r="D823" t="s">
        <v>19</v>
      </c>
      <c r="E823">
        <v>45</v>
      </c>
      <c r="F823" t="s">
        <v>14</v>
      </c>
      <c r="G823">
        <f>1</f>
        <v>1</v>
      </c>
      <c r="H823" s="3">
        <v>3325.96</v>
      </c>
      <c r="I823" s="3">
        <v>3781.4</v>
      </c>
      <c r="J823" s="3">
        <f t="shared" si="85"/>
        <v>2760.422</v>
      </c>
      <c r="K823" s="3">
        <f t="shared" si="86"/>
        <v>124218.98999999999</v>
      </c>
      <c r="L823" s="3">
        <f t="shared" si="89"/>
        <v>149668.20000000001</v>
      </c>
      <c r="M823" s="8">
        <f t="shared" si="90"/>
        <v>-25449.210000000021</v>
      </c>
      <c r="N823" s="4">
        <f t="shared" si="87"/>
        <v>-0.20487374756468413</v>
      </c>
      <c r="O823" s="4" t="str">
        <f t="shared" si="88"/>
        <v>Loss</v>
      </c>
      <c r="P823" t="s">
        <v>15</v>
      </c>
      <c r="Q823">
        <v>0.27</v>
      </c>
      <c r="R823" t="s">
        <v>29</v>
      </c>
      <c r="S823" t="s">
        <v>17</v>
      </c>
      <c r="T823" t="s">
        <v>39</v>
      </c>
      <c r="U823" t="str">
        <f t="shared" si="91"/>
        <v>High-Cost</v>
      </c>
    </row>
    <row r="824" spans="1:21" x14ac:dyDescent="0.3">
      <c r="A824">
        <v>1085</v>
      </c>
      <c r="B824" s="1">
        <v>45015</v>
      </c>
      <c r="C824" s="2" t="s">
        <v>22</v>
      </c>
      <c r="D824" t="s">
        <v>19</v>
      </c>
      <c r="E824">
        <v>45</v>
      </c>
      <c r="F824" t="s">
        <v>27</v>
      </c>
      <c r="G824">
        <f>1</f>
        <v>1</v>
      </c>
      <c r="H824" s="3">
        <v>4763.1099999999997</v>
      </c>
      <c r="I824" s="3">
        <v>5119.91</v>
      </c>
      <c r="J824" s="3">
        <f t="shared" si="85"/>
        <v>3635.1360999999997</v>
      </c>
      <c r="K824" s="3">
        <f t="shared" si="86"/>
        <v>163581.12449999998</v>
      </c>
      <c r="L824" s="3">
        <f t="shared" si="89"/>
        <v>214339.94999999998</v>
      </c>
      <c r="M824" s="8">
        <f t="shared" si="90"/>
        <v>-50758.825500000006</v>
      </c>
      <c r="N824" s="4">
        <f t="shared" si="87"/>
        <v>-0.31029757042659289</v>
      </c>
      <c r="O824" s="4" t="str">
        <f t="shared" si="88"/>
        <v>Loss</v>
      </c>
      <c r="P824" t="s">
        <v>15</v>
      </c>
      <c r="Q824">
        <v>0.28999999999999998</v>
      </c>
      <c r="R824" t="s">
        <v>16</v>
      </c>
      <c r="S824" t="s">
        <v>20</v>
      </c>
      <c r="T824" t="s">
        <v>45</v>
      </c>
      <c r="U824" t="str">
        <f t="shared" si="91"/>
        <v>High-Cost</v>
      </c>
    </row>
    <row r="825" spans="1:21" x14ac:dyDescent="0.3">
      <c r="A825">
        <v>1086</v>
      </c>
      <c r="B825" s="1">
        <v>45170</v>
      </c>
      <c r="C825" s="2" t="s">
        <v>31</v>
      </c>
      <c r="D825" t="s">
        <v>19</v>
      </c>
      <c r="E825">
        <v>17</v>
      </c>
      <c r="F825" t="s">
        <v>33</v>
      </c>
      <c r="G825">
        <f>1</f>
        <v>1</v>
      </c>
      <c r="H825" s="3">
        <v>4075.08</v>
      </c>
      <c r="I825" s="3">
        <v>4262.21</v>
      </c>
      <c r="J825" s="3">
        <f t="shared" si="85"/>
        <v>3537.6342999999997</v>
      </c>
      <c r="K825" s="3">
        <f t="shared" si="86"/>
        <v>60139.783100000001</v>
      </c>
      <c r="L825" s="3">
        <f t="shared" si="89"/>
        <v>69276.36</v>
      </c>
      <c r="M825" s="8">
        <f t="shared" si="90"/>
        <v>-9136.5769</v>
      </c>
      <c r="N825" s="4">
        <f t="shared" si="87"/>
        <v>-0.15192234539336075</v>
      </c>
      <c r="O825" s="4" t="str">
        <f t="shared" si="88"/>
        <v>Loss</v>
      </c>
      <c r="P825" t="s">
        <v>28</v>
      </c>
      <c r="Q825">
        <v>0.17</v>
      </c>
      <c r="R825" t="s">
        <v>16</v>
      </c>
      <c r="S825" t="s">
        <v>17</v>
      </c>
      <c r="T825" t="s">
        <v>35</v>
      </c>
      <c r="U825" t="str">
        <f t="shared" si="91"/>
        <v>High-Cost</v>
      </c>
    </row>
    <row r="826" spans="1:21" x14ac:dyDescent="0.3">
      <c r="A826">
        <v>1086</v>
      </c>
      <c r="B826" s="1">
        <v>45079</v>
      </c>
      <c r="C826" s="2" t="s">
        <v>12</v>
      </c>
      <c r="D826" t="s">
        <v>32</v>
      </c>
      <c r="E826">
        <v>3</v>
      </c>
      <c r="F826" t="s">
        <v>33</v>
      </c>
      <c r="G826">
        <f>1</f>
        <v>1</v>
      </c>
      <c r="H826" s="3">
        <v>1595.35</v>
      </c>
      <c r="I826" s="3">
        <v>1625.71</v>
      </c>
      <c r="J826" s="3">
        <f t="shared" si="85"/>
        <v>1186.7683</v>
      </c>
      <c r="K826" s="3">
        <f t="shared" si="86"/>
        <v>3560.3049000000001</v>
      </c>
      <c r="L826" s="3">
        <f t="shared" si="89"/>
        <v>4786.0499999999993</v>
      </c>
      <c r="M826" s="8">
        <f t="shared" si="90"/>
        <v>-1225.7450999999992</v>
      </c>
      <c r="N826" s="4">
        <f t="shared" si="87"/>
        <v>-0.34428093504014196</v>
      </c>
      <c r="O826" s="4" t="str">
        <f t="shared" si="88"/>
        <v>Loss</v>
      </c>
      <c r="P826" t="s">
        <v>28</v>
      </c>
      <c r="Q826">
        <v>0.27</v>
      </c>
      <c r="R826" t="s">
        <v>16</v>
      </c>
      <c r="S826" t="s">
        <v>17</v>
      </c>
      <c r="T826" t="s">
        <v>44</v>
      </c>
      <c r="U826" t="str">
        <f t="shared" si="91"/>
        <v>Low-Cost</v>
      </c>
    </row>
    <row r="827" spans="1:21" x14ac:dyDescent="0.3">
      <c r="A827">
        <v>1086</v>
      </c>
      <c r="B827" s="1">
        <v>44930</v>
      </c>
      <c r="C827" s="2" t="s">
        <v>12</v>
      </c>
      <c r="D827" t="s">
        <v>23</v>
      </c>
      <c r="E827">
        <v>8</v>
      </c>
      <c r="F827" t="s">
        <v>14</v>
      </c>
      <c r="G827">
        <f>1</f>
        <v>1</v>
      </c>
      <c r="H827" s="3">
        <v>1569.31</v>
      </c>
      <c r="I827" s="3">
        <v>1798.02</v>
      </c>
      <c r="J827" s="3">
        <f t="shared" si="85"/>
        <v>1672.1586</v>
      </c>
      <c r="K827" s="3">
        <f t="shared" si="86"/>
        <v>13377.2688</v>
      </c>
      <c r="L827" s="3">
        <f t="shared" si="89"/>
        <v>12554.48</v>
      </c>
      <c r="M827" s="8">
        <f t="shared" si="90"/>
        <v>822.78880000000026</v>
      </c>
      <c r="N827" s="4">
        <f t="shared" si="87"/>
        <v>6.1506486286647712E-2</v>
      </c>
      <c r="O827" s="4" t="str">
        <f t="shared" si="88"/>
        <v>Profit</v>
      </c>
      <c r="P827" t="s">
        <v>28</v>
      </c>
      <c r="Q827">
        <v>7.0000000000000007E-2</v>
      </c>
      <c r="R827" t="s">
        <v>29</v>
      </c>
      <c r="S827" t="s">
        <v>17</v>
      </c>
      <c r="T827" t="s">
        <v>30</v>
      </c>
      <c r="U827" t="str">
        <f t="shared" si="91"/>
        <v>Low-Cost</v>
      </c>
    </row>
    <row r="828" spans="1:21" x14ac:dyDescent="0.3">
      <c r="A828">
        <v>1086</v>
      </c>
      <c r="B828" s="1">
        <v>45050</v>
      </c>
      <c r="C828" s="2" t="s">
        <v>12</v>
      </c>
      <c r="D828" t="s">
        <v>19</v>
      </c>
      <c r="E828">
        <v>25</v>
      </c>
      <c r="F828" t="s">
        <v>24</v>
      </c>
      <c r="G828">
        <f>1</f>
        <v>1</v>
      </c>
      <c r="H828" s="3">
        <v>2248.71</v>
      </c>
      <c r="I828" s="3">
        <v>2626.02</v>
      </c>
      <c r="J828" s="3">
        <f t="shared" si="85"/>
        <v>2415.9384</v>
      </c>
      <c r="K828" s="3">
        <f t="shared" si="86"/>
        <v>60398.46</v>
      </c>
      <c r="L828" s="3">
        <f t="shared" si="89"/>
        <v>56217.75</v>
      </c>
      <c r="M828" s="8">
        <f t="shared" si="90"/>
        <v>4180.7099999999991</v>
      </c>
      <c r="N828" s="4">
        <f t="shared" si="87"/>
        <v>6.9218817830785734E-2</v>
      </c>
      <c r="O828" s="4" t="str">
        <f t="shared" si="88"/>
        <v>Profit</v>
      </c>
      <c r="P828" t="s">
        <v>28</v>
      </c>
      <c r="Q828">
        <v>0.08</v>
      </c>
      <c r="R828" t="s">
        <v>25</v>
      </c>
      <c r="S828" t="s">
        <v>17</v>
      </c>
      <c r="T828" t="s">
        <v>21</v>
      </c>
      <c r="U828" t="str">
        <f t="shared" si="91"/>
        <v>Low-Cost</v>
      </c>
    </row>
    <row r="829" spans="1:21" x14ac:dyDescent="0.3">
      <c r="A829">
        <v>1086</v>
      </c>
      <c r="B829" s="1">
        <v>45235</v>
      </c>
      <c r="C829" s="2" t="s">
        <v>40</v>
      </c>
      <c r="D829" t="s">
        <v>23</v>
      </c>
      <c r="E829">
        <v>10</v>
      </c>
      <c r="F829" t="s">
        <v>14</v>
      </c>
      <c r="G829">
        <f>1</f>
        <v>1</v>
      </c>
      <c r="H829" s="3">
        <v>2273.91</v>
      </c>
      <c r="I829" s="3">
        <v>2578.8000000000002</v>
      </c>
      <c r="J829" s="3">
        <f t="shared" si="85"/>
        <v>2217.768</v>
      </c>
      <c r="K829" s="3">
        <f t="shared" si="86"/>
        <v>22177.68</v>
      </c>
      <c r="L829" s="3">
        <f t="shared" si="89"/>
        <v>22739.1</v>
      </c>
      <c r="M829" s="8">
        <f t="shared" si="90"/>
        <v>-561.41999999999825</v>
      </c>
      <c r="N829" s="4">
        <f t="shared" si="87"/>
        <v>-2.531464066575035E-2</v>
      </c>
      <c r="O829" s="4" t="str">
        <f t="shared" si="88"/>
        <v>Loss</v>
      </c>
      <c r="P829" t="s">
        <v>28</v>
      </c>
      <c r="Q829">
        <v>0.14000000000000001</v>
      </c>
      <c r="R829" t="s">
        <v>16</v>
      </c>
      <c r="S829" t="s">
        <v>17</v>
      </c>
      <c r="T829" t="s">
        <v>41</v>
      </c>
      <c r="U829" t="str">
        <f t="shared" si="91"/>
        <v>Low-Cost</v>
      </c>
    </row>
    <row r="830" spans="1:21" x14ac:dyDescent="0.3">
      <c r="A830">
        <v>1086</v>
      </c>
      <c r="B830" s="1">
        <v>45022</v>
      </c>
      <c r="C830" s="2" t="s">
        <v>31</v>
      </c>
      <c r="D830" t="s">
        <v>19</v>
      </c>
      <c r="E830">
        <v>32</v>
      </c>
      <c r="F830" t="s">
        <v>33</v>
      </c>
      <c r="G830">
        <f>1</f>
        <v>1</v>
      </c>
      <c r="H830" s="3">
        <v>3743.59</v>
      </c>
      <c r="I830" s="3">
        <v>4116.38</v>
      </c>
      <c r="J830" s="3">
        <f t="shared" si="85"/>
        <v>3663.5782000000004</v>
      </c>
      <c r="K830" s="3">
        <f t="shared" si="86"/>
        <v>117234.50240000001</v>
      </c>
      <c r="L830" s="3">
        <f t="shared" si="89"/>
        <v>119794.88</v>
      </c>
      <c r="M830" s="8">
        <f t="shared" si="90"/>
        <v>-2560.3775999999925</v>
      </c>
      <c r="N830" s="4">
        <f t="shared" si="87"/>
        <v>-2.1839795858595228E-2</v>
      </c>
      <c r="O830" s="4" t="str">
        <f t="shared" si="88"/>
        <v>Loss</v>
      </c>
      <c r="P830" t="s">
        <v>15</v>
      </c>
      <c r="Q830">
        <v>0.11</v>
      </c>
      <c r="R830" t="s">
        <v>16</v>
      </c>
      <c r="S830" t="s">
        <v>17</v>
      </c>
      <c r="T830" t="s">
        <v>35</v>
      </c>
      <c r="U830" t="str">
        <f t="shared" si="91"/>
        <v>High-Cost</v>
      </c>
    </row>
    <row r="831" spans="1:21" x14ac:dyDescent="0.3">
      <c r="A831">
        <v>1086</v>
      </c>
      <c r="B831" s="1">
        <v>45116</v>
      </c>
      <c r="C831" s="2" t="s">
        <v>22</v>
      </c>
      <c r="D831" t="s">
        <v>13</v>
      </c>
      <c r="E831">
        <v>28</v>
      </c>
      <c r="F831" t="s">
        <v>24</v>
      </c>
      <c r="G831">
        <f>1</f>
        <v>1</v>
      </c>
      <c r="H831" s="3">
        <v>2564.35</v>
      </c>
      <c r="I831" s="3">
        <v>2765.79</v>
      </c>
      <c r="J831" s="3">
        <f t="shared" si="85"/>
        <v>2295.6057000000001</v>
      </c>
      <c r="K831" s="3">
        <f t="shared" si="86"/>
        <v>64276.959599999995</v>
      </c>
      <c r="L831" s="3">
        <f t="shared" si="89"/>
        <v>71801.8</v>
      </c>
      <c r="M831" s="8">
        <f t="shared" si="90"/>
        <v>-7524.8404000000082</v>
      </c>
      <c r="N831" s="4">
        <f t="shared" si="87"/>
        <v>-0.11706901581573888</v>
      </c>
      <c r="O831" s="4" t="str">
        <f t="shared" si="88"/>
        <v>Loss</v>
      </c>
      <c r="P831" t="s">
        <v>15</v>
      </c>
      <c r="Q831">
        <v>0.17</v>
      </c>
      <c r="R831" t="s">
        <v>29</v>
      </c>
      <c r="S831" t="s">
        <v>17</v>
      </c>
      <c r="T831" t="s">
        <v>43</v>
      </c>
      <c r="U831" t="str">
        <f t="shared" si="91"/>
        <v>Low-Cost</v>
      </c>
    </row>
    <row r="832" spans="1:21" x14ac:dyDescent="0.3">
      <c r="A832">
        <v>1086</v>
      </c>
      <c r="B832" s="1">
        <v>45154</v>
      </c>
      <c r="C832" s="2" t="s">
        <v>40</v>
      </c>
      <c r="D832" t="s">
        <v>32</v>
      </c>
      <c r="E832">
        <v>48</v>
      </c>
      <c r="F832" t="s">
        <v>24</v>
      </c>
      <c r="G832">
        <f>1</f>
        <v>1</v>
      </c>
      <c r="H832" s="3">
        <v>2632.58</v>
      </c>
      <c r="I832" s="3">
        <v>2926.68</v>
      </c>
      <c r="J832" s="3">
        <f t="shared" si="85"/>
        <v>2516.9447999999998</v>
      </c>
      <c r="K832" s="3">
        <f t="shared" si="86"/>
        <v>120813.35039999998</v>
      </c>
      <c r="L832" s="3">
        <f t="shared" si="89"/>
        <v>126363.84</v>
      </c>
      <c r="M832" s="8">
        <f t="shared" si="90"/>
        <v>-5550.4896000000153</v>
      </c>
      <c r="N832" s="4">
        <f t="shared" si="87"/>
        <v>-4.5942684162163724E-2</v>
      </c>
      <c r="O832" s="4" t="str">
        <f t="shared" si="88"/>
        <v>Loss</v>
      </c>
      <c r="P832" t="s">
        <v>15</v>
      </c>
      <c r="Q832">
        <v>0.14000000000000001</v>
      </c>
      <c r="R832" t="s">
        <v>16</v>
      </c>
      <c r="S832" t="s">
        <v>17</v>
      </c>
      <c r="T832" t="s">
        <v>50</v>
      </c>
      <c r="U832" t="str">
        <f t="shared" si="91"/>
        <v>High-Cost</v>
      </c>
    </row>
    <row r="833" spans="1:21" x14ac:dyDescent="0.3">
      <c r="A833">
        <v>1086</v>
      </c>
      <c r="B833" s="1">
        <v>45127</v>
      </c>
      <c r="C833" s="2" t="s">
        <v>12</v>
      </c>
      <c r="D833" t="s">
        <v>13</v>
      </c>
      <c r="E833">
        <v>17</v>
      </c>
      <c r="F833" t="s">
        <v>24</v>
      </c>
      <c r="G833">
        <f>1</f>
        <v>1</v>
      </c>
      <c r="H833" s="3">
        <v>1057.27</v>
      </c>
      <c r="I833" s="3">
        <v>1366.62</v>
      </c>
      <c r="J833" s="3">
        <f t="shared" si="85"/>
        <v>1079.6297999999999</v>
      </c>
      <c r="K833" s="3">
        <f t="shared" si="86"/>
        <v>18353.706599999998</v>
      </c>
      <c r="L833" s="3">
        <f t="shared" si="89"/>
        <v>17973.59</v>
      </c>
      <c r="M833" s="8">
        <f t="shared" si="90"/>
        <v>380.11659999999756</v>
      </c>
      <c r="N833" s="4">
        <f t="shared" si="87"/>
        <v>2.0710617658015608E-2</v>
      </c>
      <c r="O833" s="4" t="str">
        <f t="shared" si="88"/>
        <v>Profit</v>
      </c>
      <c r="P833" t="s">
        <v>28</v>
      </c>
      <c r="Q833">
        <v>0.21</v>
      </c>
      <c r="R833" t="s">
        <v>29</v>
      </c>
      <c r="S833" t="s">
        <v>20</v>
      </c>
      <c r="T833" t="s">
        <v>18</v>
      </c>
      <c r="U833" t="str">
        <f t="shared" si="91"/>
        <v>Low-Cost</v>
      </c>
    </row>
    <row r="834" spans="1:21" x14ac:dyDescent="0.3">
      <c r="A834">
        <v>1086</v>
      </c>
      <c r="B834" s="1">
        <v>45219</v>
      </c>
      <c r="C834" s="2" t="s">
        <v>22</v>
      </c>
      <c r="D834" t="s">
        <v>23</v>
      </c>
      <c r="E834">
        <v>32</v>
      </c>
      <c r="F834" t="s">
        <v>14</v>
      </c>
      <c r="G834">
        <f>1</f>
        <v>1</v>
      </c>
      <c r="H834" s="3">
        <v>84.86</v>
      </c>
      <c r="I834" s="3">
        <v>517.17999999999995</v>
      </c>
      <c r="J834" s="3">
        <f t="shared" ref="J834:J897" si="92">I834*(1-Q834)</f>
        <v>413.74399999999997</v>
      </c>
      <c r="K834" s="3">
        <f t="shared" ref="K834:K897" si="93">E834*I834*(1-Q834)</f>
        <v>13239.807999999999</v>
      </c>
      <c r="L834" s="3">
        <f t="shared" si="89"/>
        <v>2715.52</v>
      </c>
      <c r="M834" s="8">
        <f t="shared" si="90"/>
        <v>10524.287999999999</v>
      </c>
      <c r="N834" s="4">
        <f t="shared" ref="N834:N897" si="94">(M834/K834)</f>
        <v>0.79489732781623412</v>
      </c>
      <c r="O834" s="4" t="str">
        <f t="shared" ref="O834:O897" si="95">IF(M834&lt;0,"Loss","Profit")</f>
        <v>Profit</v>
      </c>
      <c r="P834" t="s">
        <v>15</v>
      </c>
      <c r="Q834">
        <v>0.2</v>
      </c>
      <c r="R834" t="s">
        <v>29</v>
      </c>
      <c r="S834" t="s">
        <v>20</v>
      </c>
      <c r="T834" t="s">
        <v>26</v>
      </c>
      <c r="U834" t="str">
        <f t="shared" si="91"/>
        <v>Low-Cost</v>
      </c>
    </row>
    <row r="835" spans="1:21" x14ac:dyDescent="0.3">
      <c r="A835">
        <v>1086</v>
      </c>
      <c r="B835" s="1">
        <v>44983</v>
      </c>
      <c r="C835" s="2" t="s">
        <v>12</v>
      </c>
      <c r="D835" t="s">
        <v>19</v>
      </c>
      <c r="E835">
        <v>5</v>
      </c>
      <c r="F835" t="s">
        <v>33</v>
      </c>
      <c r="G835">
        <f>1</f>
        <v>1</v>
      </c>
      <c r="H835" s="3">
        <v>4934.1000000000004</v>
      </c>
      <c r="I835" s="3">
        <v>5191.0200000000004</v>
      </c>
      <c r="J835" s="3">
        <f t="shared" si="92"/>
        <v>3633.7139999999999</v>
      </c>
      <c r="K835" s="3">
        <f t="shared" si="93"/>
        <v>18168.57</v>
      </c>
      <c r="L835" s="3">
        <f t="shared" ref="L835:L898" si="96">H835*E835</f>
        <v>24670.5</v>
      </c>
      <c r="M835" s="8">
        <f t="shared" ref="M835:M898" si="97">K835-L835</f>
        <v>-6501.93</v>
      </c>
      <c r="N835" s="4">
        <f t="shared" si="94"/>
        <v>-0.35786690972377022</v>
      </c>
      <c r="O835" s="4" t="str">
        <f t="shared" si="95"/>
        <v>Loss</v>
      </c>
      <c r="P835" t="s">
        <v>28</v>
      </c>
      <c r="Q835">
        <v>0.3</v>
      </c>
      <c r="R835" t="s">
        <v>25</v>
      </c>
      <c r="S835" t="s">
        <v>17</v>
      </c>
      <c r="T835" t="s">
        <v>21</v>
      </c>
      <c r="U835" t="str">
        <f t="shared" si="91"/>
        <v>High-Cost</v>
      </c>
    </row>
    <row r="836" spans="1:21" x14ac:dyDescent="0.3">
      <c r="A836">
        <v>1086</v>
      </c>
      <c r="B836" s="1">
        <v>45288</v>
      </c>
      <c r="C836" s="2" t="s">
        <v>12</v>
      </c>
      <c r="D836" t="s">
        <v>19</v>
      </c>
      <c r="E836">
        <v>46</v>
      </c>
      <c r="F836" t="s">
        <v>14</v>
      </c>
      <c r="G836">
        <f>1</f>
        <v>1</v>
      </c>
      <c r="H836" s="3">
        <v>83.86</v>
      </c>
      <c r="I836" s="3">
        <v>526.14</v>
      </c>
      <c r="J836" s="3">
        <f t="shared" si="92"/>
        <v>468.26459999999997</v>
      </c>
      <c r="K836" s="3">
        <f t="shared" si="93"/>
        <v>21540.171599999998</v>
      </c>
      <c r="L836" s="3">
        <f t="shared" si="96"/>
        <v>3857.56</v>
      </c>
      <c r="M836" s="8">
        <f t="shared" si="97"/>
        <v>17682.611599999997</v>
      </c>
      <c r="N836" s="4">
        <f t="shared" si="94"/>
        <v>0.82091321872291856</v>
      </c>
      <c r="O836" s="4" t="str">
        <f t="shared" si="95"/>
        <v>Profit</v>
      </c>
      <c r="P836" t="s">
        <v>15</v>
      </c>
      <c r="Q836">
        <v>0.11</v>
      </c>
      <c r="R836" t="s">
        <v>29</v>
      </c>
      <c r="S836" t="s">
        <v>17</v>
      </c>
      <c r="T836" t="s">
        <v>21</v>
      </c>
      <c r="U836" t="str">
        <f t="shared" si="91"/>
        <v>Low-Cost</v>
      </c>
    </row>
    <row r="837" spans="1:21" x14ac:dyDescent="0.3">
      <c r="A837">
        <v>1086</v>
      </c>
      <c r="B837" s="1">
        <v>45259</v>
      </c>
      <c r="C837" s="2" t="s">
        <v>12</v>
      </c>
      <c r="D837" t="s">
        <v>19</v>
      </c>
      <c r="E837">
        <v>7</v>
      </c>
      <c r="F837" t="s">
        <v>24</v>
      </c>
      <c r="G837">
        <f>1</f>
        <v>1</v>
      </c>
      <c r="H837" s="3">
        <v>737.9</v>
      </c>
      <c r="I837" s="3">
        <v>1182</v>
      </c>
      <c r="J837" s="3">
        <f t="shared" si="92"/>
        <v>910.14</v>
      </c>
      <c r="K837" s="3">
        <f t="shared" si="93"/>
        <v>6370.9800000000005</v>
      </c>
      <c r="L837" s="3">
        <f t="shared" si="96"/>
        <v>5165.3</v>
      </c>
      <c r="M837" s="8">
        <f t="shared" si="97"/>
        <v>1205.6800000000003</v>
      </c>
      <c r="N837" s="4">
        <f t="shared" si="94"/>
        <v>0.18924561056540756</v>
      </c>
      <c r="O837" s="4" t="str">
        <f t="shared" si="95"/>
        <v>Profit</v>
      </c>
      <c r="P837" t="s">
        <v>28</v>
      </c>
      <c r="Q837">
        <v>0.23</v>
      </c>
      <c r="R837" t="s">
        <v>29</v>
      </c>
      <c r="S837" t="s">
        <v>20</v>
      </c>
      <c r="T837" t="s">
        <v>21</v>
      </c>
      <c r="U837" t="str">
        <f t="shared" si="91"/>
        <v>Low-Cost</v>
      </c>
    </row>
    <row r="838" spans="1:21" x14ac:dyDescent="0.3">
      <c r="A838">
        <v>1086</v>
      </c>
      <c r="B838" s="1">
        <v>45107</v>
      </c>
      <c r="C838" s="2" t="s">
        <v>12</v>
      </c>
      <c r="D838" t="s">
        <v>13</v>
      </c>
      <c r="E838">
        <v>46</v>
      </c>
      <c r="F838" t="s">
        <v>27</v>
      </c>
      <c r="G838">
        <f>1</f>
        <v>1</v>
      </c>
      <c r="H838" s="3">
        <v>2245.64</v>
      </c>
      <c r="I838" s="3">
        <v>2260.81</v>
      </c>
      <c r="J838" s="3">
        <f t="shared" si="92"/>
        <v>2260.81</v>
      </c>
      <c r="K838" s="3">
        <f t="shared" si="93"/>
        <v>103997.26</v>
      </c>
      <c r="L838" s="3">
        <f t="shared" si="96"/>
        <v>103299.43999999999</v>
      </c>
      <c r="M838" s="8">
        <f t="shared" si="97"/>
        <v>697.82000000000698</v>
      </c>
      <c r="N838" s="4">
        <f t="shared" si="94"/>
        <v>6.7099844745910327E-3</v>
      </c>
      <c r="O838" s="4" t="str">
        <f t="shared" si="95"/>
        <v>Profit</v>
      </c>
      <c r="P838" t="s">
        <v>28</v>
      </c>
      <c r="Q838">
        <v>0</v>
      </c>
      <c r="R838" t="s">
        <v>16</v>
      </c>
      <c r="S838" t="s">
        <v>20</v>
      </c>
      <c r="T838" t="s">
        <v>18</v>
      </c>
      <c r="U838" t="str">
        <f t="shared" si="91"/>
        <v>Low-Cost</v>
      </c>
    </row>
    <row r="839" spans="1:21" x14ac:dyDescent="0.3">
      <c r="A839">
        <v>1086</v>
      </c>
      <c r="B839" s="1">
        <v>45291</v>
      </c>
      <c r="C839" s="2" t="s">
        <v>40</v>
      </c>
      <c r="D839" t="s">
        <v>23</v>
      </c>
      <c r="E839">
        <v>33</v>
      </c>
      <c r="F839" t="s">
        <v>27</v>
      </c>
      <c r="G839">
        <f>1</f>
        <v>1</v>
      </c>
      <c r="H839" s="3">
        <v>3419.33</v>
      </c>
      <c r="I839" s="3">
        <v>3890.36</v>
      </c>
      <c r="J839" s="3">
        <f t="shared" si="92"/>
        <v>3073.3844000000004</v>
      </c>
      <c r="K839" s="3">
        <f t="shared" si="93"/>
        <v>101421.68520000001</v>
      </c>
      <c r="L839" s="3">
        <f t="shared" si="96"/>
        <v>112837.89</v>
      </c>
      <c r="M839" s="8">
        <f t="shared" si="97"/>
        <v>-11416.204799999992</v>
      </c>
      <c r="N839" s="4">
        <f t="shared" si="94"/>
        <v>-0.11256177391933132</v>
      </c>
      <c r="O839" s="4" t="str">
        <f t="shared" si="95"/>
        <v>Loss</v>
      </c>
      <c r="P839" t="s">
        <v>15</v>
      </c>
      <c r="Q839">
        <v>0.21</v>
      </c>
      <c r="R839" t="s">
        <v>16</v>
      </c>
      <c r="S839" t="s">
        <v>20</v>
      </c>
      <c r="T839" t="s">
        <v>41</v>
      </c>
      <c r="U839" t="str">
        <f t="shared" si="91"/>
        <v>High-Cost</v>
      </c>
    </row>
    <row r="840" spans="1:21" x14ac:dyDescent="0.3">
      <c r="A840">
        <v>1087</v>
      </c>
      <c r="B840" s="1">
        <v>44929</v>
      </c>
      <c r="C840" s="2" t="s">
        <v>31</v>
      </c>
      <c r="D840" t="s">
        <v>32</v>
      </c>
      <c r="E840">
        <v>20</v>
      </c>
      <c r="F840" t="s">
        <v>14</v>
      </c>
      <c r="G840">
        <f>1</f>
        <v>1</v>
      </c>
      <c r="H840" s="3">
        <v>3625.94</v>
      </c>
      <c r="I840" s="3">
        <v>3880.53</v>
      </c>
      <c r="J840" s="3">
        <f t="shared" si="92"/>
        <v>2949.2028</v>
      </c>
      <c r="K840" s="3">
        <f t="shared" si="93"/>
        <v>58984.056000000004</v>
      </c>
      <c r="L840" s="3">
        <f t="shared" si="96"/>
        <v>72518.8</v>
      </c>
      <c r="M840" s="8">
        <f t="shared" si="97"/>
        <v>-13534.743999999999</v>
      </c>
      <c r="N840" s="4">
        <f t="shared" si="94"/>
        <v>-0.22946445052880049</v>
      </c>
      <c r="O840" s="4" t="str">
        <f t="shared" si="95"/>
        <v>Loss</v>
      </c>
      <c r="P840" t="s">
        <v>28</v>
      </c>
      <c r="Q840">
        <v>0.24</v>
      </c>
      <c r="R840" t="s">
        <v>25</v>
      </c>
      <c r="S840" t="s">
        <v>17</v>
      </c>
      <c r="T840" t="s">
        <v>34</v>
      </c>
      <c r="U840" t="str">
        <f t="shared" ref="U840:U903" si="98">IF(I840 &gt;=2800, "High-Cost", "Low-Cost")</f>
        <v>High-Cost</v>
      </c>
    </row>
    <row r="841" spans="1:21" x14ac:dyDescent="0.3">
      <c r="A841">
        <v>1087</v>
      </c>
      <c r="B841" s="1">
        <v>45021</v>
      </c>
      <c r="C841" s="2" t="s">
        <v>36</v>
      </c>
      <c r="D841" t="s">
        <v>32</v>
      </c>
      <c r="E841">
        <v>43</v>
      </c>
      <c r="F841" t="s">
        <v>14</v>
      </c>
      <c r="G841">
        <f>1</f>
        <v>1</v>
      </c>
      <c r="H841" s="3">
        <v>481</v>
      </c>
      <c r="I841" s="3">
        <v>531.02</v>
      </c>
      <c r="J841" s="3">
        <f t="shared" si="92"/>
        <v>440.74659999999994</v>
      </c>
      <c r="K841" s="3">
        <f t="shared" si="93"/>
        <v>18952.103800000001</v>
      </c>
      <c r="L841" s="3">
        <f t="shared" si="96"/>
        <v>20683</v>
      </c>
      <c r="M841" s="8">
        <f t="shared" si="97"/>
        <v>-1730.8961999999992</v>
      </c>
      <c r="N841" s="4">
        <f t="shared" si="94"/>
        <v>-9.1330029545321462E-2</v>
      </c>
      <c r="O841" s="4" t="str">
        <f t="shared" si="95"/>
        <v>Loss</v>
      </c>
      <c r="P841" t="s">
        <v>28</v>
      </c>
      <c r="Q841">
        <v>0.17</v>
      </c>
      <c r="R841" t="s">
        <v>16</v>
      </c>
      <c r="S841" t="s">
        <v>17</v>
      </c>
      <c r="T841" t="s">
        <v>46</v>
      </c>
      <c r="U841" t="str">
        <f t="shared" si="98"/>
        <v>Low-Cost</v>
      </c>
    </row>
    <row r="842" spans="1:21" x14ac:dyDescent="0.3">
      <c r="A842">
        <v>1087</v>
      </c>
      <c r="B842" s="1">
        <v>45235</v>
      </c>
      <c r="C842" s="2" t="s">
        <v>36</v>
      </c>
      <c r="D842" t="s">
        <v>32</v>
      </c>
      <c r="E842">
        <v>30</v>
      </c>
      <c r="F842" t="s">
        <v>33</v>
      </c>
      <c r="G842">
        <f>1</f>
        <v>1</v>
      </c>
      <c r="H842" s="3">
        <v>698.74</v>
      </c>
      <c r="I842" s="3">
        <v>882.28</v>
      </c>
      <c r="J842" s="3">
        <f t="shared" si="92"/>
        <v>749.93799999999999</v>
      </c>
      <c r="K842" s="3">
        <f t="shared" si="93"/>
        <v>22498.139999999996</v>
      </c>
      <c r="L842" s="3">
        <f t="shared" si="96"/>
        <v>20962.2</v>
      </c>
      <c r="M842" s="8">
        <f t="shared" si="97"/>
        <v>1535.9399999999951</v>
      </c>
      <c r="N842" s="4">
        <f t="shared" si="94"/>
        <v>6.8269643623872694E-2</v>
      </c>
      <c r="O842" s="4" t="str">
        <f t="shared" si="95"/>
        <v>Profit</v>
      </c>
      <c r="P842" t="s">
        <v>15</v>
      </c>
      <c r="Q842">
        <v>0.15</v>
      </c>
      <c r="R842" t="s">
        <v>29</v>
      </c>
      <c r="S842" t="s">
        <v>17</v>
      </c>
      <c r="T842" t="s">
        <v>46</v>
      </c>
      <c r="U842" t="str">
        <f t="shared" si="98"/>
        <v>Low-Cost</v>
      </c>
    </row>
    <row r="843" spans="1:21" x14ac:dyDescent="0.3">
      <c r="A843">
        <v>1087</v>
      </c>
      <c r="B843" s="1">
        <v>44932</v>
      </c>
      <c r="C843" s="2" t="s">
        <v>36</v>
      </c>
      <c r="D843" t="s">
        <v>23</v>
      </c>
      <c r="E843">
        <v>46</v>
      </c>
      <c r="F843" t="s">
        <v>14</v>
      </c>
      <c r="G843">
        <f>1</f>
        <v>1</v>
      </c>
      <c r="H843" s="3">
        <v>3702.51</v>
      </c>
      <c r="I843" s="3">
        <v>3964.65</v>
      </c>
      <c r="J843" s="3">
        <f t="shared" si="92"/>
        <v>3488.8920000000003</v>
      </c>
      <c r="K843" s="3">
        <f t="shared" si="93"/>
        <v>160489.03200000001</v>
      </c>
      <c r="L843" s="3">
        <f t="shared" si="96"/>
        <v>170315.46000000002</v>
      </c>
      <c r="M843" s="8">
        <f t="shared" si="97"/>
        <v>-9826.4280000000144</v>
      </c>
      <c r="N843" s="4">
        <f t="shared" si="94"/>
        <v>-6.1228034573727219E-2</v>
      </c>
      <c r="O843" s="4" t="str">
        <f t="shared" si="95"/>
        <v>Loss</v>
      </c>
      <c r="P843" t="s">
        <v>28</v>
      </c>
      <c r="Q843">
        <v>0.12</v>
      </c>
      <c r="R843" t="s">
        <v>25</v>
      </c>
      <c r="S843" t="s">
        <v>17</v>
      </c>
      <c r="T843" t="s">
        <v>37</v>
      </c>
      <c r="U843" t="str">
        <f t="shared" si="98"/>
        <v>High-Cost</v>
      </c>
    </row>
    <row r="844" spans="1:21" x14ac:dyDescent="0.3">
      <c r="A844">
        <v>1087</v>
      </c>
      <c r="B844" s="1">
        <v>45177</v>
      </c>
      <c r="C844" s="2" t="s">
        <v>31</v>
      </c>
      <c r="D844" t="s">
        <v>13</v>
      </c>
      <c r="E844">
        <v>20</v>
      </c>
      <c r="F844" t="s">
        <v>27</v>
      </c>
      <c r="G844">
        <f>1</f>
        <v>1</v>
      </c>
      <c r="H844" s="3">
        <v>193.27</v>
      </c>
      <c r="I844" s="3">
        <v>297.69</v>
      </c>
      <c r="J844" s="3">
        <f t="shared" si="92"/>
        <v>232.19820000000001</v>
      </c>
      <c r="K844" s="3">
        <f t="shared" si="93"/>
        <v>4643.9639999999999</v>
      </c>
      <c r="L844" s="3">
        <f t="shared" si="96"/>
        <v>3865.4</v>
      </c>
      <c r="M844" s="8">
        <f t="shared" si="97"/>
        <v>778.56399999999985</v>
      </c>
      <c r="N844" s="4">
        <f t="shared" si="94"/>
        <v>0.16765073975594985</v>
      </c>
      <c r="O844" s="4" t="str">
        <f t="shared" si="95"/>
        <v>Profit</v>
      </c>
      <c r="P844" t="s">
        <v>28</v>
      </c>
      <c r="Q844">
        <v>0.22</v>
      </c>
      <c r="R844" t="s">
        <v>16</v>
      </c>
      <c r="S844" t="s">
        <v>17</v>
      </c>
      <c r="T844" t="s">
        <v>51</v>
      </c>
      <c r="U844" t="str">
        <f t="shared" si="98"/>
        <v>Low-Cost</v>
      </c>
    </row>
    <row r="845" spans="1:21" x14ac:dyDescent="0.3">
      <c r="A845">
        <v>1087</v>
      </c>
      <c r="B845" s="1">
        <v>44938</v>
      </c>
      <c r="C845" s="2" t="s">
        <v>31</v>
      </c>
      <c r="D845" t="s">
        <v>13</v>
      </c>
      <c r="E845">
        <v>21</v>
      </c>
      <c r="F845" t="s">
        <v>24</v>
      </c>
      <c r="G845">
        <f>1</f>
        <v>1</v>
      </c>
      <c r="H845" s="3">
        <v>3724.38</v>
      </c>
      <c r="I845" s="3">
        <v>3988.7</v>
      </c>
      <c r="J845" s="3">
        <f t="shared" si="92"/>
        <v>3869.0389999999998</v>
      </c>
      <c r="K845" s="3">
        <f t="shared" si="93"/>
        <v>81249.818999999989</v>
      </c>
      <c r="L845" s="3">
        <f t="shared" si="96"/>
        <v>78211.98</v>
      </c>
      <c r="M845" s="8">
        <f t="shared" si="97"/>
        <v>3037.8389999999927</v>
      </c>
      <c r="N845" s="4">
        <f t="shared" si="94"/>
        <v>3.7388870983207888E-2</v>
      </c>
      <c r="O845" s="4" t="str">
        <f t="shared" si="95"/>
        <v>Profit</v>
      </c>
      <c r="P845" t="s">
        <v>28</v>
      </c>
      <c r="Q845">
        <v>0.03</v>
      </c>
      <c r="R845" t="s">
        <v>25</v>
      </c>
      <c r="S845" t="s">
        <v>20</v>
      </c>
      <c r="T845" t="s">
        <v>51</v>
      </c>
      <c r="U845" t="str">
        <f t="shared" si="98"/>
        <v>High-Cost</v>
      </c>
    </row>
    <row r="846" spans="1:21" x14ac:dyDescent="0.3">
      <c r="A846">
        <v>1087</v>
      </c>
      <c r="B846" s="1">
        <v>45060</v>
      </c>
      <c r="C846" s="2" t="s">
        <v>31</v>
      </c>
      <c r="D846" t="s">
        <v>19</v>
      </c>
      <c r="E846">
        <v>10</v>
      </c>
      <c r="F846" t="s">
        <v>33</v>
      </c>
      <c r="G846">
        <f>1</f>
        <v>1</v>
      </c>
      <c r="H846" s="3">
        <v>3988.52</v>
      </c>
      <c r="I846" s="3">
        <v>4240.2299999999996</v>
      </c>
      <c r="J846" s="3">
        <f t="shared" si="92"/>
        <v>4028.2184999999995</v>
      </c>
      <c r="K846" s="3">
        <f t="shared" si="93"/>
        <v>40282.18499999999</v>
      </c>
      <c r="L846" s="3">
        <f t="shared" si="96"/>
        <v>39885.199999999997</v>
      </c>
      <c r="M846" s="8">
        <f t="shared" si="97"/>
        <v>396.98499999999331</v>
      </c>
      <c r="N846" s="4">
        <f t="shared" si="94"/>
        <v>9.8551009584011747E-3</v>
      </c>
      <c r="O846" s="4" t="str">
        <f t="shared" si="95"/>
        <v>Profit</v>
      </c>
      <c r="P846" t="s">
        <v>28</v>
      </c>
      <c r="Q846">
        <v>0.05</v>
      </c>
      <c r="R846" t="s">
        <v>29</v>
      </c>
      <c r="S846" t="s">
        <v>17</v>
      </c>
      <c r="T846" t="s">
        <v>35</v>
      </c>
      <c r="U846" t="str">
        <f t="shared" si="98"/>
        <v>High-Cost</v>
      </c>
    </row>
    <row r="847" spans="1:21" x14ac:dyDescent="0.3">
      <c r="A847">
        <v>1087</v>
      </c>
      <c r="B847" s="1">
        <v>45223</v>
      </c>
      <c r="C847" s="2" t="s">
        <v>12</v>
      </c>
      <c r="D847" t="s">
        <v>32</v>
      </c>
      <c r="E847">
        <v>28</v>
      </c>
      <c r="F847" t="s">
        <v>27</v>
      </c>
      <c r="G847">
        <f>1</f>
        <v>1</v>
      </c>
      <c r="H847" s="3">
        <v>551.83000000000004</v>
      </c>
      <c r="I847" s="3">
        <v>569.63</v>
      </c>
      <c r="J847" s="3">
        <f t="shared" si="92"/>
        <v>495.57810000000001</v>
      </c>
      <c r="K847" s="3">
        <f t="shared" si="93"/>
        <v>13876.186799999999</v>
      </c>
      <c r="L847" s="3">
        <f t="shared" si="96"/>
        <v>15451.240000000002</v>
      </c>
      <c r="M847" s="8">
        <f t="shared" si="97"/>
        <v>-1575.0532000000021</v>
      </c>
      <c r="N847" s="4">
        <f t="shared" si="94"/>
        <v>-0.11350763885651945</v>
      </c>
      <c r="O847" s="4" t="str">
        <f t="shared" si="95"/>
        <v>Loss</v>
      </c>
      <c r="P847" t="s">
        <v>28</v>
      </c>
      <c r="Q847">
        <v>0.13</v>
      </c>
      <c r="R847" t="s">
        <v>29</v>
      </c>
      <c r="S847" t="s">
        <v>20</v>
      </c>
      <c r="T847" t="s">
        <v>44</v>
      </c>
      <c r="U847" t="str">
        <f t="shared" si="98"/>
        <v>Low-Cost</v>
      </c>
    </row>
    <row r="848" spans="1:21" x14ac:dyDescent="0.3">
      <c r="A848">
        <v>1087</v>
      </c>
      <c r="B848" s="1">
        <v>45226</v>
      </c>
      <c r="C848" s="2" t="s">
        <v>36</v>
      </c>
      <c r="D848" t="s">
        <v>13</v>
      </c>
      <c r="E848">
        <v>27</v>
      </c>
      <c r="F848" t="s">
        <v>24</v>
      </c>
      <c r="G848">
        <f>1</f>
        <v>1</v>
      </c>
      <c r="H848" s="3">
        <v>3139.36</v>
      </c>
      <c r="I848" s="3">
        <v>3423.66</v>
      </c>
      <c r="J848" s="3">
        <f t="shared" si="92"/>
        <v>2807.4012000000002</v>
      </c>
      <c r="K848" s="3">
        <f t="shared" si="93"/>
        <v>75799.832399999999</v>
      </c>
      <c r="L848" s="3">
        <f t="shared" si="96"/>
        <v>84762.72</v>
      </c>
      <c r="M848" s="8">
        <f t="shared" si="97"/>
        <v>-8962.8876000000018</v>
      </c>
      <c r="N848" s="4">
        <f t="shared" si="94"/>
        <v>-0.11824416118365985</v>
      </c>
      <c r="O848" s="4" t="str">
        <f t="shared" si="95"/>
        <v>Loss</v>
      </c>
      <c r="P848" t="s">
        <v>28</v>
      </c>
      <c r="Q848">
        <v>0.18</v>
      </c>
      <c r="R848" t="s">
        <v>29</v>
      </c>
      <c r="S848" t="s">
        <v>17</v>
      </c>
      <c r="T848" t="s">
        <v>38</v>
      </c>
      <c r="U848" t="str">
        <f t="shared" si="98"/>
        <v>High-Cost</v>
      </c>
    </row>
    <row r="849" spans="1:21" x14ac:dyDescent="0.3">
      <c r="A849">
        <v>1087</v>
      </c>
      <c r="B849" s="1">
        <v>44985</v>
      </c>
      <c r="C849" s="2" t="s">
        <v>40</v>
      </c>
      <c r="D849" t="s">
        <v>19</v>
      </c>
      <c r="E849">
        <v>15</v>
      </c>
      <c r="F849" t="s">
        <v>14</v>
      </c>
      <c r="G849">
        <f>1</f>
        <v>1</v>
      </c>
      <c r="H849" s="3">
        <v>4074.66</v>
      </c>
      <c r="I849" s="3">
        <v>4261.1099999999997</v>
      </c>
      <c r="J849" s="3">
        <f t="shared" si="92"/>
        <v>4048.0544999999993</v>
      </c>
      <c r="K849" s="3">
        <f t="shared" si="93"/>
        <v>60720.81749999999</v>
      </c>
      <c r="L849" s="3">
        <f t="shared" si="96"/>
        <v>61119.899999999994</v>
      </c>
      <c r="M849" s="8">
        <f t="shared" si="97"/>
        <v>-399.08250000000407</v>
      </c>
      <c r="N849" s="4">
        <f t="shared" si="94"/>
        <v>-6.5724164533852688E-3</v>
      </c>
      <c r="O849" s="4" t="str">
        <f t="shared" si="95"/>
        <v>Loss</v>
      </c>
      <c r="P849" t="s">
        <v>15</v>
      </c>
      <c r="Q849">
        <v>0.05</v>
      </c>
      <c r="R849" t="s">
        <v>29</v>
      </c>
      <c r="S849" t="s">
        <v>20</v>
      </c>
      <c r="T849" t="s">
        <v>49</v>
      </c>
      <c r="U849" t="str">
        <f t="shared" si="98"/>
        <v>High-Cost</v>
      </c>
    </row>
    <row r="850" spans="1:21" x14ac:dyDescent="0.3">
      <c r="A850">
        <v>1088</v>
      </c>
      <c r="B850" s="1">
        <v>45203</v>
      </c>
      <c r="C850" s="2" t="s">
        <v>12</v>
      </c>
      <c r="D850" t="s">
        <v>32</v>
      </c>
      <c r="E850">
        <v>40</v>
      </c>
      <c r="F850" t="s">
        <v>33</v>
      </c>
      <c r="G850">
        <f>1</f>
        <v>1</v>
      </c>
      <c r="H850" s="3">
        <v>4904.93</v>
      </c>
      <c r="I850" s="3">
        <v>5034.3500000000004</v>
      </c>
      <c r="J850" s="3">
        <f t="shared" si="92"/>
        <v>4530.9150000000009</v>
      </c>
      <c r="K850" s="3">
        <f t="shared" si="93"/>
        <v>181236.6</v>
      </c>
      <c r="L850" s="3">
        <f t="shared" si="96"/>
        <v>196197.2</v>
      </c>
      <c r="M850" s="8">
        <f t="shared" si="97"/>
        <v>-14960.600000000006</v>
      </c>
      <c r="N850" s="4">
        <f t="shared" si="94"/>
        <v>-8.2547344189860136E-2</v>
      </c>
      <c r="O850" s="4" t="str">
        <f t="shared" si="95"/>
        <v>Loss</v>
      </c>
      <c r="P850" t="s">
        <v>28</v>
      </c>
      <c r="Q850">
        <v>0.1</v>
      </c>
      <c r="R850" t="s">
        <v>29</v>
      </c>
      <c r="S850" t="s">
        <v>20</v>
      </c>
      <c r="T850" t="s">
        <v>44</v>
      </c>
      <c r="U850" t="str">
        <f t="shared" si="98"/>
        <v>High-Cost</v>
      </c>
    </row>
    <row r="851" spans="1:21" x14ac:dyDescent="0.3">
      <c r="A851">
        <v>1088</v>
      </c>
      <c r="B851" s="1">
        <v>45236</v>
      </c>
      <c r="C851" s="2" t="s">
        <v>22</v>
      </c>
      <c r="D851" t="s">
        <v>23</v>
      </c>
      <c r="E851">
        <v>8</v>
      </c>
      <c r="F851" t="s">
        <v>24</v>
      </c>
      <c r="G851">
        <f>1</f>
        <v>1</v>
      </c>
      <c r="H851" s="3">
        <v>1786.35</v>
      </c>
      <c r="I851" s="3">
        <v>1935.29</v>
      </c>
      <c r="J851" s="3">
        <f t="shared" si="92"/>
        <v>1857.8783999999998</v>
      </c>
      <c r="K851" s="3">
        <f t="shared" si="93"/>
        <v>14863.027199999999</v>
      </c>
      <c r="L851" s="3">
        <f t="shared" si="96"/>
        <v>14290.8</v>
      </c>
      <c r="M851" s="8">
        <f t="shared" si="97"/>
        <v>572.22719999999936</v>
      </c>
      <c r="N851" s="4">
        <f t="shared" si="94"/>
        <v>3.8500043921066054E-2</v>
      </c>
      <c r="O851" s="4" t="str">
        <f t="shared" si="95"/>
        <v>Profit</v>
      </c>
      <c r="P851" t="s">
        <v>28</v>
      </c>
      <c r="Q851">
        <v>0.04</v>
      </c>
      <c r="R851" t="s">
        <v>16</v>
      </c>
      <c r="S851" t="s">
        <v>17</v>
      </c>
      <c r="T851" t="s">
        <v>26</v>
      </c>
      <c r="U851" t="str">
        <f t="shared" si="98"/>
        <v>Low-Cost</v>
      </c>
    </row>
    <row r="852" spans="1:21" x14ac:dyDescent="0.3">
      <c r="A852">
        <v>1088</v>
      </c>
      <c r="B852" s="1">
        <v>44937</v>
      </c>
      <c r="C852" s="2" t="s">
        <v>40</v>
      </c>
      <c r="D852" t="s">
        <v>23</v>
      </c>
      <c r="E852">
        <v>11</v>
      </c>
      <c r="F852" t="s">
        <v>24</v>
      </c>
      <c r="G852">
        <f>1</f>
        <v>1</v>
      </c>
      <c r="H852" s="3">
        <v>3884.13</v>
      </c>
      <c r="I852" s="3">
        <v>3915.41</v>
      </c>
      <c r="J852" s="3">
        <f t="shared" si="92"/>
        <v>3837.1017999999999</v>
      </c>
      <c r="K852" s="3">
        <f t="shared" si="93"/>
        <v>42208.119799999993</v>
      </c>
      <c r="L852" s="3">
        <f t="shared" si="96"/>
        <v>42725.43</v>
      </c>
      <c r="M852" s="8">
        <f t="shared" si="97"/>
        <v>-517.31020000000717</v>
      </c>
      <c r="N852" s="4">
        <f t="shared" si="94"/>
        <v>-1.2256177305486306E-2</v>
      </c>
      <c r="O852" s="4" t="str">
        <f t="shared" si="95"/>
        <v>Loss</v>
      </c>
      <c r="P852" t="s">
        <v>15</v>
      </c>
      <c r="Q852">
        <v>0.02</v>
      </c>
      <c r="R852" t="s">
        <v>16</v>
      </c>
      <c r="S852" t="s">
        <v>17</v>
      </c>
      <c r="T852" t="s">
        <v>41</v>
      </c>
      <c r="U852" t="str">
        <f t="shared" si="98"/>
        <v>High-Cost</v>
      </c>
    </row>
    <row r="853" spans="1:21" x14ac:dyDescent="0.3">
      <c r="A853">
        <v>1088</v>
      </c>
      <c r="B853" s="1">
        <v>45246</v>
      </c>
      <c r="C853" s="2" t="s">
        <v>36</v>
      </c>
      <c r="D853" t="s">
        <v>13</v>
      </c>
      <c r="E853">
        <v>13</v>
      </c>
      <c r="F853" t="s">
        <v>14</v>
      </c>
      <c r="G853">
        <f>1</f>
        <v>1</v>
      </c>
      <c r="H853" s="3">
        <v>2440.11</v>
      </c>
      <c r="I853" s="3">
        <v>2517.6</v>
      </c>
      <c r="J853" s="3">
        <f t="shared" si="92"/>
        <v>1938.5519999999999</v>
      </c>
      <c r="K853" s="3">
        <f t="shared" si="93"/>
        <v>25201.175999999999</v>
      </c>
      <c r="L853" s="3">
        <f t="shared" si="96"/>
        <v>31721.43</v>
      </c>
      <c r="M853" s="8">
        <f t="shared" si="97"/>
        <v>-6520.2540000000008</v>
      </c>
      <c r="N853" s="4">
        <f t="shared" si="94"/>
        <v>-0.25872816411424615</v>
      </c>
      <c r="O853" s="4" t="str">
        <f t="shared" si="95"/>
        <v>Loss</v>
      </c>
      <c r="P853" t="s">
        <v>28</v>
      </c>
      <c r="Q853">
        <v>0.23</v>
      </c>
      <c r="R853" t="s">
        <v>25</v>
      </c>
      <c r="S853" t="s">
        <v>20</v>
      </c>
      <c r="T853" t="s">
        <v>38</v>
      </c>
      <c r="U853" t="str">
        <f t="shared" si="98"/>
        <v>Low-Cost</v>
      </c>
    </row>
    <row r="854" spans="1:21" x14ac:dyDescent="0.3">
      <c r="A854">
        <v>1088</v>
      </c>
      <c r="B854" s="1">
        <v>45217</v>
      </c>
      <c r="C854" s="2" t="s">
        <v>36</v>
      </c>
      <c r="D854" t="s">
        <v>19</v>
      </c>
      <c r="E854">
        <v>16</v>
      </c>
      <c r="F854" t="s">
        <v>14</v>
      </c>
      <c r="G854">
        <f>1</f>
        <v>1</v>
      </c>
      <c r="H854" s="3">
        <v>3016.9</v>
      </c>
      <c r="I854" s="3">
        <v>3040.73</v>
      </c>
      <c r="J854" s="3">
        <f t="shared" si="92"/>
        <v>2250.1401999999998</v>
      </c>
      <c r="K854" s="3">
        <f t="shared" si="93"/>
        <v>36002.243199999997</v>
      </c>
      <c r="L854" s="3">
        <f t="shared" si="96"/>
        <v>48270.400000000001</v>
      </c>
      <c r="M854" s="8">
        <f t="shared" si="97"/>
        <v>-12268.156800000004</v>
      </c>
      <c r="N854" s="4">
        <f t="shared" si="94"/>
        <v>-0.34076090014302235</v>
      </c>
      <c r="O854" s="4" t="str">
        <f t="shared" si="95"/>
        <v>Loss</v>
      </c>
      <c r="P854" t="s">
        <v>28</v>
      </c>
      <c r="Q854">
        <v>0.26</v>
      </c>
      <c r="R854" t="s">
        <v>25</v>
      </c>
      <c r="S854" t="s">
        <v>20</v>
      </c>
      <c r="T854" t="s">
        <v>39</v>
      </c>
      <c r="U854" t="str">
        <f t="shared" si="98"/>
        <v>High-Cost</v>
      </c>
    </row>
    <row r="855" spans="1:21" x14ac:dyDescent="0.3">
      <c r="A855">
        <v>1088</v>
      </c>
      <c r="B855" s="1">
        <v>45279</v>
      </c>
      <c r="C855" s="2" t="s">
        <v>40</v>
      </c>
      <c r="D855" t="s">
        <v>32</v>
      </c>
      <c r="E855">
        <v>20</v>
      </c>
      <c r="F855" t="s">
        <v>27</v>
      </c>
      <c r="G855">
        <f>1</f>
        <v>1</v>
      </c>
      <c r="H855" s="3">
        <v>4590.24</v>
      </c>
      <c r="I855" s="3">
        <v>5088.28</v>
      </c>
      <c r="J855" s="3">
        <f t="shared" si="92"/>
        <v>4274.1551999999992</v>
      </c>
      <c r="K855" s="3">
        <f t="shared" si="93"/>
        <v>85483.103999999992</v>
      </c>
      <c r="L855" s="3">
        <f t="shared" si="96"/>
        <v>91804.799999999988</v>
      </c>
      <c r="M855" s="8">
        <f t="shared" si="97"/>
        <v>-6321.6959999999963</v>
      </c>
      <c r="N855" s="4">
        <f t="shared" si="94"/>
        <v>-7.3952578979818009E-2</v>
      </c>
      <c r="O855" s="4" t="str">
        <f t="shared" si="95"/>
        <v>Loss</v>
      </c>
      <c r="P855" t="s">
        <v>28</v>
      </c>
      <c r="Q855">
        <v>0.16</v>
      </c>
      <c r="R855" t="s">
        <v>25</v>
      </c>
      <c r="S855" t="s">
        <v>20</v>
      </c>
      <c r="T855" t="s">
        <v>50</v>
      </c>
      <c r="U855" t="str">
        <f t="shared" si="98"/>
        <v>High-Cost</v>
      </c>
    </row>
    <row r="856" spans="1:21" x14ac:dyDescent="0.3">
      <c r="A856">
        <v>1088</v>
      </c>
      <c r="B856" s="1">
        <v>45037</v>
      </c>
      <c r="C856" s="2" t="s">
        <v>31</v>
      </c>
      <c r="D856" t="s">
        <v>32</v>
      </c>
      <c r="E856">
        <v>29</v>
      </c>
      <c r="F856" t="s">
        <v>14</v>
      </c>
      <c r="G856">
        <f>1</f>
        <v>1</v>
      </c>
      <c r="H856" s="3">
        <v>639.58000000000004</v>
      </c>
      <c r="I856" s="3">
        <v>1107.45</v>
      </c>
      <c r="J856" s="3">
        <f t="shared" si="92"/>
        <v>786.28949999999998</v>
      </c>
      <c r="K856" s="3">
        <f t="shared" si="93"/>
        <v>22802.395500000002</v>
      </c>
      <c r="L856" s="3">
        <f t="shared" si="96"/>
        <v>18547.82</v>
      </c>
      <c r="M856" s="8">
        <f t="shared" si="97"/>
        <v>4254.5755000000026</v>
      </c>
      <c r="N856" s="4">
        <f t="shared" si="94"/>
        <v>0.18658458493977101</v>
      </c>
      <c r="O856" s="4" t="str">
        <f t="shared" si="95"/>
        <v>Profit</v>
      </c>
      <c r="P856" t="s">
        <v>28</v>
      </c>
      <c r="Q856">
        <v>0.28999999999999998</v>
      </c>
      <c r="R856" t="s">
        <v>16</v>
      </c>
      <c r="S856" t="s">
        <v>20</v>
      </c>
      <c r="T856" t="s">
        <v>34</v>
      </c>
      <c r="U856" t="str">
        <f t="shared" si="98"/>
        <v>Low-Cost</v>
      </c>
    </row>
    <row r="857" spans="1:21" x14ac:dyDescent="0.3">
      <c r="A857">
        <v>1088</v>
      </c>
      <c r="B857" s="1">
        <v>45196</v>
      </c>
      <c r="C857" s="2" t="s">
        <v>36</v>
      </c>
      <c r="D857" t="s">
        <v>13</v>
      </c>
      <c r="E857">
        <v>12</v>
      </c>
      <c r="F857" t="s">
        <v>27</v>
      </c>
      <c r="G857">
        <f>1</f>
        <v>1</v>
      </c>
      <c r="H857" s="3">
        <v>4389.24</v>
      </c>
      <c r="I857" s="3">
        <v>4856.22</v>
      </c>
      <c r="J857" s="3">
        <f t="shared" si="92"/>
        <v>4127.7870000000003</v>
      </c>
      <c r="K857" s="3">
        <f t="shared" si="93"/>
        <v>49533.443999999996</v>
      </c>
      <c r="L857" s="3">
        <f t="shared" si="96"/>
        <v>52670.879999999997</v>
      </c>
      <c r="M857" s="8">
        <f t="shared" si="97"/>
        <v>-3137.4360000000015</v>
      </c>
      <c r="N857" s="4">
        <f t="shared" si="94"/>
        <v>-6.3339750815630785E-2</v>
      </c>
      <c r="O857" s="4" t="str">
        <f t="shared" si="95"/>
        <v>Loss</v>
      </c>
      <c r="P857" t="s">
        <v>15</v>
      </c>
      <c r="Q857">
        <v>0.15</v>
      </c>
      <c r="R857" t="s">
        <v>16</v>
      </c>
      <c r="S857" t="s">
        <v>20</v>
      </c>
      <c r="T857" t="s">
        <v>38</v>
      </c>
      <c r="U857" t="str">
        <f t="shared" si="98"/>
        <v>High-Cost</v>
      </c>
    </row>
    <row r="858" spans="1:21" x14ac:dyDescent="0.3">
      <c r="A858">
        <v>1088</v>
      </c>
      <c r="B858" s="1">
        <v>45137</v>
      </c>
      <c r="C858" s="2" t="s">
        <v>36</v>
      </c>
      <c r="D858" t="s">
        <v>32</v>
      </c>
      <c r="E858">
        <v>1</v>
      </c>
      <c r="F858" t="s">
        <v>14</v>
      </c>
      <c r="G858">
        <f>1</f>
        <v>1</v>
      </c>
      <c r="H858" s="3">
        <v>4384.6400000000003</v>
      </c>
      <c r="I858" s="3">
        <v>4693.8999999999996</v>
      </c>
      <c r="J858" s="3">
        <f t="shared" si="92"/>
        <v>4036.7539999999995</v>
      </c>
      <c r="K858" s="3">
        <f t="shared" si="93"/>
        <v>4036.7539999999995</v>
      </c>
      <c r="L858" s="3">
        <f t="shared" si="96"/>
        <v>4384.6400000000003</v>
      </c>
      <c r="M858" s="8">
        <f t="shared" si="97"/>
        <v>-347.88600000000088</v>
      </c>
      <c r="N858" s="4">
        <f t="shared" si="94"/>
        <v>-8.6179638392629557E-2</v>
      </c>
      <c r="O858" s="4" t="str">
        <f t="shared" si="95"/>
        <v>Loss</v>
      </c>
      <c r="P858" t="s">
        <v>28</v>
      </c>
      <c r="Q858">
        <v>0.14000000000000001</v>
      </c>
      <c r="R858" t="s">
        <v>16</v>
      </c>
      <c r="S858" t="s">
        <v>20</v>
      </c>
      <c r="T858" t="s">
        <v>46</v>
      </c>
      <c r="U858" t="str">
        <f t="shared" si="98"/>
        <v>High-Cost</v>
      </c>
    </row>
    <row r="859" spans="1:21" x14ac:dyDescent="0.3">
      <c r="A859">
        <v>1089</v>
      </c>
      <c r="B859" s="1">
        <v>44927</v>
      </c>
      <c r="C859" s="2" t="s">
        <v>31</v>
      </c>
      <c r="D859" t="s">
        <v>13</v>
      </c>
      <c r="E859">
        <v>35</v>
      </c>
      <c r="F859" t="s">
        <v>27</v>
      </c>
      <c r="G859">
        <f>1</f>
        <v>1</v>
      </c>
      <c r="H859" s="3">
        <v>4071.01</v>
      </c>
      <c r="I859" s="3">
        <v>4304.7</v>
      </c>
      <c r="J859" s="3">
        <f t="shared" si="92"/>
        <v>3702.0419999999999</v>
      </c>
      <c r="K859" s="3">
        <f t="shared" si="93"/>
        <v>129571.47</v>
      </c>
      <c r="L859" s="3">
        <f t="shared" si="96"/>
        <v>142485.35</v>
      </c>
      <c r="M859" s="8">
        <f t="shared" si="97"/>
        <v>-12913.880000000005</v>
      </c>
      <c r="N859" s="4">
        <f t="shared" si="94"/>
        <v>-9.9666076181739741E-2</v>
      </c>
      <c r="O859" s="4" t="str">
        <f t="shared" si="95"/>
        <v>Loss</v>
      </c>
      <c r="P859" t="s">
        <v>28</v>
      </c>
      <c r="Q859">
        <v>0.14000000000000001</v>
      </c>
      <c r="R859" t="s">
        <v>29</v>
      </c>
      <c r="S859" t="s">
        <v>17</v>
      </c>
      <c r="T859" t="s">
        <v>51</v>
      </c>
      <c r="U859" t="str">
        <f t="shared" si="98"/>
        <v>High-Cost</v>
      </c>
    </row>
    <row r="860" spans="1:21" x14ac:dyDescent="0.3">
      <c r="A860">
        <v>1089</v>
      </c>
      <c r="B860" s="1">
        <v>44988</v>
      </c>
      <c r="C860" s="2" t="s">
        <v>31</v>
      </c>
      <c r="D860" t="s">
        <v>13</v>
      </c>
      <c r="E860">
        <v>4</v>
      </c>
      <c r="F860" t="s">
        <v>14</v>
      </c>
      <c r="G860">
        <f>1</f>
        <v>1</v>
      </c>
      <c r="H860" s="3">
        <v>4117.67</v>
      </c>
      <c r="I860" s="3">
        <v>4280.0600000000004</v>
      </c>
      <c r="J860" s="3">
        <f t="shared" si="92"/>
        <v>3509.6492000000007</v>
      </c>
      <c r="K860" s="3">
        <f t="shared" si="93"/>
        <v>14038.596800000003</v>
      </c>
      <c r="L860" s="3">
        <f t="shared" si="96"/>
        <v>16470.68</v>
      </c>
      <c r="M860" s="8">
        <f t="shared" si="97"/>
        <v>-2432.0831999999973</v>
      </c>
      <c r="N860" s="4">
        <f t="shared" si="94"/>
        <v>-0.17324261353527845</v>
      </c>
      <c r="O860" s="4" t="str">
        <f t="shared" si="95"/>
        <v>Loss</v>
      </c>
      <c r="P860" t="s">
        <v>15</v>
      </c>
      <c r="Q860">
        <v>0.18</v>
      </c>
      <c r="R860" t="s">
        <v>25</v>
      </c>
      <c r="S860" t="s">
        <v>17</v>
      </c>
      <c r="T860" t="s">
        <v>51</v>
      </c>
      <c r="U860" t="str">
        <f t="shared" si="98"/>
        <v>High-Cost</v>
      </c>
    </row>
    <row r="861" spans="1:21" x14ac:dyDescent="0.3">
      <c r="A861">
        <v>1089</v>
      </c>
      <c r="B861" s="1">
        <v>45237</v>
      </c>
      <c r="C861" s="2" t="s">
        <v>12</v>
      </c>
      <c r="D861" t="s">
        <v>19</v>
      </c>
      <c r="E861">
        <v>47</v>
      </c>
      <c r="F861" t="s">
        <v>14</v>
      </c>
      <c r="G861">
        <f>1</f>
        <v>1</v>
      </c>
      <c r="H861" s="3">
        <v>4157.62</v>
      </c>
      <c r="I861" s="3">
        <v>4314.5600000000004</v>
      </c>
      <c r="J861" s="3">
        <f t="shared" si="92"/>
        <v>3581.0848000000001</v>
      </c>
      <c r="K861" s="3">
        <f t="shared" si="93"/>
        <v>168310.98559999999</v>
      </c>
      <c r="L861" s="3">
        <f t="shared" si="96"/>
        <v>195408.13999999998</v>
      </c>
      <c r="M861" s="8">
        <f t="shared" si="97"/>
        <v>-27097.154399999999</v>
      </c>
      <c r="N861" s="4">
        <f t="shared" si="94"/>
        <v>-0.16099456790299968</v>
      </c>
      <c r="O861" s="4" t="str">
        <f t="shared" si="95"/>
        <v>Loss</v>
      </c>
      <c r="P861" t="s">
        <v>28</v>
      </c>
      <c r="Q861">
        <v>0.17</v>
      </c>
      <c r="R861" t="s">
        <v>25</v>
      </c>
      <c r="S861" t="s">
        <v>20</v>
      </c>
      <c r="T861" t="s">
        <v>21</v>
      </c>
      <c r="U861" t="str">
        <f t="shared" si="98"/>
        <v>High-Cost</v>
      </c>
    </row>
    <row r="862" spans="1:21" x14ac:dyDescent="0.3">
      <c r="A862">
        <v>1089</v>
      </c>
      <c r="B862" s="1">
        <v>45177</v>
      </c>
      <c r="C862" s="2" t="s">
        <v>12</v>
      </c>
      <c r="D862" t="s">
        <v>19</v>
      </c>
      <c r="E862">
        <v>40</v>
      </c>
      <c r="F862" t="s">
        <v>14</v>
      </c>
      <c r="G862">
        <f>1</f>
        <v>1</v>
      </c>
      <c r="H862" s="3">
        <v>4089.66</v>
      </c>
      <c r="I862" s="3">
        <v>4275.96</v>
      </c>
      <c r="J862" s="3">
        <f t="shared" si="92"/>
        <v>3292.4892</v>
      </c>
      <c r="K862" s="3">
        <f t="shared" si="93"/>
        <v>131699.568</v>
      </c>
      <c r="L862" s="3">
        <f t="shared" si="96"/>
        <v>163586.4</v>
      </c>
      <c r="M862" s="8">
        <f t="shared" si="97"/>
        <v>-31886.831999999995</v>
      </c>
      <c r="N862" s="4">
        <f t="shared" si="94"/>
        <v>-0.2421179695896952</v>
      </c>
      <c r="O862" s="4" t="str">
        <f t="shared" si="95"/>
        <v>Loss</v>
      </c>
      <c r="P862" t="s">
        <v>28</v>
      </c>
      <c r="Q862">
        <v>0.23</v>
      </c>
      <c r="R862" t="s">
        <v>29</v>
      </c>
      <c r="S862" t="s">
        <v>17</v>
      </c>
      <c r="T862" t="s">
        <v>21</v>
      </c>
      <c r="U862" t="str">
        <f t="shared" si="98"/>
        <v>High-Cost</v>
      </c>
    </row>
    <row r="863" spans="1:21" x14ac:dyDescent="0.3">
      <c r="A863">
        <v>1089</v>
      </c>
      <c r="B863" s="1">
        <v>45211</v>
      </c>
      <c r="C863" s="2" t="s">
        <v>22</v>
      </c>
      <c r="D863" t="s">
        <v>23</v>
      </c>
      <c r="E863">
        <v>25</v>
      </c>
      <c r="F863" t="s">
        <v>14</v>
      </c>
      <c r="G863">
        <f>1</f>
        <v>1</v>
      </c>
      <c r="H863" s="3">
        <v>3512.69</v>
      </c>
      <c r="I863" s="3">
        <v>3964.63</v>
      </c>
      <c r="J863" s="3">
        <f t="shared" si="92"/>
        <v>3845.6911</v>
      </c>
      <c r="K863" s="3">
        <f t="shared" si="93"/>
        <v>96142.277499999997</v>
      </c>
      <c r="L863" s="3">
        <f t="shared" si="96"/>
        <v>87817.25</v>
      </c>
      <c r="M863" s="8">
        <f t="shared" si="97"/>
        <v>8325.0274999999965</v>
      </c>
      <c r="N863" s="4">
        <f t="shared" si="94"/>
        <v>8.6590704073969918E-2</v>
      </c>
      <c r="O863" s="4" t="str">
        <f t="shared" si="95"/>
        <v>Profit</v>
      </c>
      <c r="P863" t="s">
        <v>15</v>
      </c>
      <c r="Q863">
        <v>0.03</v>
      </c>
      <c r="R863" t="s">
        <v>29</v>
      </c>
      <c r="S863" t="s">
        <v>20</v>
      </c>
      <c r="T863" t="s">
        <v>26</v>
      </c>
      <c r="U863" t="str">
        <f t="shared" si="98"/>
        <v>High-Cost</v>
      </c>
    </row>
    <row r="864" spans="1:21" x14ac:dyDescent="0.3">
      <c r="A864">
        <v>1089</v>
      </c>
      <c r="B864" s="1">
        <v>45124</v>
      </c>
      <c r="C864" s="2" t="s">
        <v>31</v>
      </c>
      <c r="D864" t="s">
        <v>13</v>
      </c>
      <c r="E864">
        <v>31</v>
      </c>
      <c r="F864" t="s">
        <v>27</v>
      </c>
      <c r="G864">
        <f>1</f>
        <v>1</v>
      </c>
      <c r="H864" s="3">
        <v>845.14</v>
      </c>
      <c r="I864" s="3">
        <v>1001.77</v>
      </c>
      <c r="J864" s="3">
        <f t="shared" si="92"/>
        <v>971.71690000000001</v>
      </c>
      <c r="K864" s="3">
        <f t="shared" si="93"/>
        <v>30123.223899999997</v>
      </c>
      <c r="L864" s="3">
        <f t="shared" si="96"/>
        <v>26199.34</v>
      </c>
      <c r="M864" s="8">
        <f t="shared" si="97"/>
        <v>3923.8838999999971</v>
      </c>
      <c r="N864" s="4">
        <f t="shared" si="94"/>
        <v>0.13026108735990896</v>
      </c>
      <c r="O864" s="4" t="str">
        <f t="shared" si="95"/>
        <v>Profit</v>
      </c>
      <c r="P864" t="s">
        <v>28</v>
      </c>
      <c r="Q864">
        <v>0.03</v>
      </c>
      <c r="R864" t="s">
        <v>16</v>
      </c>
      <c r="S864" t="s">
        <v>17</v>
      </c>
      <c r="T864" t="s">
        <v>51</v>
      </c>
      <c r="U864" t="str">
        <f t="shared" si="98"/>
        <v>Low-Cost</v>
      </c>
    </row>
    <row r="865" spans="1:21" x14ac:dyDescent="0.3">
      <c r="A865">
        <v>1089</v>
      </c>
      <c r="B865" s="1">
        <v>45217</v>
      </c>
      <c r="C865" s="2" t="s">
        <v>22</v>
      </c>
      <c r="D865" t="s">
        <v>13</v>
      </c>
      <c r="E865">
        <v>15</v>
      </c>
      <c r="F865" t="s">
        <v>24</v>
      </c>
      <c r="G865">
        <f>1</f>
        <v>1</v>
      </c>
      <c r="H865" s="3">
        <v>3841.05</v>
      </c>
      <c r="I865" s="3">
        <v>4323.62</v>
      </c>
      <c r="J865" s="3">
        <f t="shared" si="92"/>
        <v>3069.7701999999999</v>
      </c>
      <c r="K865" s="3">
        <f t="shared" si="93"/>
        <v>46046.552999999993</v>
      </c>
      <c r="L865" s="3">
        <f t="shared" si="96"/>
        <v>57615.75</v>
      </c>
      <c r="M865" s="8">
        <f t="shared" si="97"/>
        <v>-11569.197000000007</v>
      </c>
      <c r="N865" s="4">
        <f t="shared" si="94"/>
        <v>-0.25125001213445902</v>
      </c>
      <c r="O865" s="4" t="str">
        <f t="shared" si="95"/>
        <v>Loss</v>
      </c>
      <c r="P865" t="s">
        <v>15</v>
      </c>
      <c r="Q865">
        <v>0.28999999999999998</v>
      </c>
      <c r="R865" t="s">
        <v>29</v>
      </c>
      <c r="S865" t="s">
        <v>20</v>
      </c>
      <c r="T865" t="s">
        <v>43</v>
      </c>
      <c r="U865" t="str">
        <f t="shared" si="98"/>
        <v>High-Cost</v>
      </c>
    </row>
    <row r="866" spans="1:21" x14ac:dyDescent="0.3">
      <c r="A866">
        <v>1089</v>
      </c>
      <c r="B866" s="1">
        <v>45218</v>
      </c>
      <c r="C866" s="2" t="s">
        <v>36</v>
      </c>
      <c r="D866" t="s">
        <v>19</v>
      </c>
      <c r="E866">
        <v>23</v>
      </c>
      <c r="F866" t="s">
        <v>24</v>
      </c>
      <c r="G866">
        <f>1</f>
        <v>1</v>
      </c>
      <c r="H866" s="3">
        <v>2120.54</v>
      </c>
      <c r="I866" s="3">
        <v>2597.67</v>
      </c>
      <c r="J866" s="3">
        <f t="shared" si="92"/>
        <v>1922.2758000000001</v>
      </c>
      <c r="K866" s="3">
        <f t="shared" si="93"/>
        <v>44212.343400000005</v>
      </c>
      <c r="L866" s="3">
        <f t="shared" si="96"/>
        <v>48772.42</v>
      </c>
      <c r="M866" s="8">
        <f t="shared" si="97"/>
        <v>-4560.0765999999931</v>
      </c>
      <c r="N866" s="4">
        <f t="shared" si="94"/>
        <v>-0.10314035061982244</v>
      </c>
      <c r="O866" s="4" t="str">
        <f t="shared" si="95"/>
        <v>Loss</v>
      </c>
      <c r="P866" t="s">
        <v>15</v>
      </c>
      <c r="Q866">
        <v>0.26</v>
      </c>
      <c r="R866" t="s">
        <v>29</v>
      </c>
      <c r="S866" t="s">
        <v>20</v>
      </c>
      <c r="T866" t="s">
        <v>39</v>
      </c>
      <c r="U866" t="str">
        <f t="shared" si="98"/>
        <v>Low-Cost</v>
      </c>
    </row>
    <row r="867" spans="1:21" x14ac:dyDescent="0.3">
      <c r="A867">
        <v>1089</v>
      </c>
      <c r="B867" s="1">
        <v>45162</v>
      </c>
      <c r="C867" s="2" t="s">
        <v>36</v>
      </c>
      <c r="D867" t="s">
        <v>13</v>
      </c>
      <c r="E867">
        <v>4</v>
      </c>
      <c r="F867" t="s">
        <v>14</v>
      </c>
      <c r="G867">
        <f>1</f>
        <v>1</v>
      </c>
      <c r="H867" s="3">
        <v>4231.75</v>
      </c>
      <c r="I867" s="3">
        <v>4727.75</v>
      </c>
      <c r="J867" s="3">
        <f t="shared" si="92"/>
        <v>4160.42</v>
      </c>
      <c r="K867" s="3">
        <f t="shared" si="93"/>
        <v>16641.68</v>
      </c>
      <c r="L867" s="3">
        <f t="shared" si="96"/>
        <v>16927</v>
      </c>
      <c r="M867" s="8">
        <f t="shared" si="97"/>
        <v>-285.31999999999971</v>
      </c>
      <c r="N867" s="4">
        <f t="shared" si="94"/>
        <v>-1.7144903639536375E-2</v>
      </c>
      <c r="O867" s="4" t="str">
        <f t="shared" si="95"/>
        <v>Loss</v>
      </c>
      <c r="P867" t="s">
        <v>15</v>
      </c>
      <c r="Q867">
        <v>0.12</v>
      </c>
      <c r="R867" t="s">
        <v>29</v>
      </c>
      <c r="S867" t="s">
        <v>20</v>
      </c>
      <c r="T867" t="s">
        <v>38</v>
      </c>
      <c r="U867" t="str">
        <f t="shared" si="98"/>
        <v>High-Cost</v>
      </c>
    </row>
    <row r="868" spans="1:21" x14ac:dyDescent="0.3">
      <c r="A868">
        <v>1089</v>
      </c>
      <c r="B868" s="1">
        <v>45193</v>
      </c>
      <c r="C868" s="2" t="s">
        <v>12</v>
      </c>
      <c r="D868" t="s">
        <v>23</v>
      </c>
      <c r="E868">
        <v>48</v>
      </c>
      <c r="F868" t="s">
        <v>24</v>
      </c>
      <c r="G868">
        <f>1</f>
        <v>1</v>
      </c>
      <c r="H868" s="3">
        <v>2246.67</v>
      </c>
      <c r="I868" s="3">
        <v>2486.14</v>
      </c>
      <c r="J868" s="3">
        <f t="shared" si="92"/>
        <v>2411.5557999999996</v>
      </c>
      <c r="K868" s="3">
        <f t="shared" si="93"/>
        <v>115754.6784</v>
      </c>
      <c r="L868" s="3">
        <f t="shared" si="96"/>
        <v>107840.16</v>
      </c>
      <c r="M868" s="8">
        <f t="shared" si="97"/>
        <v>7914.5184000000008</v>
      </c>
      <c r="N868" s="4">
        <f t="shared" si="94"/>
        <v>6.8373205380526547E-2</v>
      </c>
      <c r="O868" s="4" t="str">
        <f t="shared" si="95"/>
        <v>Profit</v>
      </c>
      <c r="P868" t="s">
        <v>28</v>
      </c>
      <c r="Q868">
        <v>0.03</v>
      </c>
      <c r="R868" t="s">
        <v>16</v>
      </c>
      <c r="S868" t="s">
        <v>20</v>
      </c>
      <c r="T868" t="s">
        <v>30</v>
      </c>
      <c r="U868" t="str">
        <f t="shared" si="98"/>
        <v>Low-Cost</v>
      </c>
    </row>
    <row r="869" spans="1:21" x14ac:dyDescent="0.3">
      <c r="A869">
        <v>1089</v>
      </c>
      <c r="B869" s="1">
        <v>45285</v>
      </c>
      <c r="C869" s="2" t="s">
        <v>36</v>
      </c>
      <c r="D869" t="s">
        <v>23</v>
      </c>
      <c r="E869">
        <v>32</v>
      </c>
      <c r="F869" t="s">
        <v>27</v>
      </c>
      <c r="G869">
        <f>1</f>
        <v>1</v>
      </c>
      <c r="H869" s="3">
        <v>4248.5</v>
      </c>
      <c r="I869" s="3">
        <v>4706.7</v>
      </c>
      <c r="J869" s="3">
        <f t="shared" si="92"/>
        <v>4659.6329999999998</v>
      </c>
      <c r="K869" s="3">
        <f t="shared" si="93"/>
        <v>149108.25599999999</v>
      </c>
      <c r="L869" s="3">
        <f t="shared" si="96"/>
        <v>135952</v>
      </c>
      <c r="M869" s="8">
        <f t="shared" si="97"/>
        <v>13156.255999999994</v>
      </c>
      <c r="N869" s="4">
        <f t="shared" si="94"/>
        <v>8.8232914480603913E-2</v>
      </c>
      <c r="O869" s="4" t="str">
        <f t="shared" si="95"/>
        <v>Profit</v>
      </c>
      <c r="P869" t="s">
        <v>28</v>
      </c>
      <c r="Q869">
        <v>0.01</v>
      </c>
      <c r="R869" t="s">
        <v>25</v>
      </c>
      <c r="S869" t="s">
        <v>20</v>
      </c>
      <c r="T869" t="s">
        <v>37</v>
      </c>
      <c r="U869" t="str">
        <f t="shared" si="98"/>
        <v>High-Cost</v>
      </c>
    </row>
    <row r="870" spans="1:21" x14ac:dyDescent="0.3">
      <c r="A870">
        <v>1089</v>
      </c>
      <c r="B870" s="1">
        <v>45103</v>
      </c>
      <c r="C870" s="2" t="s">
        <v>36</v>
      </c>
      <c r="D870" t="s">
        <v>13</v>
      </c>
      <c r="E870">
        <v>35</v>
      </c>
      <c r="F870" t="s">
        <v>14</v>
      </c>
      <c r="G870">
        <f>1</f>
        <v>1</v>
      </c>
      <c r="H870" s="3">
        <v>3925.85</v>
      </c>
      <c r="I870" s="3">
        <v>4082.11</v>
      </c>
      <c r="J870" s="3">
        <f t="shared" si="92"/>
        <v>3184.0458000000003</v>
      </c>
      <c r="K870" s="3">
        <f t="shared" si="93"/>
        <v>111441.603</v>
      </c>
      <c r="L870" s="3">
        <f t="shared" si="96"/>
        <v>137404.75</v>
      </c>
      <c r="M870" s="8">
        <f t="shared" si="97"/>
        <v>-25963.146999999997</v>
      </c>
      <c r="N870" s="4">
        <f t="shared" si="94"/>
        <v>-0.23297535481430573</v>
      </c>
      <c r="O870" s="4" t="str">
        <f t="shared" si="95"/>
        <v>Loss</v>
      </c>
      <c r="P870" t="s">
        <v>28</v>
      </c>
      <c r="Q870">
        <v>0.22</v>
      </c>
      <c r="R870" t="s">
        <v>16</v>
      </c>
      <c r="S870" t="s">
        <v>17</v>
      </c>
      <c r="T870" t="s">
        <v>38</v>
      </c>
      <c r="U870" t="str">
        <f t="shared" si="98"/>
        <v>High-Cost</v>
      </c>
    </row>
    <row r="871" spans="1:21" x14ac:dyDescent="0.3">
      <c r="A871">
        <v>1089</v>
      </c>
      <c r="B871" s="1">
        <v>45226</v>
      </c>
      <c r="C871" s="2" t="s">
        <v>22</v>
      </c>
      <c r="D871" t="s">
        <v>13</v>
      </c>
      <c r="E871">
        <v>43</v>
      </c>
      <c r="F871" t="s">
        <v>14</v>
      </c>
      <c r="G871">
        <f>1</f>
        <v>1</v>
      </c>
      <c r="H871" s="3">
        <v>3851.45</v>
      </c>
      <c r="I871" s="3">
        <v>4186.9799999999996</v>
      </c>
      <c r="J871" s="3">
        <f t="shared" si="92"/>
        <v>2930.8859999999995</v>
      </c>
      <c r="K871" s="3">
        <f t="shared" si="93"/>
        <v>126028.09799999998</v>
      </c>
      <c r="L871" s="3">
        <f t="shared" si="96"/>
        <v>165612.35</v>
      </c>
      <c r="M871" s="8">
        <f t="shared" si="97"/>
        <v>-39584.252000000022</v>
      </c>
      <c r="N871" s="4">
        <f t="shared" si="94"/>
        <v>-0.3140906879353208</v>
      </c>
      <c r="O871" s="4" t="str">
        <f t="shared" si="95"/>
        <v>Loss</v>
      </c>
      <c r="P871" t="s">
        <v>15</v>
      </c>
      <c r="Q871">
        <v>0.3</v>
      </c>
      <c r="R871" t="s">
        <v>29</v>
      </c>
      <c r="S871" t="s">
        <v>17</v>
      </c>
      <c r="T871" t="s">
        <v>43</v>
      </c>
      <c r="U871" t="str">
        <f t="shared" si="98"/>
        <v>High-Cost</v>
      </c>
    </row>
    <row r="872" spans="1:21" x14ac:dyDescent="0.3">
      <c r="A872">
        <v>1089</v>
      </c>
      <c r="B872" s="1">
        <v>45258</v>
      </c>
      <c r="C872" s="2" t="s">
        <v>22</v>
      </c>
      <c r="D872" t="s">
        <v>19</v>
      </c>
      <c r="E872">
        <v>8</v>
      </c>
      <c r="F872" t="s">
        <v>14</v>
      </c>
      <c r="G872">
        <f>1</f>
        <v>1</v>
      </c>
      <c r="H872" s="3">
        <v>4349.34</v>
      </c>
      <c r="I872" s="3">
        <v>4629.9799999999996</v>
      </c>
      <c r="J872" s="3">
        <f t="shared" si="92"/>
        <v>4583.6801999999998</v>
      </c>
      <c r="K872" s="3">
        <f t="shared" si="93"/>
        <v>36669.441599999998</v>
      </c>
      <c r="L872" s="3">
        <f t="shared" si="96"/>
        <v>34794.720000000001</v>
      </c>
      <c r="M872" s="8">
        <f t="shared" si="97"/>
        <v>1874.7215999999971</v>
      </c>
      <c r="N872" s="4">
        <f t="shared" si="94"/>
        <v>5.1124901776524387E-2</v>
      </c>
      <c r="O872" s="4" t="str">
        <f t="shared" si="95"/>
        <v>Profit</v>
      </c>
      <c r="P872" t="s">
        <v>15</v>
      </c>
      <c r="Q872">
        <v>0.01</v>
      </c>
      <c r="R872" t="s">
        <v>29</v>
      </c>
      <c r="S872" t="s">
        <v>17</v>
      </c>
      <c r="T872" t="s">
        <v>45</v>
      </c>
      <c r="U872" t="str">
        <f t="shared" si="98"/>
        <v>High-Cost</v>
      </c>
    </row>
    <row r="873" spans="1:21" x14ac:dyDescent="0.3">
      <c r="A873">
        <v>1090</v>
      </c>
      <c r="B873" s="1">
        <v>45108</v>
      </c>
      <c r="C873" s="2" t="s">
        <v>22</v>
      </c>
      <c r="D873" t="s">
        <v>13</v>
      </c>
      <c r="E873">
        <v>31</v>
      </c>
      <c r="F873" t="s">
        <v>14</v>
      </c>
      <c r="G873">
        <f>1</f>
        <v>1</v>
      </c>
      <c r="H873" s="3">
        <v>4496.8599999999997</v>
      </c>
      <c r="I873" s="3">
        <v>4880.8</v>
      </c>
      <c r="J873" s="3">
        <f t="shared" si="92"/>
        <v>4587.9520000000002</v>
      </c>
      <c r="K873" s="3">
        <f t="shared" si="93"/>
        <v>142226.51200000002</v>
      </c>
      <c r="L873" s="3">
        <f t="shared" si="96"/>
        <v>139402.66</v>
      </c>
      <c r="M873" s="8">
        <f t="shared" si="97"/>
        <v>2823.8520000000135</v>
      </c>
      <c r="N873" s="4">
        <f t="shared" si="94"/>
        <v>1.9854610510310577E-2</v>
      </c>
      <c r="O873" s="4" t="str">
        <f t="shared" si="95"/>
        <v>Profit</v>
      </c>
      <c r="P873" t="s">
        <v>28</v>
      </c>
      <c r="Q873">
        <v>0.06</v>
      </c>
      <c r="R873" t="s">
        <v>16</v>
      </c>
      <c r="S873" t="s">
        <v>20</v>
      </c>
      <c r="T873" t="s">
        <v>43</v>
      </c>
      <c r="U873" t="str">
        <f t="shared" si="98"/>
        <v>High-Cost</v>
      </c>
    </row>
    <row r="874" spans="1:21" x14ac:dyDescent="0.3">
      <c r="A874">
        <v>1090</v>
      </c>
      <c r="B874" s="1">
        <v>45080</v>
      </c>
      <c r="C874" s="2" t="s">
        <v>36</v>
      </c>
      <c r="D874" t="s">
        <v>13</v>
      </c>
      <c r="E874">
        <v>41</v>
      </c>
      <c r="F874" t="s">
        <v>14</v>
      </c>
      <c r="G874">
        <f>1</f>
        <v>1</v>
      </c>
      <c r="H874" s="3">
        <v>2055.4899999999998</v>
      </c>
      <c r="I874" s="3">
        <v>2441.46</v>
      </c>
      <c r="J874" s="3">
        <f t="shared" si="92"/>
        <v>1855.5096000000001</v>
      </c>
      <c r="K874" s="3">
        <f t="shared" si="93"/>
        <v>76075.893599999996</v>
      </c>
      <c r="L874" s="3">
        <f t="shared" si="96"/>
        <v>84275.09</v>
      </c>
      <c r="M874" s="8">
        <f t="shared" si="97"/>
        <v>-8199.1964000000007</v>
      </c>
      <c r="N874" s="4">
        <f t="shared" si="94"/>
        <v>-0.10777653750753972</v>
      </c>
      <c r="O874" s="4" t="str">
        <f t="shared" si="95"/>
        <v>Loss</v>
      </c>
      <c r="P874" t="s">
        <v>28</v>
      </c>
      <c r="Q874">
        <v>0.24</v>
      </c>
      <c r="R874" t="s">
        <v>29</v>
      </c>
      <c r="S874" t="s">
        <v>17</v>
      </c>
      <c r="T874" t="s">
        <v>38</v>
      </c>
      <c r="U874" t="str">
        <f t="shared" si="98"/>
        <v>Low-Cost</v>
      </c>
    </row>
    <row r="875" spans="1:21" x14ac:dyDescent="0.3">
      <c r="A875">
        <v>1090</v>
      </c>
      <c r="B875" s="1">
        <v>45080</v>
      </c>
      <c r="C875" s="2" t="s">
        <v>22</v>
      </c>
      <c r="D875" t="s">
        <v>23</v>
      </c>
      <c r="E875">
        <v>47</v>
      </c>
      <c r="F875" t="s">
        <v>14</v>
      </c>
      <c r="G875">
        <f>1</f>
        <v>1</v>
      </c>
      <c r="H875" s="3">
        <v>85.35</v>
      </c>
      <c r="I875" s="3">
        <v>360.54</v>
      </c>
      <c r="J875" s="3">
        <f t="shared" si="92"/>
        <v>259.58879999999999</v>
      </c>
      <c r="K875" s="3">
        <f t="shared" si="93"/>
        <v>12200.6736</v>
      </c>
      <c r="L875" s="3">
        <f t="shared" si="96"/>
        <v>4011.45</v>
      </c>
      <c r="M875" s="8">
        <f t="shared" si="97"/>
        <v>8189.2236000000003</v>
      </c>
      <c r="N875" s="4">
        <f t="shared" si="94"/>
        <v>0.67121077642795068</v>
      </c>
      <c r="O875" s="4" t="str">
        <f t="shared" si="95"/>
        <v>Profit</v>
      </c>
      <c r="P875" t="s">
        <v>28</v>
      </c>
      <c r="Q875">
        <v>0.28000000000000003</v>
      </c>
      <c r="R875" t="s">
        <v>16</v>
      </c>
      <c r="S875" t="s">
        <v>17</v>
      </c>
      <c r="T875" t="s">
        <v>26</v>
      </c>
      <c r="U875" t="str">
        <f t="shared" si="98"/>
        <v>Low-Cost</v>
      </c>
    </row>
    <row r="876" spans="1:21" x14ac:dyDescent="0.3">
      <c r="A876">
        <v>1090</v>
      </c>
      <c r="B876" s="1">
        <v>44930</v>
      </c>
      <c r="C876" s="2" t="s">
        <v>36</v>
      </c>
      <c r="D876" t="s">
        <v>13</v>
      </c>
      <c r="E876">
        <v>14</v>
      </c>
      <c r="F876" t="s">
        <v>14</v>
      </c>
      <c r="G876">
        <f>1</f>
        <v>1</v>
      </c>
      <c r="H876" s="3">
        <v>4037.21</v>
      </c>
      <c r="I876" s="3">
        <v>4323.71</v>
      </c>
      <c r="J876" s="3">
        <f t="shared" si="92"/>
        <v>3156.3083000000001</v>
      </c>
      <c r="K876" s="3">
        <f t="shared" si="93"/>
        <v>44188.316200000001</v>
      </c>
      <c r="L876" s="3">
        <f t="shared" si="96"/>
        <v>56520.94</v>
      </c>
      <c r="M876" s="8">
        <f t="shared" si="97"/>
        <v>-12332.623800000001</v>
      </c>
      <c r="N876" s="4">
        <f t="shared" si="94"/>
        <v>-0.27909241312073352</v>
      </c>
      <c r="O876" s="4" t="str">
        <f t="shared" si="95"/>
        <v>Loss</v>
      </c>
      <c r="P876" t="s">
        <v>15</v>
      </c>
      <c r="Q876">
        <v>0.27</v>
      </c>
      <c r="R876" t="s">
        <v>29</v>
      </c>
      <c r="S876" t="s">
        <v>17</v>
      </c>
      <c r="T876" t="s">
        <v>38</v>
      </c>
      <c r="U876" t="str">
        <f t="shared" si="98"/>
        <v>High-Cost</v>
      </c>
    </row>
    <row r="877" spans="1:21" x14ac:dyDescent="0.3">
      <c r="A877">
        <v>1090</v>
      </c>
      <c r="B877" s="1">
        <v>44965</v>
      </c>
      <c r="C877" s="2" t="s">
        <v>31</v>
      </c>
      <c r="D877" t="s">
        <v>13</v>
      </c>
      <c r="E877">
        <v>44</v>
      </c>
      <c r="F877" t="s">
        <v>27</v>
      </c>
      <c r="G877">
        <f>1</f>
        <v>1</v>
      </c>
      <c r="H877" s="3">
        <v>3542.18</v>
      </c>
      <c r="I877" s="3">
        <v>3578.49</v>
      </c>
      <c r="J877" s="3">
        <f t="shared" si="92"/>
        <v>3149.0711999999999</v>
      </c>
      <c r="K877" s="3">
        <f t="shared" si="93"/>
        <v>138559.13279999999</v>
      </c>
      <c r="L877" s="3">
        <f t="shared" si="96"/>
        <v>155855.91999999998</v>
      </c>
      <c r="M877" s="8">
        <f t="shared" si="97"/>
        <v>-17296.787199999992</v>
      </c>
      <c r="N877" s="4">
        <f t="shared" si="94"/>
        <v>-0.1248332524205867</v>
      </c>
      <c r="O877" s="4" t="str">
        <f t="shared" si="95"/>
        <v>Loss</v>
      </c>
      <c r="P877" t="s">
        <v>15</v>
      </c>
      <c r="Q877">
        <v>0.12</v>
      </c>
      <c r="R877" t="s">
        <v>16</v>
      </c>
      <c r="S877" t="s">
        <v>17</v>
      </c>
      <c r="T877" t="s">
        <v>51</v>
      </c>
      <c r="U877" t="str">
        <f t="shared" si="98"/>
        <v>High-Cost</v>
      </c>
    </row>
    <row r="878" spans="1:21" x14ac:dyDescent="0.3">
      <c r="A878">
        <v>1090</v>
      </c>
      <c r="B878" s="1">
        <v>45240</v>
      </c>
      <c r="C878" s="2" t="s">
        <v>40</v>
      </c>
      <c r="D878" t="s">
        <v>13</v>
      </c>
      <c r="E878">
        <v>16</v>
      </c>
      <c r="F878" t="s">
        <v>27</v>
      </c>
      <c r="G878">
        <f>1</f>
        <v>1</v>
      </c>
      <c r="H878" s="3">
        <v>2183.37</v>
      </c>
      <c r="I878" s="3">
        <v>2263.36</v>
      </c>
      <c r="J878" s="3">
        <f t="shared" si="92"/>
        <v>2263.36</v>
      </c>
      <c r="K878" s="3">
        <f t="shared" si="93"/>
        <v>36213.760000000002</v>
      </c>
      <c r="L878" s="3">
        <f t="shared" si="96"/>
        <v>34933.919999999998</v>
      </c>
      <c r="M878" s="8">
        <f t="shared" si="97"/>
        <v>1279.8400000000038</v>
      </c>
      <c r="N878" s="4">
        <f t="shared" si="94"/>
        <v>3.5341262547716773E-2</v>
      </c>
      <c r="O878" s="4" t="str">
        <f t="shared" si="95"/>
        <v>Profit</v>
      </c>
      <c r="P878" t="s">
        <v>15</v>
      </c>
      <c r="Q878">
        <v>0</v>
      </c>
      <c r="R878" t="s">
        <v>25</v>
      </c>
      <c r="S878" t="s">
        <v>20</v>
      </c>
      <c r="T878" t="s">
        <v>47</v>
      </c>
      <c r="U878" t="str">
        <f t="shared" si="98"/>
        <v>Low-Cost</v>
      </c>
    </row>
    <row r="879" spans="1:21" x14ac:dyDescent="0.3">
      <c r="A879">
        <v>1090</v>
      </c>
      <c r="B879" s="1">
        <v>44939</v>
      </c>
      <c r="C879" s="2" t="s">
        <v>40</v>
      </c>
      <c r="D879" t="s">
        <v>32</v>
      </c>
      <c r="E879">
        <v>17</v>
      </c>
      <c r="F879" t="s">
        <v>27</v>
      </c>
      <c r="G879">
        <f>1</f>
        <v>1</v>
      </c>
      <c r="H879" s="3">
        <v>2382.98</v>
      </c>
      <c r="I879" s="3">
        <v>2839.73</v>
      </c>
      <c r="J879" s="3">
        <f t="shared" si="92"/>
        <v>2186.5920999999998</v>
      </c>
      <c r="K879" s="3">
        <f t="shared" si="93"/>
        <v>37172.065700000006</v>
      </c>
      <c r="L879" s="3">
        <f t="shared" si="96"/>
        <v>40510.660000000003</v>
      </c>
      <c r="M879" s="8">
        <f t="shared" si="97"/>
        <v>-3338.594299999997</v>
      </c>
      <c r="N879" s="4">
        <f t="shared" si="94"/>
        <v>-8.9814602366851959E-2</v>
      </c>
      <c r="O879" s="4" t="str">
        <f t="shared" si="95"/>
        <v>Loss</v>
      </c>
      <c r="P879" t="s">
        <v>15</v>
      </c>
      <c r="Q879">
        <v>0.23</v>
      </c>
      <c r="R879" t="s">
        <v>25</v>
      </c>
      <c r="S879" t="s">
        <v>20</v>
      </c>
      <c r="T879" t="s">
        <v>50</v>
      </c>
      <c r="U879" t="str">
        <f t="shared" si="98"/>
        <v>High-Cost</v>
      </c>
    </row>
    <row r="880" spans="1:21" x14ac:dyDescent="0.3">
      <c r="A880">
        <v>1090</v>
      </c>
      <c r="B880" s="1">
        <v>44999</v>
      </c>
      <c r="C880" s="2" t="s">
        <v>22</v>
      </c>
      <c r="D880" t="s">
        <v>32</v>
      </c>
      <c r="E880">
        <v>47</v>
      </c>
      <c r="F880" t="s">
        <v>14</v>
      </c>
      <c r="G880">
        <f>1</f>
        <v>1</v>
      </c>
      <c r="H880" s="3">
        <v>2310.8200000000002</v>
      </c>
      <c r="I880" s="3">
        <v>2714.71</v>
      </c>
      <c r="J880" s="3">
        <f t="shared" si="92"/>
        <v>2198.9151000000002</v>
      </c>
      <c r="K880" s="3">
        <f t="shared" si="93"/>
        <v>103349.00970000001</v>
      </c>
      <c r="L880" s="3">
        <f t="shared" si="96"/>
        <v>108608.54000000001</v>
      </c>
      <c r="M880" s="8">
        <f t="shared" si="97"/>
        <v>-5259.5302999999985</v>
      </c>
      <c r="N880" s="4">
        <f t="shared" si="94"/>
        <v>-5.0890959819230835E-2</v>
      </c>
      <c r="O880" s="4" t="str">
        <f t="shared" si="95"/>
        <v>Loss</v>
      </c>
      <c r="P880" t="s">
        <v>28</v>
      </c>
      <c r="Q880">
        <v>0.19</v>
      </c>
      <c r="R880" t="s">
        <v>16</v>
      </c>
      <c r="S880" t="s">
        <v>20</v>
      </c>
      <c r="T880" t="s">
        <v>48</v>
      </c>
      <c r="U880" t="str">
        <f t="shared" si="98"/>
        <v>Low-Cost</v>
      </c>
    </row>
    <row r="881" spans="1:21" x14ac:dyDescent="0.3">
      <c r="A881">
        <v>1090</v>
      </c>
      <c r="B881" s="1">
        <v>45183</v>
      </c>
      <c r="C881" s="2" t="s">
        <v>31</v>
      </c>
      <c r="D881" t="s">
        <v>19</v>
      </c>
      <c r="E881">
        <v>47</v>
      </c>
      <c r="F881" t="s">
        <v>27</v>
      </c>
      <c r="G881">
        <f>1</f>
        <v>1</v>
      </c>
      <c r="H881" s="3">
        <v>2357.9499999999998</v>
      </c>
      <c r="I881" s="3">
        <v>2693.33</v>
      </c>
      <c r="J881" s="3">
        <f t="shared" si="92"/>
        <v>2208.5306</v>
      </c>
      <c r="K881" s="3">
        <f t="shared" si="93"/>
        <v>103800.9382</v>
      </c>
      <c r="L881" s="3">
        <f t="shared" si="96"/>
        <v>110823.65</v>
      </c>
      <c r="M881" s="8">
        <f t="shared" si="97"/>
        <v>-7022.71179999999</v>
      </c>
      <c r="N881" s="4">
        <f t="shared" si="94"/>
        <v>-6.7655571537020939E-2</v>
      </c>
      <c r="O881" s="4" t="str">
        <f t="shared" si="95"/>
        <v>Loss</v>
      </c>
      <c r="P881" t="s">
        <v>28</v>
      </c>
      <c r="Q881">
        <v>0.18</v>
      </c>
      <c r="R881" t="s">
        <v>25</v>
      </c>
      <c r="S881" t="s">
        <v>17</v>
      </c>
      <c r="T881" t="s">
        <v>35</v>
      </c>
      <c r="U881" t="str">
        <f t="shared" si="98"/>
        <v>Low-Cost</v>
      </c>
    </row>
    <row r="882" spans="1:21" x14ac:dyDescent="0.3">
      <c r="A882">
        <v>1090</v>
      </c>
      <c r="B882" s="1">
        <v>45244</v>
      </c>
      <c r="C882" s="2" t="s">
        <v>12</v>
      </c>
      <c r="D882" t="s">
        <v>32</v>
      </c>
      <c r="E882">
        <v>1</v>
      </c>
      <c r="F882" t="s">
        <v>27</v>
      </c>
      <c r="G882">
        <f>1</f>
        <v>1</v>
      </c>
      <c r="H882" s="3">
        <v>60.28</v>
      </c>
      <c r="I882" s="3">
        <v>260.73</v>
      </c>
      <c r="J882" s="3">
        <f t="shared" si="92"/>
        <v>216.4059</v>
      </c>
      <c r="K882" s="3">
        <f t="shared" si="93"/>
        <v>216.4059</v>
      </c>
      <c r="L882" s="3">
        <f t="shared" si="96"/>
        <v>60.28</v>
      </c>
      <c r="M882" s="8">
        <f t="shared" si="97"/>
        <v>156.1259</v>
      </c>
      <c r="N882" s="4">
        <f t="shared" si="94"/>
        <v>0.72144936898670509</v>
      </c>
      <c r="O882" s="4" t="str">
        <f t="shared" si="95"/>
        <v>Profit</v>
      </c>
      <c r="P882" t="s">
        <v>15</v>
      </c>
      <c r="Q882">
        <v>0.17</v>
      </c>
      <c r="R882" t="s">
        <v>16</v>
      </c>
      <c r="S882" t="s">
        <v>17</v>
      </c>
      <c r="T882" t="s">
        <v>44</v>
      </c>
      <c r="U882" t="str">
        <f t="shared" si="98"/>
        <v>Low-Cost</v>
      </c>
    </row>
    <row r="883" spans="1:21" x14ac:dyDescent="0.3">
      <c r="A883">
        <v>1090</v>
      </c>
      <c r="B883" s="1">
        <v>45214</v>
      </c>
      <c r="C883" s="2" t="s">
        <v>31</v>
      </c>
      <c r="D883" t="s">
        <v>23</v>
      </c>
      <c r="E883">
        <v>48</v>
      </c>
      <c r="F883" t="s">
        <v>33</v>
      </c>
      <c r="G883">
        <f>1</f>
        <v>1</v>
      </c>
      <c r="H883" s="3">
        <v>4766.53</v>
      </c>
      <c r="I883" s="3">
        <v>5253.07</v>
      </c>
      <c r="J883" s="3">
        <f t="shared" si="92"/>
        <v>5200.5392999999995</v>
      </c>
      <c r="K883" s="3">
        <f t="shared" si="93"/>
        <v>249625.88639999999</v>
      </c>
      <c r="L883" s="3">
        <f t="shared" si="96"/>
        <v>228793.44</v>
      </c>
      <c r="M883" s="8">
        <f t="shared" si="97"/>
        <v>20832.446399999986</v>
      </c>
      <c r="N883" s="4">
        <f t="shared" si="94"/>
        <v>8.3454671710681952E-2</v>
      </c>
      <c r="O883" s="4" t="str">
        <f t="shared" si="95"/>
        <v>Profit</v>
      </c>
      <c r="P883" t="s">
        <v>15</v>
      </c>
      <c r="Q883">
        <v>0.01</v>
      </c>
      <c r="R883" t="s">
        <v>25</v>
      </c>
      <c r="S883" t="s">
        <v>17</v>
      </c>
      <c r="T883" t="s">
        <v>42</v>
      </c>
      <c r="U883" t="str">
        <f t="shared" si="98"/>
        <v>High-Cost</v>
      </c>
    </row>
    <row r="884" spans="1:21" x14ac:dyDescent="0.3">
      <c r="A884">
        <v>1090</v>
      </c>
      <c r="B884" s="1">
        <v>45124</v>
      </c>
      <c r="C884" s="2" t="s">
        <v>22</v>
      </c>
      <c r="D884" t="s">
        <v>13</v>
      </c>
      <c r="E884">
        <v>14</v>
      </c>
      <c r="F884" t="s">
        <v>33</v>
      </c>
      <c r="G884">
        <f>1</f>
        <v>1</v>
      </c>
      <c r="H884" s="3">
        <v>1350.47</v>
      </c>
      <c r="I884" s="3">
        <v>1514.61</v>
      </c>
      <c r="J884" s="3">
        <f t="shared" si="92"/>
        <v>1211.6879999999999</v>
      </c>
      <c r="K884" s="3">
        <f t="shared" si="93"/>
        <v>16963.631999999998</v>
      </c>
      <c r="L884" s="3">
        <f t="shared" si="96"/>
        <v>18906.580000000002</v>
      </c>
      <c r="M884" s="8">
        <f t="shared" si="97"/>
        <v>-1942.948000000004</v>
      </c>
      <c r="N884" s="4">
        <f t="shared" si="94"/>
        <v>-0.1145360851968496</v>
      </c>
      <c r="O884" s="4" t="str">
        <f t="shared" si="95"/>
        <v>Loss</v>
      </c>
      <c r="P884" t="s">
        <v>28</v>
      </c>
      <c r="Q884">
        <v>0.2</v>
      </c>
      <c r="R884" t="s">
        <v>29</v>
      </c>
      <c r="S884" t="s">
        <v>20</v>
      </c>
      <c r="T884" t="s">
        <v>43</v>
      </c>
      <c r="U884" t="str">
        <f t="shared" si="98"/>
        <v>Low-Cost</v>
      </c>
    </row>
    <row r="885" spans="1:21" x14ac:dyDescent="0.3">
      <c r="A885">
        <v>1090</v>
      </c>
      <c r="B885" s="1">
        <v>45126</v>
      </c>
      <c r="C885" s="2" t="s">
        <v>31</v>
      </c>
      <c r="D885" t="s">
        <v>19</v>
      </c>
      <c r="E885">
        <v>10</v>
      </c>
      <c r="F885" t="s">
        <v>14</v>
      </c>
      <c r="G885">
        <f>1</f>
        <v>1</v>
      </c>
      <c r="H885" s="3">
        <v>2387.63</v>
      </c>
      <c r="I885" s="3">
        <v>2438.9699999999998</v>
      </c>
      <c r="J885" s="3">
        <f t="shared" si="92"/>
        <v>2390.1905999999999</v>
      </c>
      <c r="K885" s="3">
        <f t="shared" si="93"/>
        <v>23901.905999999995</v>
      </c>
      <c r="L885" s="3">
        <f t="shared" si="96"/>
        <v>23876.300000000003</v>
      </c>
      <c r="M885" s="8">
        <f t="shared" si="97"/>
        <v>25.605999999992491</v>
      </c>
      <c r="N885" s="4">
        <f t="shared" si="94"/>
        <v>1.0712953184567162E-3</v>
      </c>
      <c r="O885" s="4" t="str">
        <f t="shared" si="95"/>
        <v>Profit</v>
      </c>
      <c r="P885" t="s">
        <v>15</v>
      </c>
      <c r="Q885">
        <v>0.02</v>
      </c>
      <c r="R885" t="s">
        <v>25</v>
      </c>
      <c r="S885" t="s">
        <v>20</v>
      </c>
      <c r="T885" t="s">
        <v>35</v>
      </c>
      <c r="U885" t="str">
        <f t="shared" si="98"/>
        <v>Low-Cost</v>
      </c>
    </row>
    <row r="886" spans="1:21" x14ac:dyDescent="0.3">
      <c r="A886">
        <v>1090</v>
      </c>
      <c r="B886" s="1">
        <v>45157</v>
      </c>
      <c r="C886" s="2" t="s">
        <v>12</v>
      </c>
      <c r="D886" t="s">
        <v>19</v>
      </c>
      <c r="E886">
        <v>31</v>
      </c>
      <c r="F886" t="s">
        <v>27</v>
      </c>
      <c r="G886">
        <f>1</f>
        <v>1</v>
      </c>
      <c r="H886" s="3">
        <v>2347.81</v>
      </c>
      <c r="I886" s="3">
        <v>2668.02</v>
      </c>
      <c r="J886" s="3">
        <f t="shared" si="92"/>
        <v>2427.8982000000001</v>
      </c>
      <c r="K886" s="3">
        <f t="shared" si="93"/>
        <v>75264.844199999992</v>
      </c>
      <c r="L886" s="3">
        <f t="shared" si="96"/>
        <v>72782.11</v>
      </c>
      <c r="M886" s="8">
        <f t="shared" si="97"/>
        <v>2482.7341999999917</v>
      </c>
      <c r="N886" s="4">
        <f t="shared" si="94"/>
        <v>3.2986638401890055E-2</v>
      </c>
      <c r="O886" s="4" t="str">
        <f t="shared" si="95"/>
        <v>Profit</v>
      </c>
      <c r="P886" t="s">
        <v>15</v>
      </c>
      <c r="Q886">
        <v>0.09</v>
      </c>
      <c r="R886" t="s">
        <v>25</v>
      </c>
      <c r="S886" t="s">
        <v>20</v>
      </c>
      <c r="T886" t="s">
        <v>21</v>
      </c>
      <c r="U886" t="str">
        <f t="shared" si="98"/>
        <v>Low-Cost</v>
      </c>
    </row>
    <row r="887" spans="1:21" x14ac:dyDescent="0.3">
      <c r="A887">
        <v>1090</v>
      </c>
      <c r="B887" s="1">
        <v>45250</v>
      </c>
      <c r="C887" s="2" t="s">
        <v>40</v>
      </c>
      <c r="D887" t="s">
        <v>19</v>
      </c>
      <c r="E887">
        <v>32</v>
      </c>
      <c r="F887" t="s">
        <v>33</v>
      </c>
      <c r="G887">
        <f>1</f>
        <v>1</v>
      </c>
      <c r="H887" s="3">
        <v>2678.99</v>
      </c>
      <c r="I887" s="3">
        <v>3152.28</v>
      </c>
      <c r="J887" s="3">
        <f t="shared" si="92"/>
        <v>2458.7784000000001</v>
      </c>
      <c r="K887" s="3">
        <f t="shared" si="93"/>
        <v>78680.908800000005</v>
      </c>
      <c r="L887" s="3">
        <f t="shared" si="96"/>
        <v>85727.679999999993</v>
      </c>
      <c r="M887" s="8">
        <f t="shared" si="97"/>
        <v>-7046.7711999999883</v>
      </c>
      <c r="N887" s="4">
        <f t="shared" si="94"/>
        <v>-8.9561385442461838E-2</v>
      </c>
      <c r="O887" s="4" t="str">
        <f t="shared" si="95"/>
        <v>Loss</v>
      </c>
      <c r="P887" t="s">
        <v>15</v>
      </c>
      <c r="Q887">
        <v>0.22</v>
      </c>
      <c r="R887" t="s">
        <v>16</v>
      </c>
      <c r="S887" t="s">
        <v>20</v>
      </c>
      <c r="T887" t="s">
        <v>49</v>
      </c>
      <c r="U887" t="str">
        <f t="shared" si="98"/>
        <v>High-Cost</v>
      </c>
    </row>
    <row r="888" spans="1:21" x14ac:dyDescent="0.3">
      <c r="A888">
        <v>1090</v>
      </c>
      <c r="B888" s="1">
        <v>45037</v>
      </c>
      <c r="C888" s="2" t="s">
        <v>22</v>
      </c>
      <c r="D888" t="s">
        <v>19</v>
      </c>
      <c r="E888">
        <v>35</v>
      </c>
      <c r="F888" t="s">
        <v>33</v>
      </c>
      <c r="G888">
        <f>1</f>
        <v>1</v>
      </c>
      <c r="H888" s="3">
        <v>1130.5999999999999</v>
      </c>
      <c r="I888" s="3">
        <v>1466.18</v>
      </c>
      <c r="J888" s="3">
        <f t="shared" si="92"/>
        <v>1275.5766000000001</v>
      </c>
      <c r="K888" s="3">
        <f t="shared" si="93"/>
        <v>44645.181000000004</v>
      </c>
      <c r="L888" s="3">
        <f t="shared" si="96"/>
        <v>39571</v>
      </c>
      <c r="M888" s="8">
        <f t="shared" si="97"/>
        <v>5074.1810000000041</v>
      </c>
      <c r="N888" s="4">
        <f t="shared" si="94"/>
        <v>0.11365573811874576</v>
      </c>
      <c r="O888" s="4" t="str">
        <f t="shared" si="95"/>
        <v>Profit</v>
      </c>
      <c r="P888" t="s">
        <v>15</v>
      </c>
      <c r="Q888">
        <v>0.13</v>
      </c>
      <c r="R888" t="s">
        <v>16</v>
      </c>
      <c r="S888" t="s">
        <v>17</v>
      </c>
      <c r="T888" t="s">
        <v>45</v>
      </c>
      <c r="U888" t="str">
        <f t="shared" si="98"/>
        <v>Low-Cost</v>
      </c>
    </row>
    <row r="889" spans="1:21" x14ac:dyDescent="0.3">
      <c r="A889">
        <v>1090</v>
      </c>
      <c r="B889" s="1">
        <v>44951</v>
      </c>
      <c r="C889" s="2" t="s">
        <v>31</v>
      </c>
      <c r="D889" t="s">
        <v>23</v>
      </c>
      <c r="E889">
        <v>17</v>
      </c>
      <c r="F889" t="s">
        <v>27</v>
      </c>
      <c r="G889">
        <f>1</f>
        <v>1</v>
      </c>
      <c r="H889" s="3">
        <v>4190.26</v>
      </c>
      <c r="I889" s="3">
        <v>4645.3500000000004</v>
      </c>
      <c r="J889" s="3">
        <f t="shared" si="92"/>
        <v>4087.9080000000004</v>
      </c>
      <c r="K889" s="3">
        <f t="shared" si="93"/>
        <v>69494.436000000016</v>
      </c>
      <c r="L889" s="3">
        <f t="shared" si="96"/>
        <v>71234.42</v>
      </c>
      <c r="M889" s="8">
        <f t="shared" si="97"/>
        <v>-1739.9839999999822</v>
      </c>
      <c r="N889" s="4">
        <f t="shared" si="94"/>
        <v>-2.5037745467852732E-2</v>
      </c>
      <c r="O889" s="4" t="str">
        <f t="shared" si="95"/>
        <v>Loss</v>
      </c>
      <c r="P889" t="s">
        <v>28</v>
      </c>
      <c r="Q889">
        <v>0.12</v>
      </c>
      <c r="R889" t="s">
        <v>29</v>
      </c>
      <c r="S889" t="s">
        <v>20</v>
      </c>
      <c r="T889" t="s">
        <v>42</v>
      </c>
      <c r="U889" t="str">
        <f t="shared" si="98"/>
        <v>High-Cost</v>
      </c>
    </row>
    <row r="890" spans="1:21" x14ac:dyDescent="0.3">
      <c r="A890">
        <v>1090</v>
      </c>
      <c r="B890" s="1">
        <v>45195</v>
      </c>
      <c r="C890" s="2" t="s">
        <v>36</v>
      </c>
      <c r="D890" t="s">
        <v>13</v>
      </c>
      <c r="E890">
        <v>11</v>
      </c>
      <c r="F890" t="s">
        <v>33</v>
      </c>
      <c r="G890">
        <f>1</f>
        <v>1</v>
      </c>
      <c r="H890" s="3">
        <v>210.33</v>
      </c>
      <c r="I890" s="3">
        <v>552.29</v>
      </c>
      <c r="J890" s="3">
        <f t="shared" si="92"/>
        <v>452.87779999999998</v>
      </c>
      <c r="K890" s="3">
        <f t="shared" si="93"/>
        <v>4981.6558000000005</v>
      </c>
      <c r="L890" s="3">
        <f t="shared" si="96"/>
        <v>2313.63</v>
      </c>
      <c r="M890" s="8">
        <f t="shared" si="97"/>
        <v>2668.0258000000003</v>
      </c>
      <c r="N890" s="4">
        <f t="shared" si="94"/>
        <v>0.53557008093574032</v>
      </c>
      <c r="O890" s="4" t="str">
        <f t="shared" si="95"/>
        <v>Profit</v>
      </c>
      <c r="P890" t="s">
        <v>15</v>
      </c>
      <c r="Q890">
        <v>0.18</v>
      </c>
      <c r="R890" t="s">
        <v>16</v>
      </c>
      <c r="S890" t="s">
        <v>20</v>
      </c>
      <c r="T890" t="s">
        <v>38</v>
      </c>
      <c r="U890" t="str">
        <f t="shared" si="98"/>
        <v>Low-Cost</v>
      </c>
    </row>
    <row r="891" spans="1:21" x14ac:dyDescent="0.3">
      <c r="A891">
        <v>1090</v>
      </c>
      <c r="B891" s="1">
        <v>45105</v>
      </c>
      <c r="C891" s="2" t="s">
        <v>31</v>
      </c>
      <c r="D891" t="s">
        <v>13</v>
      </c>
      <c r="E891">
        <v>41</v>
      </c>
      <c r="F891" t="s">
        <v>27</v>
      </c>
      <c r="G891">
        <f>1</f>
        <v>1</v>
      </c>
      <c r="H891" s="3">
        <v>3736.88</v>
      </c>
      <c r="I891" s="3">
        <v>3946.77</v>
      </c>
      <c r="J891" s="3">
        <f t="shared" si="92"/>
        <v>3709.9638</v>
      </c>
      <c r="K891" s="3">
        <f t="shared" si="93"/>
        <v>152108.51579999999</v>
      </c>
      <c r="L891" s="3">
        <f t="shared" si="96"/>
        <v>153212.08000000002</v>
      </c>
      <c r="M891" s="8">
        <f t="shared" si="97"/>
        <v>-1103.5642000000225</v>
      </c>
      <c r="N891" s="4">
        <f t="shared" si="94"/>
        <v>-7.2551112223791913E-3</v>
      </c>
      <c r="O891" s="4" t="str">
        <f t="shared" si="95"/>
        <v>Loss</v>
      </c>
      <c r="P891" t="s">
        <v>15</v>
      </c>
      <c r="Q891">
        <v>0.06</v>
      </c>
      <c r="R891" t="s">
        <v>29</v>
      </c>
      <c r="S891" t="s">
        <v>17</v>
      </c>
      <c r="T891" t="s">
        <v>51</v>
      </c>
      <c r="U891" t="str">
        <f t="shared" si="98"/>
        <v>High-Cost</v>
      </c>
    </row>
    <row r="892" spans="1:21" x14ac:dyDescent="0.3">
      <c r="A892">
        <v>1090</v>
      </c>
      <c r="B892" s="1">
        <v>45291</v>
      </c>
      <c r="C892" s="2" t="s">
        <v>36</v>
      </c>
      <c r="D892" t="s">
        <v>19</v>
      </c>
      <c r="E892">
        <v>46</v>
      </c>
      <c r="F892" t="s">
        <v>27</v>
      </c>
      <c r="G892">
        <f>1</f>
        <v>1</v>
      </c>
      <c r="H892" s="3">
        <v>4665.12</v>
      </c>
      <c r="I892" s="3">
        <v>4675.8999999999996</v>
      </c>
      <c r="J892" s="3">
        <f t="shared" si="92"/>
        <v>3787.4789999999998</v>
      </c>
      <c r="K892" s="3">
        <f t="shared" si="93"/>
        <v>174224.03400000001</v>
      </c>
      <c r="L892" s="3">
        <f t="shared" si="96"/>
        <v>214595.52</v>
      </c>
      <c r="M892" s="8">
        <f t="shared" si="97"/>
        <v>-40371.485999999975</v>
      </c>
      <c r="N892" s="4">
        <f t="shared" si="94"/>
        <v>-0.23172168083308167</v>
      </c>
      <c r="O892" s="4" t="str">
        <f t="shared" si="95"/>
        <v>Loss</v>
      </c>
      <c r="P892" t="s">
        <v>28</v>
      </c>
      <c r="Q892">
        <v>0.19</v>
      </c>
      <c r="R892" t="s">
        <v>16</v>
      </c>
      <c r="S892" t="s">
        <v>20</v>
      </c>
      <c r="T892" t="s">
        <v>39</v>
      </c>
      <c r="U892" t="str">
        <f t="shared" si="98"/>
        <v>High-Cost</v>
      </c>
    </row>
    <row r="893" spans="1:21" x14ac:dyDescent="0.3">
      <c r="A893">
        <v>1091</v>
      </c>
      <c r="B893" s="1">
        <v>45200</v>
      </c>
      <c r="C893" s="2" t="s">
        <v>36</v>
      </c>
      <c r="D893" t="s">
        <v>32</v>
      </c>
      <c r="E893">
        <v>15</v>
      </c>
      <c r="F893" t="s">
        <v>33</v>
      </c>
      <c r="G893">
        <f>1</f>
        <v>1</v>
      </c>
      <c r="H893" s="3">
        <v>1534.7</v>
      </c>
      <c r="I893" s="3">
        <v>1972.62</v>
      </c>
      <c r="J893" s="3">
        <f t="shared" si="92"/>
        <v>1854.2627999999997</v>
      </c>
      <c r="K893" s="3">
        <f t="shared" si="93"/>
        <v>27813.941999999999</v>
      </c>
      <c r="L893" s="3">
        <f t="shared" si="96"/>
        <v>23020.5</v>
      </c>
      <c r="M893" s="8">
        <f t="shared" si="97"/>
        <v>4793.4419999999991</v>
      </c>
      <c r="N893" s="4">
        <f t="shared" si="94"/>
        <v>0.172339541083389</v>
      </c>
      <c r="O893" s="4" t="str">
        <f t="shared" si="95"/>
        <v>Profit</v>
      </c>
      <c r="P893" t="s">
        <v>15</v>
      </c>
      <c r="Q893">
        <v>0.06</v>
      </c>
      <c r="R893" t="s">
        <v>29</v>
      </c>
      <c r="S893" t="s">
        <v>20</v>
      </c>
      <c r="T893" t="s">
        <v>46</v>
      </c>
      <c r="U893" t="str">
        <f t="shared" si="98"/>
        <v>Low-Cost</v>
      </c>
    </row>
    <row r="894" spans="1:21" x14ac:dyDescent="0.3">
      <c r="A894">
        <v>1091</v>
      </c>
      <c r="B894" s="1">
        <v>45173</v>
      </c>
      <c r="C894" s="2" t="s">
        <v>31</v>
      </c>
      <c r="D894" t="s">
        <v>23</v>
      </c>
      <c r="E894">
        <v>44</v>
      </c>
      <c r="F894" t="s">
        <v>24</v>
      </c>
      <c r="G894">
        <f>1</f>
        <v>1</v>
      </c>
      <c r="H894" s="3">
        <v>2085.46</v>
      </c>
      <c r="I894" s="3">
        <v>2406.58</v>
      </c>
      <c r="J894" s="3">
        <f t="shared" si="92"/>
        <v>2262.1851999999999</v>
      </c>
      <c r="K894" s="3">
        <f t="shared" si="93"/>
        <v>99536.148799999981</v>
      </c>
      <c r="L894" s="3">
        <f t="shared" si="96"/>
        <v>91760.24</v>
      </c>
      <c r="M894" s="8">
        <f t="shared" si="97"/>
        <v>7775.9087999999756</v>
      </c>
      <c r="N894" s="4">
        <f t="shared" si="94"/>
        <v>7.8121455307902946E-2</v>
      </c>
      <c r="O894" s="4" t="str">
        <f t="shared" si="95"/>
        <v>Profit</v>
      </c>
      <c r="P894" t="s">
        <v>15</v>
      </c>
      <c r="Q894">
        <v>0.06</v>
      </c>
      <c r="R894" t="s">
        <v>25</v>
      </c>
      <c r="S894" t="s">
        <v>20</v>
      </c>
      <c r="T894" t="s">
        <v>42</v>
      </c>
      <c r="U894" t="str">
        <f t="shared" si="98"/>
        <v>Low-Cost</v>
      </c>
    </row>
    <row r="895" spans="1:21" x14ac:dyDescent="0.3">
      <c r="A895">
        <v>1091</v>
      </c>
      <c r="B895" s="1">
        <v>45029</v>
      </c>
      <c r="C895" s="2" t="s">
        <v>36</v>
      </c>
      <c r="D895" t="s">
        <v>19</v>
      </c>
      <c r="E895">
        <v>36</v>
      </c>
      <c r="F895" t="s">
        <v>33</v>
      </c>
      <c r="G895">
        <f>1</f>
        <v>1</v>
      </c>
      <c r="H895" s="3">
        <v>3951.59</v>
      </c>
      <c r="I895" s="3">
        <v>4387.01</v>
      </c>
      <c r="J895" s="3">
        <f t="shared" si="92"/>
        <v>4079.9193</v>
      </c>
      <c r="K895" s="3">
        <f t="shared" si="93"/>
        <v>146877.09479999999</v>
      </c>
      <c r="L895" s="3">
        <f t="shared" si="96"/>
        <v>142257.24</v>
      </c>
      <c r="M895" s="8">
        <f t="shared" si="97"/>
        <v>4619.854800000001</v>
      </c>
      <c r="N895" s="4">
        <f t="shared" si="94"/>
        <v>3.1453881943204129E-2</v>
      </c>
      <c r="O895" s="4" t="str">
        <f t="shared" si="95"/>
        <v>Profit</v>
      </c>
      <c r="P895" t="s">
        <v>28</v>
      </c>
      <c r="Q895">
        <v>7.0000000000000007E-2</v>
      </c>
      <c r="R895" t="s">
        <v>25</v>
      </c>
      <c r="S895" t="s">
        <v>20</v>
      </c>
      <c r="T895" t="s">
        <v>39</v>
      </c>
      <c r="U895" t="str">
        <f t="shared" si="98"/>
        <v>High-Cost</v>
      </c>
    </row>
    <row r="896" spans="1:21" x14ac:dyDescent="0.3">
      <c r="A896">
        <v>1091</v>
      </c>
      <c r="B896" s="1">
        <v>45071</v>
      </c>
      <c r="C896" s="2" t="s">
        <v>40</v>
      </c>
      <c r="D896" t="s">
        <v>13</v>
      </c>
      <c r="E896">
        <v>24</v>
      </c>
      <c r="F896" t="s">
        <v>27</v>
      </c>
      <c r="G896">
        <f>1</f>
        <v>1</v>
      </c>
      <c r="H896" s="3">
        <v>3639.3</v>
      </c>
      <c r="I896" s="3">
        <v>3750.63</v>
      </c>
      <c r="J896" s="3">
        <f t="shared" si="92"/>
        <v>2887.9851000000003</v>
      </c>
      <c r="K896" s="3">
        <f t="shared" si="93"/>
        <v>69311.642399999997</v>
      </c>
      <c r="L896" s="3">
        <f t="shared" si="96"/>
        <v>87343.200000000012</v>
      </c>
      <c r="M896" s="8">
        <f t="shared" si="97"/>
        <v>-18031.557600000015</v>
      </c>
      <c r="N896" s="4">
        <f t="shared" si="94"/>
        <v>-0.26015193083925559</v>
      </c>
      <c r="O896" s="4" t="str">
        <f t="shared" si="95"/>
        <v>Loss</v>
      </c>
      <c r="P896" t="s">
        <v>28</v>
      </c>
      <c r="Q896">
        <v>0.23</v>
      </c>
      <c r="R896" t="s">
        <v>25</v>
      </c>
      <c r="S896" t="s">
        <v>20</v>
      </c>
      <c r="T896" t="s">
        <v>47</v>
      </c>
      <c r="U896" t="str">
        <f t="shared" si="98"/>
        <v>High-Cost</v>
      </c>
    </row>
    <row r="897" spans="1:21" x14ac:dyDescent="0.3">
      <c r="A897">
        <v>1091</v>
      </c>
      <c r="B897" s="1">
        <v>45227</v>
      </c>
      <c r="C897" s="2" t="s">
        <v>12</v>
      </c>
      <c r="D897" t="s">
        <v>19</v>
      </c>
      <c r="E897">
        <v>39</v>
      </c>
      <c r="F897" t="s">
        <v>14</v>
      </c>
      <c r="G897">
        <f>1</f>
        <v>1</v>
      </c>
      <c r="H897" s="3">
        <v>2184.4899999999998</v>
      </c>
      <c r="I897" s="3">
        <v>2540.42</v>
      </c>
      <c r="J897" s="3">
        <f t="shared" si="92"/>
        <v>1854.5065999999999</v>
      </c>
      <c r="K897" s="3">
        <f t="shared" si="93"/>
        <v>72325.757400000002</v>
      </c>
      <c r="L897" s="3">
        <f t="shared" si="96"/>
        <v>85195.109999999986</v>
      </c>
      <c r="M897" s="8">
        <f t="shared" si="97"/>
        <v>-12869.352599999984</v>
      </c>
      <c r="N897" s="4">
        <f t="shared" si="94"/>
        <v>-0.17793595342286708</v>
      </c>
      <c r="O897" s="4" t="str">
        <f t="shared" si="95"/>
        <v>Loss</v>
      </c>
      <c r="P897" t="s">
        <v>15</v>
      </c>
      <c r="Q897">
        <v>0.27</v>
      </c>
      <c r="R897" t="s">
        <v>25</v>
      </c>
      <c r="S897" t="s">
        <v>17</v>
      </c>
      <c r="T897" t="s">
        <v>21</v>
      </c>
      <c r="U897" t="str">
        <f t="shared" si="98"/>
        <v>Low-Cost</v>
      </c>
    </row>
    <row r="898" spans="1:21" x14ac:dyDescent="0.3">
      <c r="A898">
        <v>1092</v>
      </c>
      <c r="B898" s="1">
        <v>45263</v>
      </c>
      <c r="C898" s="2" t="s">
        <v>22</v>
      </c>
      <c r="D898" t="s">
        <v>32</v>
      </c>
      <c r="E898">
        <v>6</v>
      </c>
      <c r="F898" t="s">
        <v>27</v>
      </c>
      <c r="G898">
        <f>1</f>
        <v>1</v>
      </c>
      <c r="H898" s="3">
        <v>422.74</v>
      </c>
      <c r="I898" s="3">
        <v>737.49</v>
      </c>
      <c r="J898" s="3">
        <f t="shared" ref="J898:J961" si="99">I898*(1-Q898)</f>
        <v>597.3669000000001</v>
      </c>
      <c r="K898" s="3">
        <f t="shared" ref="K898:K961" si="100">E898*I898*(1-Q898)</f>
        <v>3584.2014000000008</v>
      </c>
      <c r="L898" s="3">
        <f t="shared" si="96"/>
        <v>2536.44</v>
      </c>
      <c r="M898" s="8">
        <f t="shared" si="97"/>
        <v>1047.7614000000008</v>
      </c>
      <c r="N898" s="4">
        <f t="shared" ref="N898:N961" si="101">(M898/K898)</f>
        <v>0.29232771350404596</v>
      </c>
      <c r="O898" s="4" t="str">
        <f t="shared" ref="O898:O962" si="102">IF(M898&lt;0,"Loss","Profit")</f>
        <v>Profit</v>
      </c>
      <c r="P898" t="s">
        <v>15</v>
      </c>
      <c r="Q898">
        <v>0.19</v>
      </c>
      <c r="R898" t="s">
        <v>29</v>
      </c>
      <c r="S898" t="s">
        <v>20</v>
      </c>
      <c r="T898" t="s">
        <v>48</v>
      </c>
      <c r="U898" t="str">
        <f t="shared" si="98"/>
        <v>Low-Cost</v>
      </c>
    </row>
    <row r="899" spans="1:21" x14ac:dyDescent="0.3">
      <c r="A899">
        <v>1092</v>
      </c>
      <c r="B899" s="1">
        <v>45114</v>
      </c>
      <c r="C899" s="2" t="s">
        <v>40</v>
      </c>
      <c r="D899" t="s">
        <v>23</v>
      </c>
      <c r="E899">
        <v>14</v>
      </c>
      <c r="F899" t="s">
        <v>14</v>
      </c>
      <c r="G899">
        <f>1</f>
        <v>1</v>
      </c>
      <c r="H899" s="3">
        <v>2559.65</v>
      </c>
      <c r="I899" s="3">
        <v>2709.4</v>
      </c>
      <c r="J899" s="3">
        <f t="shared" si="99"/>
        <v>2411.366</v>
      </c>
      <c r="K899" s="3">
        <f t="shared" si="100"/>
        <v>33759.123999999996</v>
      </c>
      <c r="L899" s="3">
        <f t="shared" ref="L899:L962" si="103">H899*E899</f>
        <v>35835.1</v>
      </c>
      <c r="M899" s="8">
        <f t="shared" ref="M899:M962" si="104">K899-L899</f>
        <v>-2075.9760000000024</v>
      </c>
      <c r="N899" s="4">
        <f t="shared" si="101"/>
        <v>-6.149377572711906E-2</v>
      </c>
      <c r="O899" s="4" t="str">
        <f t="shared" si="102"/>
        <v>Loss</v>
      </c>
      <c r="P899" t="s">
        <v>15</v>
      </c>
      <c r="Q899">
        <v>0.11</v>
      </c>
      <c r="R899" t="s">
        <v>29</v>
      </c>
      <c r="S899" t="s">
        <v>20</v>
      </c>
      <c r="T899" t="s">
        <v>41</v>
      </c>
      <c r="U899" t="str">
        <f t="shared" si="98"/>
        <v>Low-Cost</v>
      </c>
    </row>
    <row r="900" spans="1:21" x14ac:dyDescent="0.3">
      <c r="A900">
        <v>1092</v>
      </c>
      <c r="B900" s="1">
        <v>44966</v>
      </c>
      <c r="C900" s="2" t="s">
        <v>22</v>
      </c>
      <c r="D900" t="s">
        <v>19</v>
      </c>
      <c r="E900">
        <v>34</v>
      </c>
      <c r="F900" t="s">
        <v>14</v>
      </c>
      <c r="G900">
        <f>1</f>
        <v>1</v>
      </c>
      <c r="H900" s="3">
        <v>2037.41</v>
      </c>
      <c r="I900" s="3">
        <v>2238.65</v>
      </c>
      <c r="J900" s="3">
        <f t="shared" si="99"/>
        <v>1567.0550000000001</v>
      </c>
      <c r="K900" s="3">
        <f t="shared" si="100"/>
        <v>53279.87</v>
      </c>
      <c r="L900" s="3">
        <f t="shared" si="103"/>
        <v>69271.94</v>
      </c>
      <c r="M900" s="8">
        <f t="shared" si="104"/>
        <v>-15992.07</v>
      </c>
      <c r="N900" s="4">
        <f t="shared" si="101"/>
        <v>-0.30015219631729578</v>
      </c>
      <c r="O900" s="4" t="str">
        <f t="shared" si="102"/>
        <v>Loss</v>
      </c>
      <c r="P900" t="s">
        <v>28</v>
      </c>
      <c r="Q900">
        <v>0.3</v>
      </c>
      <c r="R900" t="s">
        <v>29</v>
      </c>
      <c r="S900" t="s">
        <v>17</v>
      </c>
      <c r="T900" t="s">
        <v>45</v>
      </c>
      <c r="U900" t="str">
        <f t="shared" si="98"/>
        <v>Low-Cost</v>
      </c>
    </row>
    <row r="901" spans="1:21" x14ac:dyDescent="0.3">
      <c r="A901">
        <v>1092</v>
      </c>
      <c r="B901" s="1">
        <v>44966</v>
      </c>
      <c r="C901" s="2" t="s">
        <v>40</v>
      </c>
      <c r="D901" t="s">
        <v>23</v>
      </c>
      <c r="E901">
        <v>14</v>
      </c>
      <c r="F901" t="s">
        <v>27</v>
      </c>
      <c r="G901">
        <f>1</f>
        <v>1</v>
      </c>
      <c r="H901" s="3">
        <v>3586.58</v>
      </c>
      <c r="I901" s="3">
        <v>4068.43</v>
      </c>
      <c r="J901" s="3">
        <f t="shared" si="99"/>
        <v>3173.3753999999999</v>
      </c>
      <c r="K901" s="3">
        <f t="shared" si="100"/>
        <v>44427.255599999997</v>
      </c>
      <c r="L901" s="3">
        <f t="shared" si="103"/>
        <v>50212.119999999995</v>
      </c>
      <c r="M901" s="8">
        <f t="shared" si="104"/>
        <v>-5784.8643999999986</v>
      </c>
      <c r="N901" s="4">
        <f t="shared" si="101"/>
        <v>-0.13020980751284578</v>
      </c>
      <c r="O901" s="4" t="str">
        <f t="shared" si="102"/>
        <v>Loss</v>
      </c>
      <c r="P901" t="s">
        <v>28</v>
      </c>
      <c r="Q901">
        <v>0.22</v>
      </c>
      <c r="R901" t="s">
        <v>29</v>
      </c>
      <c r="S901" t="s">
        <v>17</v>
      </c>
      <c r="T901" t="s">
        <v>41</v>
      </c>
      <c r="U901" t="str">
        <f t="shared" si="98"/>
        <v>High-Cost</v>
      </c>
    </row>
    <row r="902" spans="1:21" x14ac:dyDescent="0.3">
      <c r="A902">
        <v>1092</v>
      </c>
      <c r="B902" s="1">
        <v>44967</v>
      </c>
      <c r="C902" s="2" t="s">
        <v>12</v>
      </c>
      <c r="D902" t="s">
        <v>32</v>
      </c>
      <c r="E902">
        <v>47</v>
      </c>
      <c r="F902" t="s">
        <v>14</v>
      </c>
      <c r="G902">
        <f>1</f>
        <v>1</v>
      </c>
      <c r="H902" s="3">
        <v>3681.53</v>
      </c>
      <c r="I902" s="3">
        <v>4076.96</v>
      </c>
      <c r="J902" s="3">
        <f t="shared" si="99"/>
        <v>3383.8768</v>
      </c>
      <c r="K902" s="3">
        <f t="shared" si="100"/>
        <v>159042.2096</v>
      </c>
      <c r="L902" s="3">
        <f t="shared" si="103"/>
        <v>173031.91</v>
      </c>
      <c r="M902" s="8">
        <f t="shared" si="104"/>
        <v>-13989.700400000002</v>
      </c>
      <c r="N902" s="4">
        <f t="shared" si="101"/>
        <v>-8.7962185857357461E-2</v>
      </c>
      <c r="O902" s="4" t="str">
        <f t="shared" si="102"/>
        <v>Loss</v>
      </c>
      <c r="P902" t="s">
        <v>15</v>
      </c>
      <c r="Q902">
        <v>0.17</v>
      </c>
      <c r="R902" t="s">
        <v>16</v>
      </c>
      <c r="S902" t="s">
        <v>20</v>
      </c>
      <c r="T902" t="s">
        <v>44</v>
      </c>
      <c r="U902" t="str">
        <f t="shared" si="98"/>
        <v>High-Cost</v>
      </c>
    </row>
    <row r="903" spans="1:21" x14ac:dyDescent="0.3">
      <c r="A903">
        <v>1092</v>
      </c>
      <c r="B903" s="1">
        <v>45118</v>
      </c>
      <c r="C903" s="2" t="s">
        <v>36</v>
      </c>
      <c r="D903" t="s">
        <v>32</v>
      </c>
      <c r="E903">
        <v>33</v>
      </c>
      <c r="F903" t="s">
        <v>33</v>
      </c>
      <c r="G903">
        <f>1</f>
        <v>1</v>
      </c>
      <c r="H903" s="3">
        <v>2595.42</v>
      </c>
      <c r="I903" s="3">
        <v>3083.06</v>
      </c>
      <c r="J903" s="3">
        <f t="shared" si="99"/>
        <v>2836.4151999999999</v>
      </c>
      <c r="K903" s="3">
        <f t="shared" si="100"/>
        <v>93601.7016</v>
      </c>
      <c r="L903" s="3">
        <f t="shared" si="103"/>
        <v>85648.86</v>
      </c>
      <c r="M903" s="8">
        <f t="shared" si="104"/>
        <v>7952.8415999999997</v>
      </c>
      <c r="N903" s="4">
        <f t="shared" si="101"/>
        <v>8.4964711795367617E-2</v>
      </c>
      <c r="O903" s="4" t="str">
        <f t="shared" si="102"/>
        <v>Profit</v>
      </c>
      <c r="P903" t="s">
        <v>28</v>
      </c>
      <c r="Q903">
        <v>0.08</v>
      </c>
      <c r="R903" t="s">
        <v>29</v>
      </c>
      <c r="S903" t="s">
        <v>17</v>
      </c>
      <c r="T903" t="s">
        <v>46</v>
      </c>
      <c r="U903" t="str">
        <f t="shared" si="98"/>
        <v>High-Cost</v>
      </c>
    </row>
    <row r="904" spans="1:21" x14ac:dyDescent="0.3">
      <c r="A904">
        <v>1092</v>
      </c>
      <c r="B904" s="1">
        <v>45273</v>
      </c>
      <c r="C904" s="2" t="s">
        <v>31</v>
      </c>
      <c r="D904" t="s">
        <v>13</v>
      </c>
      <c r="E904">
        <v>15</v>
      </c>
      <c r="F904" t="s">
        <v>27</v>
      </c>
      <c r="G904">
        <f>1</f>
        <v>1</v>
      </c>
      <c r="H904" s="3">
        <v>2273.88</v>
      </c>
      <c r="I904" s="3">
        <v>2696.02</v>
      </c>
      <c r="J904" s="3">
        <f t="shared" si="99"/>
        <v>1887.2139999999999</v>
      </c>
      <c r="K904" s="3">
        <f t="shared" si="100"/>
        <v>28308.21</v>
      </c>
      <c r="L904" s="3">
        <f t="shared" si="103"/>
        <v>34108.200000000004</v>
      </c>
      <c r="M904" s="8">
        <f t="shared" si="104"/>
        <v>-5799.9900000000052</v>
      </c>
      <c r="N904" s="4">
        <f t="shared" si="101"/>
        <v>-0.20488720410085998</v>
      </c>
      <c r="O904" s="4" t="str">
        <f t="shared" si="102"/>
        <v>Loss</v>
      </c>
      <c r="P904" t="s">
        <v>28</v>
      </c>
      <c r="Q904">
        <v>0.3</v>
      </c>
      <c r="R904" t="s">
        <v>16</v>
      </c>
      <c r="S904" t="s">
        <v>17</v>
      </c>
      <c r="T904" t="s">
        <v>51</v>
      </c>
      <c r="U904" t="str">
        <f t="shared" ref="U904:U967" si="105">IF(I904 &gt;=2800, "High-Cost", "Low-Cost")</f>
        <v>Low-Cost</v>
      </c>
    </row>
    <row r="905" spans="1:21" x14ac:dyDescent="0.3">
      <c r="A905">
        <v>1092</v>
      </c>
      <c r="B905" s="1">
        <v>45244</v>
      </c>
      <c r="C905" s="2" t="s">
        <v>36</v>
      </c>
      <c r="D905" t="s">
        <v>32</v>
      </c>
      <c r="E905">
        <v>28</v>
      </c>
      <c r="F905" t="s">
        <v>27</v>
      </c>
      <c r="G905">
        <f>1</f>
        <v>1</v>
      </c>
      <c r="H905" s="3">
        <v>3936.69</v>
      </c>
      <c r="I905" s="3">
        <v>4362.51</v>
      </c>
      <c r="J905" s="3">
        <f t="shared" si="99"/>
        <v>4057.1342999999997</v>
      </c>
      <c r="K905" s="3">
        <f t="shared" si="100"/>
        <v>113599.76039999998</v>
      </c>
      <c r="L905" s="3">
        <f t="shared" si="103"/>
        <v>110227.32</v>
      </c>
      <c r="M905" s="8">
        <f t="shared" si="104"/>
        <v>3372.4403999999777</v>
      </c>
      <c r="N905" s="4">
        <f t="shared" si="101"/>
        <v>2.9687037966674955E-2</v>
      </c>
      <c r="O905" s="4" t="str">
        <f t="shared" si="102"/>
        <v>Profit</v>
      </c>
      <c r="P905" t="s">
        <v>15</v>
      </c>
      <c r="Q905">
        <v>7.0000000000000007E-2</v>
      </c>
      <c r="R905" t="s">
        <v>29</v>
      </c>
      <c r="S905" t="s">
        <v>20</v>
      </c>
      <c r="T905" t="s">
        <v>46</v>
      </c>
      <c r="U905" t="str">
        <f t="shared" si="105"/>
        <v>High-Cost</v>
      </c>
    </row>
    <row r="906" spans="1:21" x14ac:dyDescent="0.3">
      <c r="A906">
        <v>1092</v>
      </c>
      <c r="B906" s="1">
        <v>45245</v>
      </c>
      <c r="C906" s="2" t="s">
        <v>22</v>
      </c>
      <c r="D906" t="s">
        <v>32</v>
      </c>
      <c r="E906">
        <v>47</v>
      </c>
      <c r="F906" t="s">
        <v>33</v>
      </c>
      <c r="G906">
        <f>1</f>
        <v>1</v>
      </c>
      <c r="H906" s="3">
        <v>3034.32</v>
      </c>
      <c r="I906" s="3">
        <v>3375.79</v>
      </c>
      <c r="J906" s="3">
        <f t="shared" si="99"/>
        <v>2430.5688</v>
      </c>
      <c r="K906" s="3">
        <f t="shared" si="100"/>
        <v>114236.73359999999</v>
      </c>
      <c r="L906" s="3">
        <f t="shared" si="103"/>
        <v>142613.04</v>
      </c>
      <c r="M906" s="8">
        <f t="shared" si="104"/>
        <v>-28376.306400000016</v>
      </c>
      <c r="N906" s="4">
        <f t="shared" si="101"/>
        <v>-0.24839914015188558</v>
      </c>
      <c r="O906" s="4" t="str">
        <f t="shared" si="102"/>
        <v>Loss</v>
      </c>
      <c r="P906" t="s">
        <v>28</v>
      </c>
      <c r="Q906">
        <v>0.28000000000000003</v>
      </c>
      <c r="R906" t="s">
        <v>29</v>
      </c>
      <c r="S906" t="s">
        <v>17</v>
      </c>
      <c r="T906" t="s">
        <v>48</v>
      </c>
      <c r="U906" t="str">
        <f t="shared" si="105"/>
        <v>High-Cost</v>
      </c>
    </row>
    <row r="907" spans="1:21" x14ac:dyDescent="0.3">
      <c r="A907">
        <v>1092</v>
      </c>
      <c r="B907" s="1">
        <v>45094</v>
      </c>
      <c r="C907" s="2" t="s">
        <v>40</v>
      </c>
      <c r="D907" t="s">
        <v>32</v>
      </c>
      <c r="E907">
        <v>47</v>
      </c>
      <c r="F907" t="s">
        <v>14</v>
      </c>
      <c r="G907">
        <f>1</f>
        <v>1</v>
      </c>
      <c r="H907" s="3">
        <v>1447.45</v>
      </c>
      <c r="I907" s="3">
        <v>1703.02</v>
      </c>
      <c r="J907" s="3">
        <f t="shared" si="99"/>
        <v>1498.6576</v>
      </c>
      <c r="K907" s="3">
        <f t="shared" si="100"/>
        <v>70436.907200000001</v>
      </c>
      <c r="L907" s="3">
        <f t="shared" si="103"/>
        <v>68030.150000000009</v>
      </c>
      <c r="M907" s="8">
        <f t="shared" si="104"/>
        <v>2406.7571999999927</v>
      </c>
      <c r="N907" s="4">
        <f t="shared" si="101"/>
        <v>3.4168978958235584E-2</v>
      </c>
      <c r="O907" s="4" t="str">
        <f t="shared" si="102"/>
        <v>Profit</v>
      </c>
      <c r="P907" t="s">
        <v>15</v>
      </c>
      <c r="Q907">
        <v>0.12</v>
      </c>
      <c r="R907" t="s">
        <v>25</v>
      </c>
      <c r="S907" t="s">
        <v>20</v>
      </c>
      <c r="T907" t="s">
        <v>50</v>
      </c>
      <c r="U907" t="str">
        <f t="shared" si="105"/>
        <v>Low-Cost</v>
      </c>
    </row>
    <row r="908" spans="1:21" x14ac:dyDescent="0.3">
      <c r="A908">
        <v>1092</v>
      </c>
      <c r="B908" s="1">
        <v>45094</v>
      </c>
      <c r="C908" s="2" t="s">
        <v>22</v>
      </c>
      <c r="D908" t="s">
        <v>32</v>
      </c>
      <c r="E908">
        <v>21</v>
      </c>
      <c r="F908" t="s">
        <v>27</v>
      </c>
      <c r="G908">
        <f>1</f>
        <v>1</v>
      </c>
      <c r="H908" s="3">
        <v>2792.2</v>
      </c>
      <c r="I908" s="3">
        <v>3254.55</v>
      </c>
      <c r="J908" s="3">
        <f t="shared" si="99"/>
        <v>3189.4590000000003</v>
      </c>
      <c r="K908" s="3">
        <f t="shared" si="100"/>
        <v>66978.638999999996</v>
      </c>
      <c r="L908" s="3">
        <f t="shared" si="103"/>
        <v>58636.2</v>
      </c>
      <c r="M908" s="8">
        <f t="shared" si="104"/>
        <v>8342.4389999999985</v>
      </c>
      <c r="N908" s="4">
        <f t="shared" si="101"/>
        <v>0.12455372525559975</v>
      </c>
      <c r="O908" s="4" t="str">
        <f t="shared" si="102"/>
        <v>Profit</v>
      </c>
      <c r="P908" t="s">
        <v>28</v>
      </c>
      <c r="Q908">
        <v>0.02</v>
      </c>
      <c r="R908" t="s">
        <v>29</v>
      </c>
      <c r="S908" t="s">
        <v>20</v>
      </c>
      <c r="T908" t="s">
        <v>48</v>
      </c>
      <c r="U908" t="str">
        <f t="shared" si="105"/>
        <v>High-Cost</v>
      </c>
    </row>
    <row r="909" spans="1:21" x14ac:dyDescent="0.3">
      <c r="A909">
        <v>1092</v>
      </c>
      <c r="B909" s="1">
        <v>44946</v>
      </c>
      <c r="C909" s="2" t="s">
        <v>31</v>
      </c>
      <c r="D909" t="s">
        <v>32</v>
      </c>
      <c r="E909">
        <v>40</v>
      </c>
      <c r="F909" t="s">
        <v>33</v>
      </c>
      <c r="G909">
        <f>1</f>
        <v>1</v>
      </c>
      <c r="H909" s="3">
        <v>4624.16</v>
      </c>
      <c r="I909" s="3">
        <v>4731.9799999999996</v>
      </c>
      <c r="J909" s="3">
        <f t="shared" si="99"/>
        <v>3785.5839999999998</v>
      </c>
      <c r="K909" s="3">
        <f t="shared" si="100"/>
        <v>151423.35999999999</v>
      </c>
      <c r="L909" s="3">
        <f t="shared" si="103"/>
        <v>184966.39999999999</v>
      </c>
      <c r="M909" s="8">
        <f t="shared" si="104"/>
        <v>-33543.040000000008</v>
      </c>
      <c r="N909" s="4">
        <f t="shared" si="101"/>
        <v>-0.22151826508142478</v>
      </c>
      <c r="O909" s="4" t="str">
        <f t="shared" si="102"/>
        <v>Loss</v>
      </c>
      <c r="P909" t="s">
        <v>28</v>
      </c>
      <c r="Q909">
        <v>0.2</v>
      </c>
      <c r="R909" t="s">
        <v>25</v>
      </c>
      <c r="S909" t="s">
        <v>20</v>
      </c>
      <c r="T909" t="s">
        <v>34</v>
      </c>
      <c r="U909" t="str">
        <f t="shared" si="105"/>
        <v>High-Cost</v>
      </c>
    </row>
    <row r="910" spans="1:21" x14ac:dyDescent="0.3">
      <c r="A910">
        <v>1092</v>
      </c>
      <c r="B910" s="1">
        <v>45160</v>
      </c>
      <c r="C910" s="2" t="s">
        <v>22</v>
      </c>
      <c r="D910" t="s">
        <v>32</v>
      </c>
      <c r="E910">
        <v>29</v>
      </c>
      <c r="F910" t="s">
        <v>27</v>
      </c>
      <c r="G910">
        <f>1</f>
        <v>1</v>
      </c>
      <c r="H910" s="3">
        <v>1742.24</v>
      </c>
      <c r="I910" s="3">
        <v>2070.52</v>
      </c>
      <c r="J910" s="3">
        <f t="shared" si="99"/>
        <v>1822.0576000000001</v>
      </c>
      <c r="K910" s="3">
        <f t="shared" si="100"/>
        <v>52839.670400000003</v>
      </c>
      <c r="L910" s="3">
        <f t="shared" si="103"/>
        <v>50524.959999999999</v>
      </c>
      <c r="M910" s="8">
        <f t="shared" si="104"/>
        <v>2314.7104000000036</v>
      </c>
      <c r="N910" s="4">
        <f t="shared" si="101"/>
        <v>4.3806298988572107E-2</v>
      </c>
      <c r="O910" s="4" t="str">
        <f t="shared" si="102"/>
        <v>Profit</v>
      </c>
      <c r="P910" t="s">
        <v>28</v>
      </c>
      <c r="Q910">
        <v>0.12</v>
      </c>
      <c r="R910" t="s">
        <v>16</v>
      </c>
      <c r="S910" t="s">
        <v>17</v>
      </c>
      <c r="T910" t="s">
        <v>48</v>
      </c>
      <c r="U910" t="str">
        <f t="shared" si="105"/>
        <v>Low-Cost</v>
      </c>
    </row>
    <row r="911" spans="1:21" x14ac:dyDescent="0.3">
      <c r="A911">
        <v>1092</v>
      </c>
      <c r="B911" s="1">
        <v>45008</v>
      </c>
      <c r="C911" s="2" t="s">
        <v>12</v>
      </c>
      <c r="D911" t="s">
        <v>23</v>
      </c>
      <c r="E911">
        <v>18</v>
      </c>
      <c r="F911" t="s">
        <v>24</v>
      </c>
      <c r="G911">
        <f>1</f>
        <v>1</v>
      </c>
      <c r="H911" s="3">
        <v>3070.47</v>
      </c>
      <c r="I911" s="3">
        <v>3475.29</v>
      </c>
      <c r="J911" s="3">
        <f t="shared" si="99"/>
        <v>2780.232</v>
      </c>
      <c r="K911" s="3">
        <f t="shared" si="100"/>
        <v>50044.176000000007</v>
      </c>
      <c r="L911" s="3">
        <f t="shared" si="103"/>
        <v>55268.46</v>
      </c>
      <c r="M911" s="8">
        <f t="shared" si="104"/>
        <v>-5224.2839999999924</v>
      </c>
      <c r="N911" s="4">
        <f t="shared" si="101"/>
        <v>-0.10439344630232281</v>
      </c>
      <c r="O911" s="4" t="str">
        <f t="shared" si="102"/>
        <v>Loss</v>
      </c>
      <c r="P911" t="s">
        <v>15</v>
      </c>
      <c r="Q911">
        <v>0.2</v>
      </c>
      <c r="R911" t="s">
        <v>25</v>
      </c>
      <c r="S911" t="s">
        <v>17</v>
      </c>
      <c r="T911" t="s">
        <v>30</v>
      </c>
      <c r="U911" t="str">
        <f t="shared" si="105"/>
        <v>High-Cost</v>
      </c>
    </row>
    <row r="912" spans="1:21" x14ac:dyDescent="0.3">
      <c r="A912">
        <v>1092</v>
      </c>
      <c r="B912" s="1">
        <v>45010</v>
      </c>
      <c r="C912" s="2" t="s">
        <v>40</v>
      </c>
      <c r="D912" t="s">
        <v>19</v>
      </c>
      <c r="E912">
        <v>49</v>
      </c>
      <c r="F912" t="s">
        <v>14</v>
      </c>
      <c r="G912">
        <f>1</f>
        <v>1</v>
      </c>
      <c r="H912" s="3">
        <v>2315</v>
      </c>
      <c r="I912" s="3">
        <v>2467.2800000000002</v>
      </c>
      <c r="J912" s="3">
        <f t="shared" si="99"/>
        <v>2097.1880000000001</v>
      </c>
      <c r="K912" s="3">
        <f t="shared" si="100"/>
        <v>102762.21200000001</v>
      </c>
      <c r="L912" s="3">
        <f t="shared" si="103"/>
        <v>113435</v>
      </c>
      <c r="M912" s="8">
        <f t="shared" si="104"/>
        <v>-10672.787999999986</v>
      </c>
      <c r="N912" s="4">
        <f t="shared" si="101"/>
        <v>-0.10385907224340388</v>
      </c>
      <c r="O912" s="4" t="str">
        <f t="shared" si="102"/>
        <v>Loss</v>
      </c>
      <c r="P912" t="s">
        <v>28</v>
      </c>
      <c r="Q912">
        <v>0.15</v>
      </c>
      <c r="R912" t="s">
        <v>25</v>
      </c>
      <c r="S912" t="s">
        <v>20</v>
      </c>
      <c r="T912" t="s">
        <v>49</v>
      </c>
      <c r="U912" t="str">
        <f t="shared" si="105"/>
        <v>Low-Cost</v>
      </c>
    </row>
    <row r="913" spans="1:21" x14ac:dyDescent="0.3">
      <c r="A913">
        <v>1092</v>
      </c>
      <c r="B913" s="1">
        <v>45071</v>
      </c>
      <c r="C913" s="2" t="s">
        <v>12</v>
      </c>
      <c r="D913" t="s">
        <v>32</v>
      </c>
      <c r="E913">
        <v>20</v>
      </c>
      <c r="F913" t="s">
        <v>24</v>
      </c>
      <c r="G913">
        <f>1</f>
        <v>1</v>
      </c>
      <c r="H913" s="3">
        <v>668.11</v>
      </c>
      <c r="I913" s="3">
        <v>803.49</v>
      </c>
      <c r="J913" s="3">
        <f t="shared" si="99"/>
        <v>634.75710000000004</v>
      </c>
      <c r="K913" s="3">
        <f t="shared" si="100"/>
        <v>12695.142</v>
      </c>
      <c r="L913" s="3">
        <f t="shared" si="103"/>
        <v>13362.2</v>
      </c>
      <c r="M913" s="8">
        <f t="shared" si="104"/>
        <v>-667.0580000000009</v>
      </c>
      <c r="N913" s="4">
        <f t="shared" si="101"/>
        <v>-5.2544351217182206E-2</v>
      </c>
      <c r="O913" s="4" t="str">
        <f t="shared" si="102"/>
        <v>Loss</v>
      </c>
      <c r="P913" t="s">
        <v>28</v>
      </c>
      <c r="Q913">
        <v>0.21</v>
      </c>
      <c r="R913" t="s">
        <v>25</v>
      </c>
      <c r="S913" t="s">
        <v>17</v>
      </c>
      <c r="T913" t="s">
        <v>44</v>
      </c>
      <c r="U913" t="str">
        <f t="shared" si="105"/>
        <v>Low-Cost</v>
      </c>
    </row>
    <row r="914" spans="1:21" x14ac:dyDescent="0.3">
      <c r="A914">
        <v>1092</v>
      </c>
      <c r="B914" s="1">
        <v>44953</v>
      </c>
      <c r="C914" s="2" t="s">
        <v>22</v>
      </c>
      <c r="D914" t="s">
        <v>19</v>
      </c>
      <c r="E914">
        <v>26</v>
      </c>
      <c r="F914" t="s">
        <v>14</v>
      </c>
      <c r="G914">
        <f>1</f>
        <v>1</v>
      </c>
      <c r="H914" s="3">
        <v>3697.29</v>
      </c>
      <c r="I914" s="3">
        <v>4003.96</v>
      </c>
      <c r="J914" s="3">
        <f t="shared" si="99"/>
        <v>3043.0095999999999</v>
      </c>
      <c r="K914" s="3">
        <f t="shared" si="100"/>
        <v>79118.24960000001</v>
      </c>
      <c r="L914" s="3">
        <f t="shared" si="103"/>
        <v>96129.54</v>
      </c>
      <c r="M914" s="8">
        <f t="shared" si="104"/>
        <v>-17011.290399999983</v>
      </c>
      <c r="N914" s="4">
        <f t="shared" si="101"/>
        <v>-0.21501095494407882</v>
      </c>
      <c r="O914" s="4" t="str">
        <f t="shared" si="102"/>
        <v>Loss</v>
      </c>
      <c r="P914" t="s">
        <v>28</v>
      </c>
      <c r="Q914">
        <v>0.24</v>
      </c>
      <c r="R914" t="s">
        <v>16</v>
      </c>
      <c r="S914" t="s">
        <v>17</v>
      </c>
      <c r="T914" t="s">
        <v>45</v>
      </c>
      <c r="U914" t="str">
        <f t="shared" si="105"/>
        <v>High-Cost</v>
      </c>
    </row>
    <row r="915" spans="1:21" x14ac:dyDescent="0.3">
      <c r="A915">
        <v>1092</v>
      </c>
      <c r="B915" s="1">
        <v>44955</v>
      </c>
      <c r="C915" s="2" t="s">
        <v>12</v>
      </c>
      <c r="D915" t="s">
        <v>23</v>
      </c>
      <c r="E915">
        <v>13</v>
      </c>
      <c r="F915" t="s">
        <v>27</v>
      </c>
      <c r="G915">
        <f>1</f>
        <v>1</v>
      </c>
      <c r="H915" s="3">
        <v>2684.5</v>
      </c>
      <c r="I915" s="3">
        <v>2913.78</v>
      </c>
      <c r="J915" s="3">
        <f t="shared" si="99"/>
        <v>2680.6776000000004</v>
      </c>
      <c r="K915" s="3">
        <f t="shared" si="100"/>
        <v>34848.808799999999</v>
      </c>
      <c r="L915" s="3">
        <f t="shared" si="103"/>
        <v>34898.5</v>
      </c>
      <c r="M915" s="8">
        <f t="shared" si="104"/>
        <v>-49.691200000001118</v>
      </c>
      <c r="N915" s="4">
        <f t="shared" si="101"/>
        <v>-1.4259081360623472E-3</v>
      </c>
      <c r="O915" s="4" t="str">
        <f t="shared" si="102"/>
        <v>Loss</v>
      </c>
      <c r="P915" t="s">
        <v>28</v>
      </c>
      <c r="Q915">
        <v>0.08</v>
      </c>
      <c r="R915" t="s">
        <v>29</v>
      </c>
      <c r="S915" t="s">
        <v>20</v>
      </c>
      <c r="T915" t="s">
        <v>30</v>
      </c>
      <c r="U915" t="str">
        <f t="shared" si="105"/>
        <v>High-Cost</v>
      </c>
    </row>
    <row r="916" spans="1:21" x14ac:dyDescent="0.3">
      <c r="A916">
        <v>1092</v>
      </c>
      <c r="B916" s="1">
        <v>45169</v>
      </c>
      <c r="C916" s="2" t="s">
        <v>36</v>
      </c>
      <c r="D916" t="s">
        <v>23</v>
      </c>
      <c r="E916">
        <v>47</v>
      </c>
      <c r="F916" t="s">
        <v>24</v>
      </c>
      <c r="G916">
        <f>1</f>
        <v>1</v>
      </c>
      <c r="H916" s="3">
        <v>4284.9799999999996</v>
      </c>
      <c r="I916" s="3">
        <v>4462.3999999999996</v>
      </c>
      <c r="J916" s="3">
        <f t="shared" si="99"/>
        <v>3212.9279999999994</v>
      </c>
      <c r="K916" s="3">
        <f t="shared" si="100"/>
        <v>151007.61599999998</v>
      </c>
      <c r="L916" s="3">
        <f t="shared" si="103"/>
        <v>201394.05999999997</v>
      </c>
      <c r="M916" s="8">
        <f t="shared" si="104"/>
        <v>-50386.443999999989</v>
      </c>
      <c r="N916" s="4">
        <f t="shared" si="101"/>
        <v>-0.33366823034938842</v>
      </c>
      <c r="O916" s="4" t="str">
        <f t="shared" si="102"/>
        <v>Loss</v>
      </c>
      <c r="P916" t="s">
        <v>28</v>
      </c>
      <c r="Q916">
        <v>0.28000000000000003</v>
      </c>
      <c r="R916" t="s">
        <v>29</v>
      </c>
      <c r="S916" t="s">
        <v>20</v>
      </c>
      <c r="T916" t="s">
        <v>37</v>
      </c>
      <c r="U916" t="str">
        <f t="shared" si="105"/>
        <v>High-Cost</v>
      </c>
    </row>
    <row r="917" spans="1:21" x14ac:dyDescent="0.3">
      <c r="A917">
        <v>1093</v>
      </c>
      <c r="B917" s="1">
        <v>45200</v>
      </c>
      <c r="C917" s="2" t="s">
        <v>36</v>
      </c>
      <c r="D917" t="s">
        <v>32</v>
      </c>
      <c r="E917">
        <v>22</v>
      </c>
      <c r="F917" t="s">
        <v>33</v>
      </c>
      <c r="G917">
        <f>1</f>
        <v>1</v>
      </c>
      <c r="H917" s="3">
        <v>2593.64</v>
      </c>
      <c r="I917" s="3">
        <v>2955.51</v>
      </c>
      <c r="J917" s="3">
        <f t="shared" si="99"/>
        <v>2955.51</v>
      </c>
      <c r="K917" s="3">
        <f t="shared" si="100"/>
        <v>65021.22</v>
      </c>
      <c r="L917" s="3">
        <f t="shared" si="103"/>
        <v>57060.079999999994</v>
      </c>
      <c r="M917" s="8">
        <f t="shared" si="104"/>
        <v>7961.1400000000067</v>
      </c>
      <c r="N917" s="4">
        <f t="shared" si="101"/>
        <v>0.12243910526440455</v>
      </c>
      <c r="O917" s="4" t="str">
        <f t="shared" si="102"/>
        <v>Profit</v>
      </c>
      <c r="P917" t="s">
        <v>15</v>
      </c>
      <c r="Q917">
        <v>0</v>
      </c>
      <c r="R917" t="s">
        <v>25</v>
      </c>
      <c r="S917" t="s">
        <v>20</v>
      </c>
      <c r="T917" t="s">
        <v>46</v>
      </c>
      <c r="U917" t="str">
        <f t="shared" si="105"/>
        <v>High-Cost</v>
      </c>
    </row>
    <row r="918" spans="1:21" x14ac:dyDescent="0.3">
      <c r="A918">
        <v>1093</v>
      </c>
      <c r="B918" s="1">
        <v>45231</v>
      </c>
      <c r="C918" s="2" t="s">
        <v>31</v>
      </c>
      <c r="D918" t="s">
        <v>13</v>
      </c>
      <c r="E918">
        <v>46</v>
      </c>
      <c r="F918" t="s">
        <v>27</v>
      </c>
      <c r="G918">
        <f>1</f>
        <v>1</v>
      </c>
      <c r="H918" s="3">
        <v>401.64</v>
      </c>
      <c r="I918" s="3">
        <v>757.26</v>
      </c>
      <c r="J918" s="3">
        <f t="shared" si="99"/>
        <v>598.23540000000003</v>
      </c>
      <c r="K918" s="3">
        <f t="shared" si="100"/>
        <v>27518.828400000002</v>
      </c>
      <c r="L918" s="3">
        <f t="shared" si="103"/>
        <v>18475.439999999999</v>
      </c>
      <c r="M918" s="8">
        <f t="shared" si="104"/>
        <v>9043.3884000000035</v>
      </c>
      <c r="N918" s="4">
        <f t="shared" si="101"/>
        <v>0.32862548755891086</v>
      </c>
      <c r="O918" s="4" t="str">
        <f t="shared" si="102"/>
        <v>Profit</v>
      </c>
      <c r="P918" t="s">
        <v>28</v>
      </c>
      <c r="Q918">
        <v>0.21</v>
      </c>
      <c r="R918" t="s">
        <v>29</v>
      </c>
      <c r="S918" t="s">
        <v>20</v>
      </c>
      <c r="T918" t="s">
        <v>51</v>
      </c>
      <c r="U918" t="str">
        <f t="shared" si="105"/>
        <v>Low-Cost</v>
      </c>
    </row>
    <row r="919" spans="1:21" x14ac:dyDescent="0.3">
      <c r="A919">
        <v>1093</v>
      </c>
      <c r="B919" s="1">
        <v>45201</v>
      </c>
      <c r="C919" s="2" t="s">
        <v>12</v>
      </c>
      <c r="D919" t="s">
        <v>19</v>
      </c>
      <c r="E919">
        <v>43</v>
      </c>
      <c r="F919" t="s">
        <v>33</v>
      </c>
      <c r="G919">
        <f>1</f>
        <v>1</v>
      </c>
      <c r="H919" s="3">
        <v>1486.76</v>
      </c>
      <c r="I919" s="3">
        <v>1505.44</v>
      </c>
      <c r="J919" s="3">
        <f t="shared" si="99"/>
        <v>1385.0048000000002</v>
      </c>
      <c r="K919" s="3">
        <f t="shared" si="100"/>
        <v>59555.20640000001</v>
      </c>
      <c r="L919" s="3">
        <f t="shared" si="103"/>
        <v>63930.68</v>
      </c>
      <c r="M919" s="8">
        <f t="shared" si="104"/>
        <v>-4375.4735999999903</v>
      </c>
      <c r="N919" s="4">
        <f t="shared" si="101"/>
        <v>-7.3469203861242754E-2</v>
      </c>
      <c r="O919" s="4" t="str">
        <f t="shared" si="102"/>
        <v>Loss</v>
      </c>
      <c r="P919" t="s">
        <v>28</v>
      </c>
      <c r="Q919">
        <v>0.08</v>
      </c>
      <c r="R919" t="s">
        <v>16</v>
      </c>
      <c r="S919" t="s">
        <v>20</v>
      </c>
      <c r="T919" t="s">
        <v>21</v>
      </c>
      <c r="U919" t="str">
        <f t="shared" si="105"/>
        <v>Low-Cost</v>
      </c>
    </row>
    <row r="920" spans="1:21" x14ac:dyDescent="0.3">
      <c r="A920">
        <v>1093</v>
      </c>
      <c r="B920" s="1">
        <v>45054</v>
      </c>
      <c r="C920" s="2" t="s">
        <v>12</v>
      </c>
      <c r="D920" t="s">
        <v>32</v>
      </c>
      <c r="E920">
        <v>17</v>
      </c>
      <c r="F920" t="s">
        <v>14</v>
      </c>
      <c r="G920">
        <f>1</f>
        <v>1</v>
      </c>
      <c r="H920" s="3">
        <v>727.38</v>
      </c>
      <c r="I920" s="3">
        <v>764.54</v>
      </c>
      <c r="J920" s="3">
        <f t="shared" si="99"/>
        <v>634.56819999999993</v>
      </c>
      <c r="K920" s="3">
        <f t="shared" si="100"/>
        <v>10787.6594</v>
      </c>
      <c r="L920" s="3">
        <f t="shared" si="103"/>
        <v>12365.46</v>
      </c>
      <c r="M920" s="8">
        <f t="shared" si="104"/>
        <v>-1577.8005999999987</v>
      </c>
      <c r="N920" s="4">
        <f t="shared" si="101"/>
        <v>-0.14625977160532141</v>
      </c>
      <c r="O920" s="4" t="str">
        <f t="shared" si="102"/>
        <v>Loss</v>
      </c>
      <c r="P920" t="s">
        <v>15</v>
      </c>
      <c r="Q920">
        <v>0.17</v>
      </c>
      <c r="R920" t="s">
        <v>29</v>
      </c>
      <c r="S920" t="s">
        <v>20</v>
      </c>
      <c r="T920" t="s">
        <v>44</v>
      </c>
      <c r="U920" t="str">
        <f t="shared" si="105"/>
        <v>Low-Cost</v>
      </c>
    </row>
    <row r="921" spans="1:21" x14ac:dyDescent="0.3">
      <c r="A921">
        <v>1093</v>
      </c>
      <c r="B921" s="1">
        <v>45086</v>
      </c>
      <c r="C921" s="2" t="s">
        <v>12</v>
      </c>
      <c r="D921" t="s">
        <v>23</v>
      </c>
      <c r="E921">
        <v>38</v>
      </c>
      <c r="F921" t="s">
        <v>24</v>
      </c>
      <c r="G921">
        <f>1</f>
        <v>1</v>
      </c>
      <c r="H921" s="3">
        <v>86.59</v>
      </c>
      <c r="I921" s="3">
        <v>390.89</v>
      </c>
      <c r="J921" s="3">
        <f t="shared" si="99"/>
        <v>293.16750000000002</v>
      </c>
      <c r="K921" s="3">
        <f t="shared" si="100"/>
        <v>11140.365</v>
      </c>
      <c r="L921" s="3">
        <f t="shared" si="103"/>
        <v>3290.42</v>
      </c>
      <c r="M921" s="8">
        <f t="shared" si="104"/>
        <v>7849.9449999999997</v>
      </c>
      <c r="N921" s="4">
        <f t="shared" si="101"/>
        <v>0.70463983899988913</v>
      </c>
      <c r="O921" s="4" t="str">
        <f t="shared" si="102"/>
        <v>Profit</v>
      </c>
      <c r="P921" t="s">
        <v>15</v>
      </c>
      <c r="Q921">
        <v>0.25</v>
      </c>
      <c r="R921" t="s">
        <v>29</v>
      </c>
      <c r="S921" t="s">
        <v>17</v>
      </c>
      <c r="T921" t="s">
        <v>30</v>
      </c>
      <c r="U921" t="str">
        <f t="shared" si="105"/>
        <v>Low-Cost</v>
      </c>
    </row>
    <row r="922" spans="1:21" x14ac:dyDescent="0.3">
      <c r="A922">
        <v>1093</v>
      </c>
      <c r="B922" s="1">
        <v>45152</v>
      </c>
      <c r="C922" s="2" t="s">
        <v>22</v>
      </c>
      <c r="D922" t="s">
        <v>19</v>
      </c>
      <c r="E922">
        <v>6</v>
      </c>
      <c r="F922" t="s">
        <v>24</v>
      </c>
      <c r="G922">
        <f>1</f>
        <v>1</v>
      </c>
      <c r="H922" s="3">
        <v>235.12</v>
      </c>
      <c r="I922" s="3">
        <v>677.5</v>
      </c>
      <c r="J922" s="3">
        <f t="shared" si="99"/>
        <v>569.1</v>
      </c>
      <c r="K922" s="3">
        <f t="shared" si="100"/>
        <v>3414.6</v>
      </c>
      <c r="L922" s="3">
        <f t="shared" si="103"/>
        <v>1410.72</v>
      </c>
      <c r="M922" s="8">
        <f t="shared" si="104"/>
        <v>2003.8799999999999</v>
      </c>
      <c r="N922" s="4">
        <f t="shared" si="101"/>
        <v>0.58685643999297132</v>
      </c>
      <c r="O922" s="4" t="str">
        <f t="shared" si="102"/>
        <v>Profit</v>
      </c>
      <c r="P922" t="s">
        <v>15</v>
      </c>
      <c r="Q922">
        <v>0.16</v>
      </c>
      <c r="R922" t="s">
        <v>29</v>
      </c>
      <c r="S922" t="s">
        <v>17</v>
      </c>
      <c r="T922" t="s">
        <v>45</v>
      </c>
      <c r="U922" t="str">
        <f t="shared" si="105"/>
        <v>Low-Cost</v>
      </c>
    </row>
    <row r="923" spans="1:21" x14ac:dyDescent="0.3">
      <c r="A923">
        <v>1093</v>
      </c>
      <c r="B923" s="1">
        <v>45187</v>
      </c>
      <c r="C923" s="2" t="s">
        <v>22</v>
      </c>
      <c r="D923" t="s">
        <v>19</v>
      </c>
      <c r="E923">
        <v>19</v>
      </c>
      <c r="F923" t="s">
        <v>33</v>
      </c>
      <c r="G923">
        <f>1</f>
        <v>1</v>
      </c>
      <c r="H923" s="3">
        <v>3808.59</v>
      </c>
      <c r="I923" s="3">
        <v>3844.51</v>
      </c>
      <c r="J923" s="3">
        <f t="shared" si="99"/>
        <v>3037.1629000000003</v>
      </c>
      <c r="K923" s="3">
        <f t="shared" si="100"/>
        <v>57706.095100000006</v>
      </c>
      <c r="L923" s="3">
        <f t="shared" si="103"/>
        <v>72363.210000000006</v>
      </c>
      <c r="M923" s="8">
        <f t="shared" si="104"/>
        <v>-14657.1149</v>
      </c>
      <c r="N923" s="4">
        <f t="shared" si="101"/>
        <v>-0.25399595787239465</v>
      </c>
      <c r="O923" s="4" t="str">
        <f t="shared" si="102"/>
        <v>Loss</v>
      </c>
      <c r="P923" t="s">
        <v>28</v>
      </c>
      <c r="Q923">
        <v>0.21</v>
      </c>
      <c r="R923" t="s">
        <v>29</v>
      </c>
      <c r="S923" t="s">
        <v>17</v>
      </c>
      <c r="T923" t="s">
        <v>45</v>
      </c>
      <c r="U923" t="str">
        <f t="shared" si="105"/>
        <v>High-Cost</v>
      </c>
    </row>
    <row r="924" spans="1:21" x14ac:dyDescent="0.3">
      <c r="A924">
        <v>1093</v>
      </c>
      <c r="B924" s="1">
        <v>45037</v>
      </c>
      <c r="C924" s="2" t="s">
        <v>12</v>
      </c>
      <c r="D924" t="s">
        <v>19</v>
      </c>
      <c r="E924">
        <v>17</v>
      </c>
      <c r="F924" t="s">
        <v>14</v>
      </c>
      <c r="G924">
        <f>1</f>
        <v>1</v>
      </c>
      <c r="H924" s="3">
        <v>3816.39</v>
      </c>
      <c r="I924" s="3">
        <v>4209.4399999999996</v>
      </c>
      <c r="J924" s="3">
        <f t="shared" si="99"/>
        <v>3746.4015999999997</v>
      </c>
      <c r="K924" s="3">
        <f t="shared" si="100"/>
        <v>63688.8272</v>
      </c>
      <c r="L924" s="3">
        <f t="shared" si="103"/>
        <v>64878.63</v>
      </c>
      <c r="M924" s="8">
        <f t="shared" si="104"/>
        <v>-1189.8027999999977</v>
      </c>
      <c r="N924" s="4">
        <f t="shared" si="101"/>
        <v>-1.8681499602178225E-2</v>
      </c>
      <c r="O924" s="4" t="str">
        <f t="shared" si="102"/>
        <v>Loss</v>
      </c>
      <c r="P924" t="s">
        <v>15</v>
      </c>
      <c r="Q924">
        <v>0.11</v>
      </c>
      <c r="R924" t="s">
        <v>16</v>
      </c>
      <c r="S924" t="s">
        <v>20</v>
      </c>
      <c r="T924" t="s">
        <v>21</v>
      </c>
      <c r="U924" t="str">
        <f t="shared" si="105"/>
        <v>High-Cost</v>
      </c>
    </row>
    <row r="925" spans="1:21" x14ac:dyDescent="0.3">
      <c r="A925">
        <v>1093</v>
      </c>
      <c r="B925" s="1">
        <v>45252</v>
      </c>
      <c r="C925" s="2" t="s">
        <v>31</v>
      </c>
      <c r="D925" t="s">
        <v>13</v>
      </c>
      <c r="E925">
        <v>22</v>
      </c>
      <c r="F925" t="s">
        <v>14</v>
      </c>
      <c r="G925">
        <f>1</f>
        <v>1</v>
      </c>
      <c r="H925" s="3">
        <v>3285.25</v>
      </c>
      <c r="I925" s="3">
        <v>3634.58</v>
      </c>
      <c r="J925" s="3">
        <f t="shared" si="99"/>
        <v>3162.0846000000001</v>
      </c>
      <c r="K925" s="3">
        <f t="shared" si="100"/>
        <v>69565.861199999999</v>
      </c>
      <c r="L925" s="3">
        <f t="shared" si="103"/>
        <v>72275.5</v>
      </c>
      <c r="M925" s="8">
        <f t="shared" si="104"/>
        <v>-2709.6388000000006</v>
      </c>
      <c r="N925" s="4">
        <f t="shared" si="101"/>
        <v>-3.8950697271034437E-2</v>
      </c>
      <c r="O925" s="4" t="str">
        <f t="shared" si="102"/>
        <v>Loss</v>
      </c>
      <c r="P925" t="s">
        <v>28</v>
      </c>
      <c r="Q925">
        <v>0.13</v>
      </c>
      <c r="R925" t="s">
        <v>25</v>
      </c>
      <c r="S925" t="s">
        <v>17</v>
      </c>
      <c r="T925" t="s">
        <v>51</v>
      </c>
      <c r="U925" t="str">
        <f t="shared" si="105"/>
        <v>High-Cost</v>
      </c>
    </row>
    <row r="926" spans="1:21" x14ac:dyDescent="0.3">
      <c r="A926">
        <v>1093</v>
      </c>
      <c r="B926" s="1">
        <v>45192</v>
      </c>
      <c r="C926" s="2" t="s">
        <v>31</v>
      </c>
      <c r="D926" t="s">
        <v>13</v>
      </c>
      <c r="E926">
        <v>40</v>
      </c>
      <c r="F926" t="s">
        <v>14</v>
      </c>
      <c r="G926">
        <f>1</f>
        <v>1</v>
      </c>
      <c r="H926" s="3">
        <v>1047.25</v>
      </c>
      <c r="I926" s="3">
        <v>1075.8900000000001</v>
      </c>
      <c r="J926" s="3">
        <f t="shared" si="99"/>
        <v>774.64080000000001</v>
      </c>
      <c r="K926" s="3">
        <f t="shared" si="100"/>
        <v>30985.632000000001</v>
      </c>
      <c r="L926" s="3">
        <f t="shared" si="103"/>
        <v>41890</v>
      </c>
      <c r="M926" s="8">
        <f t="shared" si="104"/>
        <v>-10904.367999999999</v>
      </c>
      <c r="N926" s="4">
        <f t="shared" si="101"/>
        <v>-0.35191691426529553</v>
      </c>
      <c r="O926" s="4" t="str">
        <f t="shared" si="102"/>
        <v>Loss</v>
      </c>
      <c r="P926" t="s">
        <v>28</v>
      </c>
      <c r="Q926">
        <v>0.28000000000000003</v>
      </c>
      <c r="R926" t="s">
        <v>29</v>
      </c>
      <c r="S926" t="s">
        <v>20</v>
      </c>
      <c r="T926" t="s">
        <v>51</v>
      </c>
      <c r="U926" t="str">
        <f t="shared" si="105"/>
        <v>Low-Cost</v>
      </c>
    </row>
    <row r="927" spans="1:21" x14ac:dyDescent="0.3">
      <c r="A927">
        <v>1093</v>
      </c>
      <c r="B927" s="1">
        <v>45045</v>
      </c>
      <c r="C927" s="2" t="s">
        <v>40</v>
      </c>
      <c r="D927" t="s">
        <v>13</v>
      </c>
      <c r="E927">
        <v>34</v>
      </c>
      <c r="F927" t="s">
        <v>24</v>
      </c>
      <c r="G927">
        <f>1</f>
        <v>1</v>
      </c>
      <c r="H927" s="3">
        <v>4201.1099999999997</v>
      </c>
      <c r="I927" s="3">
        <v>4436.5</v>
      </c>
      <c r="J927" s="3">
        <f t="shared" si="99"/>
        <v>4214.6750000000002</v>
      </c>
      <c r="K927" s="3">
        <f t="shared" si="100"/>
        <v>143298.94999999998</v>
      </c>
      <c r="L927" s="3">
        <f t="shared" si="103"/>
        <v>142837.74</v>
      </c>
      <c r="M927" s="8">
        <f t="shared" si="104"/>
        <v>461.20999999999185</v>
      </c>
      <c r="N927" s="4">
        <f t="shared" si="101"/>
        <v>3.2185162557017474E-3</v>
      </c>
      <c r="O927" s="4" t="str">
        <f t="shared" si="102"/>
        <v>Profit</v>
      </c>
      <c r="P927" t="s">
        <v>28</v>
      </c>
      <c r="Q927">
        <v>0.05</v>
      </c>
      <c r="R927" t="s">
        <v>16</v>
      </c>
      <c r="S927" t="s">
        <v>17</v>
      </c>
      <c r="T927" t="s">
        <v>47</v>
      </c>
      <c r="U927" t="str">
        <f t="shared" si="105"/>
        <v>High-Cost</v>
      </c>
    </row>
    <row r="928" spans="1:21" x14ac:dyDescent="0.3">
      <c r="A928">
        <v>1094</v>
      </c>
      <c r="B928" s="1">
        <v>44989</v>
      </c>
      <c r="C928" s="2" t="s">
        <v>12</v>
      </c>
      <c r="D928" t="s">
        <v>13</v>
      </c>
      <c r="E928">
        <v>49</v>
      </c>
      <c r="F928" t="s">
        <v>24</v>
      </c>
      <c r="G928">
        <f>1</f>
        <v>1</v>
      </c>
      <c r="H928" s="3">
        <v>615.47</v>
      </c>
      <c r="I928" s="3">
        <v>715.84</v>
      </c>
      <c r="J928" s="3">
        <f t="shared" si="99"/>
        <v>565.5136</v>
      </c>
      <c r="K928" s="3">
        <f t="shared" si="100"/>
        <v>27710.166400000006</v>
      </c>
      <c r="L928" s="3">
        <f t="shared" si="103"/>
        <v>30158.030000000002</v>
      </c>
      <c r="M928" s="8">
        <f t="shared" si="104"/>
        <v>-2447.8635999999969</v>
      </c>
      <c r="N928" s="4">
        <f t="shared" si="101"/>
        <v>-8.8338105396580963E-2</v>
      </c>
      <c r="O928" s="4" t="str">
        <f t="shared" si="102"/>
        <v>Loss</v>
      </c>
      <c r="P928" t="s">
        <v>15</v>
      </c>
      <c r="Q928">
        <v>0.21</v>
      </c>
      <c r="R928" t="s">
        <v>29</v>
      </c>
      <c r="S928" t="s">
        <v>20</v>
      </c>
      <c r="T928" t="s">
        <v>18</v>
      </c>
      <c r="U928" t="str">
        <f t="shared" si="105"/>
        <v>Low-Cost</v>
      </c>
    </row>
    <row r="929" spans="1:21" x14ac:dyDescent="0.3">
      <c r="A929">
        <v>1094</v>
      </c>
      <c r="B929" s="1">
        <v>45265</v>
      </c>
      <c r="C929" s="2" t="s">
        <v>36</v>
      </c>
      <c r="D929" t="s">
        <v>32</v>
      </c>
      <c r="E929">
        <v>12</v>
      </c>
      <c r="F929" t="s">
        <v>14</v>
      </c>
      <c r="G929">
        <f>1</f>
        <v>1</v>
      </c>
      <c r="H929" s="3">
        <v>333.32</v>
      </c>
      <c r="I929" s="3">
        <v>700.25</v>
      </c>
      <c r="J929" s="3">
        <f t="shared" si="99"/>
        <v>602.21500000000003</v>
      </c>
      <c r="K929" s="3">
        <f t="shared" si="100"/>
        <v>7226.58</v>
      </c>
      <c r="L929" s="3">
        <f t="shared" si="103"/>
        <v>3999.84</v>
      </c>
      <c r="M929" s="8">
        <f t="shared" si="104"/>
        <v>3226.74</v>
      </c>
      <c r="N929" s="4">
        <f t="shared" si="101"/>
        <v>0.44650996737045739</v>
      </c>
      <c r="O929" s="4" t="str">
        <f t="shared" si="102"/>
        <v>Profit</v>
      </c>
      <c r="P929" t="s">
        <v>15</v>
      </c>
      <c r="Q929">
        <v>0.14000000000000001</v>
      </c>
      <c r="R929" t="s">
        <v>16</v>
      </c>
      <c r="S929" t="s">
        <v>17</v>
      </c>
      <c r="T929" t="s">
        <v>46</v>
      </c>
      <c r="U929" t="str">
        <f t="shared" si="105"/>
        <v>Low-Cost</v>
      </c>
    </row>
    <row r="930" spans="1:21" x14ac:dyDescent="0.3">
      <c r="A930">
        <v>1094</v>
      </c>
      <c r="B930" s="1">
        <v>44936</v>
      </c>
      <c r="C930" s="2" t="s">
        <v>36</v>
      </c>
      <c r="D930" t="s">
        <v>13</v>
      </c>
      <c r="E930">
        <v>25</v>
      </c>
      <c r="F930" t="s">
        <v>33</v>
      </c>
      <c r="G930">
        <f>1</f>
        <v>1</v>
      </c>
      <c r="H930" s="3">
        <v>1933.39</v>
      </c>
      <c r="I930" s="3">
        <v>1982.92</v>
      </c>
      <c r="J930" s="3">
        <f t="shared" si="99"/>
        <v>1645.8235999999999</v>
      </c>
      <c r="K930" s="3">
        <f t="shared" si="100"/>
        <v>41145.589999999997</v>
      </c>
      <c r="L930" s="3">
        <f t="shared" si="103"/>
        <v>48334.75</v>
      </c>
      <c r="M930" s="8">
        <f t="shared" si="104"/>
        <v>-7189.1600000000035</v>
      </c>
      <c r="N930" s="4">
        <f t="shared" si="101"/>
        <v>-0.17472492191751302</v>
      </c>
      <c r="O930" s="4" t="str">
        <f t="shared" si="102"/>
        <v>Loss</v>
      </c>
      <c r="P930" t="s">
        <v>28</v>
      </c>
      <c r="Q930">
        <v>0.17</v>
      </c>
      <c r="R930" t="s">
        <v>25</v>
      </c>
      <c r="S930" t="s">
        <v>17</v>
      </c>
      <c r="T930" t="s">
        <v>38</v>
      </c>
      <c r="U930" t="str">
        <f t="shared" si="105"/>
        <v>Low-Cost</v>
      </c>
    </row>
    <row r="931" spans="1:21" x14ac:dyDescent="0.3">
      <c r="A931">
        <v>1094</v>
      </c>
      <c r="B931" s="1">
        <v>44938</v>
      </c>
      <c r="C931" s="2" t="s">
        <v>36</v>
      </c>
      <c r="D931" t="s">
        <v>19</v>
      </c>
      <c r="E931">
        <v>38</v>
      </c>
      <c r="F931" t="s">
        <v>24</v>
      </c>
      <c r="G931">
        <f>1</f>
        <v>1</v>
      </c>
      <c r="H931" s="3">
        <v>3443.98</v>
      </c>
      <c r="I931" s="3">
        <v>3820.3</v>
      </c>
      <c r="J931" s="3">
        <f t="shared" si="99"/>
        <v>3782.0970000000002</v>
      </c>
      <c r="K931" s="3">
        <f t="shared" si="100"/>
        <v>143719.68599999999</v>
      </c>
      <c r="L931" s="3">
        <f t="shared" si="103"/>
        <v>130871.24</v>
      </c>
      <c r="M931" s="8">
        <f t="shared" si="104"/>
        <v>12848.445999999982</v>
      </c>
      <c r="N931" s="4">
        <f t="shared" si="101"/>
        <v>8.9399346447222153E-2</v>
      </c>
      <c r="O931" s="4" t="str">
        <f t="shared" si="102"/>
        <v>Profit</v>
      </c>
      <c r="P931" t="s">
        <v>15</v>
      </c>
      <c r="Q931">
        <v>0.01</v>
      </c>
      <c r="R931" t="s">
        <v>29</v>
      </c>
      <c r="S931" t="s">
        <v>20</v>
      </c>
      <c r="T931" t="s">
        <v>39</v>
      </c>
      <c r="U931" t="str">
        <f t="shared" si="105"/>
        <v>High-Cost</v>
      </c>
    </row>
    <row r="932" spans="1:21" x14ac:dyDescent="0.3">
      <c r="A932">
        <v>1094</v>
      </c>
      <c r="B932" s="1">
        <v>44941</v>
      </c>
      <c r="C932" s="2" t="s">
        <v>12</v>
      </c>
      <c r="D932" t="s">
        <v>13</v>
      </c>
      <c r="E932">
        <v>45</v>
      </c>
      <c r="F932" t="s">
        <v>14</v>
      </c>
      <c r="G932">
        <f>1</f>
        <v>1</v>
      </c>
      <c r="H932" s="3">
        <v>4470.91</v>
      </c>
      <c r="I932" s="3">
        <v>4695.54</v>
      </c>
      <c r="J932" s="3">
        <f t="shared" si="99"/>
        <v>4413.8076000000001</v>
      </c>
      <c r="K932" s="3">
        <f t="shared" si="100"/>
        <v>198621.34199999998</v>
      </c>
      <c r="L932" s="3">
        <f t="shared" si="103"/>
        <v>201190.94999999998</v>
      </c>
      <c r="M932" s="8">
        <f t="shared" si="104"/>
        <v>-2569.6080000000075</v>
      </c>
      <c r="N932" s="4">
        <f t="shared" si="101"/>
        <v>-1.2937220009318072E-2</v>
      </c>
      <c r="O932" s="4" t="str">
        <f t="shared" si="102"/>
        <v>Loss</v>
      </c>
      <c r="P932" t="s">
        <v>15</v>
      </c>
      <c r="Q932">
        <v>0.06</v>
      </c>
      <c r="R932" t="s">
        <v>16</v>
      </c>
      <c r="S932" t="s">
        <v>20</v>
      </c>
      <c r="T932" t="s">
        <v>18</v>
      </c>
      <c r="U932" t="str">
        <f t="shared" si="105"/>
        <v>High-Cost</v>
      </c>
    </row>
    <row r="933" spans="1:21" x14ac:dyDescent="0.3">
      <c r="A933">
        <v>1094</v>
      </c>
      <c r="B933" s="1">
        <v>44972</v>
      </c>
      <c r="C933" s="2" t="s">
        <v>31</v>
      </c>
      <c r="D933" t="s">
        <v>23</v>
      </c>
      <c r="E933">
        <v>47</v>
      </c>
      <c r="F933" t="s">
        <v>24</v>
      </c>
      <c r="G933">
        <f>1</f>
        <v>1</v>
      </c>
      <c r="H933" s="3">
        <v>3450.36</v>
      </c>
      <c r="I933" s="3">
        <v>3557.38</v>
      </c>
      <c r="J933" s="3">
        <f t="shared" si="99"/>
        <v>2845.9040000000005</v>
      </c>
      <c r="K933" s="3">
        <f t="shared" si="100"/>
        <v>133757.48800000001</v>
      </c>
      <c r="L933" s="3">
        <f t="shared" si="103"/>
        <v>162166.92000000001</v>
      </c>
      <c r="M933" s="8">
        <f t="shared" si="104"/>
        <v>-28409.432000000001</v>
      </c>
      <c r="N933" s="4">
        <f t="shared" si="101"/>
        <v>-0.21239507727597276</v>
      </c>
      <c r="O933" s="4" t="str">
        <f t="shared" si="102"/>
        <v>Loss</v>
      </c>
      <c r="P933" t="s">
        <v>28</v>
      </c>
      <c r="Q933">
        <v>0.2</v>
      </c>
      <c r="R933" t="s">
        <v>29</v>
      </c>
      <c r="S933" t="s">
        <v>17</v>
      </c>
      <c r="T933" t="s">
        <v>42</v>
      </c>
      <c r="U933" t="str">
        <f t="shared" si="105"/>
        <v>High-Cost</v>
      </c>
    </row>
    <row r="934" spans="1:21" x14ac:dyDescent="0.3">
      <c r="A934">
        <v>1094</v>
      </c>
      <c r="B934" s="1">
        <v>44981</v>
      </c>
      <c r="C934" s="2" t="s">
        <v>12</v>
      </c>
      <c r="D934" t="s">
        <v>19</v>
      </c>
      <c r="E934">
        <v>7</v>
      </c>
      <c r="F934" t="s">
        <v>14</v>
      </c>
      <c r="G934">
        <f>1</f>
        <v>1</v>
      </c>
      <c r="H934" s="3">
        <v>4122.38</v>
      </c>
      <c r="I934" s="3">
        <v>4358.78</v>
      </c>
      <c r="J934" s="3">
        <f t="shared" si="99"/>
        <v>3225.4971999999998</v>
      </c>
      <c r="K934" s="3">
        <f t="shared" si="100"/>
        <v>22578.4804</v>
      </c>
      <c r="L934" s="3">
        <f t="shared" si="103"/>
        <v>28856.66</v>
      </c>
      <c r="M934" s="8">
        <f t="shared" si="104"/>
        <v>-6278.1795999999995</v>
      </c>
      <c r="N934" s="4">
        <f t="shared" si="101"/>
        <v>-0.27806032508724543</v>
      </c>
      <c r="O934" s="4" t="str">
        <f t="shared" si="102"/>
        <v>Loss</v>
      </c>
      <c r="P934" t="s">
        <v>15</v>
      </c>
      <c r="Q934">
        <v>0.26</v>
      </c>
      <c r="R934" t="s">
        <v>25</v>
      </c>
      <c r="S934" t="s">
        <v>20</v>
      </c>
      <c r="T934" t="s">
        <v>21</v>
      </c>
      <c r="U934" t="str">
        <f t="shared" si="105"/>
        <v>High-Cost</v>
      </c>
    </row>
    <row r="935" spans="1:21" x14ac:dyDescent="0.3">
      <c r="A935">
        <v>1094</v>
      </c>
      <c r="B935" s="1">
        <v>45291</v>
      </c>
      <c r="C935" s="2" t="s">
        <v>12</v>
      </c>
      <c r="D935" t="s">
        <v>23</v>
      </c>
      <c r="E935">
        <v>15</v>
      </c>
      <c r="F935" t="s">
        <v>24</v>
      </c>
      <c r="G935">
        <f>1</f>
        <v>1</v>
      </c>
      <c r="H935" s="3">
        <v>4111.93</v>
      </c>
      <c r="I935" s="3">
        <v>4338.67</v>
      </c>
      <c r="J935" s="3">
        <f t="shared" si="99"/>
        <v>3210.6158</v>
      </c>
      <c r="K935" s="3">
        <f t="shared" si="100"/>
        <v>48159.237000000001</v>
      </c>
      <c r="L935" s="3">
        <f t="shared" si="103"/>
        <v>61678.950000000004</v>
      </c>
      <c r="M935" s="8">
        <f t="shared" si="104"/>
        <v>-13519.713000000003</v>
      </c>
      <c r="N935" s="4">
        <f t="shared" si="101"/>
        <v>-0.28072938530982133</v>
      </c>
      <c r="O935" s="4" t="str">
        <f t="shared" si="102"/>
        <v>Loss</v>
      </c>
      <c r="P935" t="s">
        <v>15</v>
      </c>
      <c r="Q935">
        <v>0.26</v>
      </c>
      <c r="R935" t="s">
        <v>29</v>
      </c>
      <c r="S935" t="s">
        <v>17</v>
      </c>
      <c r="T935" t="s">
        <v>30</v>
      </c>
      <c r="U935" t="str">
        <f t="shared" si="105"/>
        <v>High-Cost</v>
      </c>
    </row>
    <row r="936" spans="1:21" x14ac:dyDescent="0.3">
      <c r="A936">
        <v>1095</v>
      </c>
      <c r="B936" s="1">
        <v>44988</v>
      </c>
      <c r="C936" s="2" t="s">
        <v>36</v>
      </c>
      <c r="D936" t="s">
        <v>32</v>
      </c>
      <c r="E936">
        <v>16</v>
      </c>
      <c r="F936" t="s">
        <v>33</v>
      </c>
      <c r="G936">
        <f>1</f>
        <v>1</v>
      </c>
      <c r="H936" s="3">
        <v>3591.05</v>
      </c>
      <c r="I936" s="3">
        <v>3625.35</v>
      </c>
      <c r="J936" s="3">
        <f t="shared" si="99"/>
        <v>3444.0824999999995</v>
      </c>
      <c r="K936" s="3">
        <f t="shared" si="100"/>
        <v>55105.319999999992</v>
      </c>
      <c r="L936" s="3">
        <f t="shared" si="103"/>
        <v>57456.800000000003</v>
      </c>
      <c r="M936" s="8">
        <f t="shared" si="104"/>
        <v>-2351.4800000000105</v>
      </c>
      <c r="N936" s="4">
        <f t="shared" si="101"/>
        <v>-4.2672467921427745E-2</v>
      </c>
      <c r="O936" s="4" t="str">
        <f t="shared" si="102"/>
        <v>Loss</v>
      </c>
      <c r="P936" t="s">
        <v>15</v>
      </c>
      <c r="Q936">
        <v>0.05</v>
      </c>
      <c r="R936" t="s">
        <v>29</v>
      </c>
      <c r="S936" t="s">
        <v>20</v>
      </c>
      <c r="T936" t="s">
        <v>46</v>
      </c>
      <c r="U936" t="str">
        <f t="shared" si="105"/>
        <v>High-Cost</v>
      </c>
    </row>
    <row r="937" spans="1:21" x14ac:dyDescent="0.3">
      <c r="A937">
        <v>1095</v>
      </c>
      <c r="B937" s="1">
        <v>45019</v>
      </c>
      <c r="C937" s="2" t="s">
        <v>31</v>
      </c>
      <c r="D937" t="s">
        <v>32</v>
      </c>
      <c r="E937">
        <v>9</v>
      </c>
      <c r="F937" t="s">
        <v>24</v>
      </c>
      <c r="G937">
        <f>1</f>
        <v>1</v>
      </c>
      <c r="H937" s="3">
        <v>2650.95</v>
      </c>
      <c r="I937" s="3">
        <v>2860.42</v>
      </c>
      <c r="J937" s="3">
        <f t="shared" si="99"/>
        <v>2517.1696000000002</v>
      </c>
      <c r="K937" s="3">
        <f t="shared" si="100"/>
        <v>22654.526399999999</v>
      </c>
      <c r="L937" s="3">
        <f t="shared" si="103"/>
        <v>23858.55</v>
      </c>
      <c r="M937" s="8">
        <f t="shared" si="104"/>
        <v>-1204.0236000000004</v>
      </c>
      <c r="N937" s="4">
        <f t="shared" si="101"/>
        <v>-5.3147153850896682E-2</v>
      </c>
      <c r="O937" s="4" t="str">
        <f t="shared" si="102"/>
        <v>Loss</v>
      </c>
      <c r="P937" t="s">
        <v>28</v>
      </c>
      <c r="Q937">
        <v>0.12</v>
      </c>
      <c r="R937" t="s">
        <v>16</v>
      </c>
      <c r="S937" t="s">
        <v>20</v>
      </c>
      <c r="T937" t="s">
        <v>34</v>
      </c>
      <c r="U937" t="str">
        <f t="shared" si="105"/>
        <v>High-Cost</v>
      </c>
    </row>
    <row r="938" spans="1:21" x14ac:dyDescent="0.3">
      <c r="A938">
        <v>1095</v>
      </c>
      <c r="B938" s="1">
        <v>45237</v>
      </c>
      <c r="C938" s="2" t="s">
        <v>31</v>
      </c>
      <c r="D938" t="s">
        <v>19</v>
      </c>
      <c r="E938">
        <v>32</v>
      </c>
      <c r="F938" t="s">
        <v>27</v>
      </c>
      <c r="G938">
        <f>1</f>
        <v>1</v>
      </c>
      <c r="H938" s="3">
        <v>4266.6400000000003</v>
      </c>
      <c r="I938" s="3">
        <v>4523.3599999999997</v>
      </c>
      <c r="J938" s="3">
        <f t="shared" si="99"/>
        <v>3166.3519999999994</v>
      </c>
      <c r="K938" s="3">
        <f t="shared" si="100"/>
        <v>101323.26399999998</v>
      </c>
      <c r="L938" s="3">
        <f t="shared" si="103"/>
        <v>136532.48000000001</v>
      </c>
      <c r="M938" s="8">
        <f t="shared" si="104"/>
        <v>-35209.216000000029</v>
      </c>
      <c r="N938" s="4">
        <f t="shared" si="101"/>
        <v>-0.34749389834105654</v>
      </c>
      <c r="O938" s="4" t="str">
        <f t="shared" si="102"/>
        <v>Loss</v>
      </c>
      <c r="P938" t="s">
        <v>28</v>
      </c>
      <c r="Q938">
        <v>0.3</v>
      </c>
      <c r="R938" t="s">
        <v>25</v>
      </c>
      <c r="S938" t="s">
        <v>20</v>
      </c>
      <c r="T938" t="s">
        <v>35</v>
      </c>
      <c r="U938" t="str">
        <f t="shared" si="105"/>
        <v>High-Cost</v>
      </c>
    </row>
    <row r="939" spans="1:21" x14ac:dyDescent="0.3">
      <c r="A939">
        <v>1095</v>
      </c>
      <c r="B939" s="1">
        <v>45268</v>
      </c>
      <c r="C939" s="2" t="s">
        <v>36</v>
      </c>
      <c r="D939" t="s">
        <v>32</v>
      </c>
      <c r="E939">
        <v>4</v>
      </c>
      <c r="F939" t="s">
        <v>27</v>
      </c>
      <c r="G939">
        <f>1</f>
        <v>1</v>
      </c>
      <c r="H939" s="3">
        <v>3191.05</v>
      </c>
      <c r="I939" s="3">
        <v>3555.35</v>
      </c>
      <c r="J939" s="3">
        <f t="shared" si="99"/>
        <v>2559.8519999999999</v>
      </c>
      <c r="K939" s="3">
        <f t="shared" si="100"/>
        <v>10239.407999999999</v>
      </c>
      <c r="L939" s="3">
        <f t="shared" si="103"/>
        <v>12764.2</v>
      </c>
      <c r="M939" s="8">
        <f t="shared" si="104"/>
        <v>-2524.7920000000013</v>
      </c>
      <c r="N939" s="4">
        <f t="shared" si="101"/>
        <v>-0.24657597392349259</v>
      </c>
      <c r="O939" s="4" t="str">
        <f t="shared" si="102"/>
        <v>Loss</v>
      </c>
      <c r="P939" t="s">
        <v>28</v>
      </c>
      <c r="Q939">
        <v>0.28000000000000003</v>
      </c>
      <c r="R939" t="s">
        <v>29</v>
      </c>
      <c r="S939" t="s">
        <v>17</v>
      </c>
      <c r="T939" t="s">
        <v>46</v>
      </c>
      <c r="U939" t="str">
        <f t="shared" si="105"/>
        <v>High-Cost</v>
      </c>
    </row>
    <row r="940" spans="1:21" x14ac:dyDescent="0.3">
      <c r="A940">
        <v>1095</v>
      </c>
      <c r="B940" s="1">
        <v>45208</v>
      </c>
      <c r="C940" s="2" t="s">
        <v>22</v>
      </c>
      <c r="D940" t="s">
        <v>13</v>
      </c>
      <c r="E940">
        <v>21</v>
      </c>
      <c r="F940" t="s">
        <v>27</v>
      </c>
      <c r="G940">
        <f>1</f>
        <v>1</v>
      </c>
      <c r="H940" s="3">
        <v>621.04999999999995</v>
      </c>
      <c r="I940" s="3">
        <v>820.37</v>
      </c>
      <c r="J940" s="3">
        <f t="shared" si="99"/>
        <v>623.48120000000006</v>
      </c>
      <c r="K940" s="3">
        <f t="shared" si="100"/>
        <v>13093.1052</v>
      </c>
      <c r="L940" s="3">
        <f t="shared" si="103"/>
        <v>13042.05</v>
      </c>
      <c r="M940" s="8">
        <f t="shared" si="104"/>
        <v>51.055200000000696</v>
      </c>
      <c r="N940" s="4">
        <f t="shared" si="101"/>
        <v>3.8993958438522814E-3</v>
      </c>
      <c r="O940" s="4" t="str">
        <f t="shared" si="102"/>
        <v>Profit</v>
      </c>
      <c r="P940" t="s">
        <v>15</v>
      </c>
      <c r="Q940">
        <v>0.24</v>
      </c>
      <c r="R940" t="s">
        <v>25</v>
      </c>
      <c r="S940" t="s">
        <v>17</v>
      </c>
      <c r="T940" t="s">
        <v>43</v>
      </c>
      <c r="U940" t="str">
        <f t="shared" si="105"/>
        <v>Low-Cost</v>
      </c>
    </row>
    <row r="941" spans="1:21" x14ac:dyDescent="0.3">
      <c r="A941">
        <v>1095</v>
      </c>
      <c r="B941" s="1">
        <v>45003</v>
      </c>
      <c r="C941" s="2" t="s">
        <v>36</v>
      </c>
      <c r="D941" t="s">
        <v>23</v>
      </c>
      <c r="E941">
        <v>43</v>
      </c>
      <c r="F941" t="s">
        <v>14</v>
      </c>
      <c r="G941">
        <f>1</f>
        <v>1</v>
      </c>
      <c r="H941" s="3">
        <v>1331.86</v>
      </c>
      <c r="I941" s="3">
        <v>1758.98</v>
      </c>
      <c r="J941" s="3">
        <f t="shared" si="99"/>
        <v>1354.4146000000001</v>
      </c>
      <c r="K941" s="3">
        <f t="shared" si="100"/>
        <v>58239.827799999999</v>
      </c>
      <c r="L941" s="3">
        <f t="shared" si="103"/>
        <v>57269.979999999996</v>
      </c>
      <c r="M941" s="8">
        <f t="shared" si="104"/>
        <v>969.84780000000319</v>
      </c>
      <c r="N941" s="4">
        <f t="shared" si="101"/>
        <v>1.665265569346349E-2</v>
      </c>
      <c r="O941" s="4" t="str">
        <f t="shared" si="102"/>
        <v>Profit</v>
      </c>
      <c r="P941" t="s">
        <v>15</v>
      </c>
      <c r="Q941">
        <v>0.23</v>
      </c>
      <c r="R941" t="s">
        <v>25</v>
      </c>
      <c r="S941" t="s">
        <v>20</v>
      </c>
      <c r="T941" t="s">
        <v>37</v>
      </c>
      <c r="U941" t="str">
        <f t="shared" si="105"/>
        <v>Low-Cost</v>
      </c>
    </row>
    <row r="942" spans="1:21" x14ac:dyDescent="0.3">
      <c r="A942">
        <v>1095</v>
      </c>
      <c r="B942" s="1">
        <v>45162</v>
      </c>
      <c r="C942" s="2" t="s">
        <v>12</v>
      </c>
      <c r="D942" t="s">
        <v>19</v>
      </c>
      <c r="E942">
        <v>20</v>
      </c>
      <c r="F942" t="s">
        <v>24</v>
      </c>
      <c r="G942">
        <f>1</f>
        <v>1</v>
      </c>
      <c r="H942" s="3">
        <v>729.27</v>
      </c>
      <c r="I942" s="3">
        <v>999.18</v>
      </c>
      <c r="J942" s="3">
        <f t="shared" si="99"/>
        <v>899.26199999999994</v>
      </c>
      <c r="K942" s="3">
        <f t="shared" si="100"/>
        <v>17985.239999999998</v>
      </c>
      <c r="L942" s="3">
        <f t="shared" si="103"/>
        <v>14585.4</v>
      </c>
      <c r="M942" s="8">
        <f t="shared" si="104"/>
        <v>3399.8399999999983</v>
      </c>
      <c r="N942" s="4">
        <f t="shared" si="101"/>
        <v>0.1890350087071398</v>
      </c>
      <c r="O942" s="4" t="str">
        <f t="shared" si="102"/>
        <v>Profit</v>
      </c>
      <c r="P942" t="s">
        <v>28</v>
      </c>
      <c r="Q942">
        <v>0.1</v>
      </c>
      <c r="R942" t="s">
        <v>25</v>
      </c>
      <c r="S942" t="s">
        <v>17</v>
      </c>
      <c r="T942" t="s">
        <v>21</v>
      </c>
      <c r="U942" t="str">
        <f t="shared" si="105"/>
        <v>Low-Cost</v>
      </c>
    </row>
    <row r="943" spans="1:21" x14ac:dyDescent="0.3">
      <c r="A943">
        <v>1095</v>
      </c>
      <c r="B943" s="1">
        <v>45041</v>
      </c>
      <c r="C943" s="2" t="s">
        <v>12</v>
      </c>
      <c r="D943" t="s">
        <v>23</v>
      </c>
      <c r="E943">
        <v>10</v>
      </c>
      <c r="F943" t="s">
        <v>33</v>
      </c>
      <c r="G943">
        <f>1</f>
        <v>1</v>
      </c>
      <c r="H943" s="3">
        <v>3155.97</v>
      </c>
      <c r="I943" s="3">
        <v>3263.49</v>
      </c>
      <c r="J943" s="3">
        <f t="shared" si="99"/>
        <v>3132.9503999999997</v>
      </c>
      <c r="K943" s="3">
        <f t="shared" si="100"/>
        <v>31329.503999999997</v>
      </c>
      <c r="L943" s="3">
        <f t="shared" si="103"/>
        <v>31559.699999999997</v>
      </c>
      <c r="M943" s="8">
        <f t="shared" si="104"/>
        <v>-230.19599999999991</v>
      </c>
      <c r="N943" s="4">
        <f t="shared" si="101"/>
        <v>-7.3475788189943875E-3</v>
      </c>
      <c r="O943" s="4" t="str">
        <f t="shared" si="102"/>
        <v>Loss</v>
      </c>
      <c r="P943" t="s">
        <v>15</v>
      </c>
      <c r="Q943">
        <v>0.04</v>
      </c>
      <c r="R943" t="s">
        <v>29</v>
      </c>
      <c r="S943" t="s">
        <v>17</v>
      </c>
      <c r="T943" t="s">
        <v>30</v>
      </c>
      <c r="U943" t="str">
        <f t="shared" si="105"/>
        <v>High-Cost</v>
      </c>
    </row>
    <row r="944" spans="1:21" x14ac:dyDescent="0.3">
      <c r="A944">
        <v>1095</v>
      </c>
      <c r="B944" s="1">
        <v>45255</v>
      </c>
      <c r="C944" s="2" t="s">
        <v>40</v>
      </c>
      <c r="D944" t="s">
        <v>32</v>
      </c>
      <c r="E944">
        <v>37</v>
      </c>
      <c r="F944" t="s">
        <v>33</v>
      </c>
      <c r="G944">
        <f>1</f>
        <v>1</v>
      </c>
      <c r="H944" s="3">
        <v>407.77</v>
      </c>
      <c r="I944" s="3">
        <v>860.95</v>
      </c>
      <c r="J944" s="3">
        <f t="shared" si="99"/>
        <v>774.85500000000002</v>
      </c>
      <c r="K944" s="3">
        <f t="shared" si="100"/>
        <v>28669.635000000002</v>
      </c>
      <c r="L944" s="3">
        <f t="shared" si="103"/>
        <v>15087.49</v>
      </c>
      <c r="M944" s="8">
        <f t="shared" si="104"/>
        <v>13582.145000000002</v>
      </c>
      <c r="N944" s="4">
        <f t="shared" si="101"/>
        <v>0.47374670099567018</v>
      </c>
      <c r="O944" s="4" t="str">
        <f t="shared" si="102"/>
        <v>Profit</v>
      </c>
      <c r="P944" t="s">
        <v>28</v>
      </c>
      <c r="Q944">
        <v>0.1</v>
      </c>
      <c r="R944" t="s">
        <v>29</v>
      </c>
      <c r="S944" t="s">
        <v>20</v>
      </c>
      <c r="T944" t="s">
        <v>50</v>
      </c>
      <c r="U944" t="str">
        <f t="shared" si="105"/>
        <v>Low-Cost</v>
      </c>
    </row>
    <row r="945" spans="1:21" x14ac:dyDescent="0.3">
      <c r="A945">
        <v>1095</v>
      </c>
      <c r="B945" s="1">
        <v>45256</v>
      </c>
      <c r="C945" s="2" t="s">
        <v>31</v>
      </c>
      <c r="D945" t="s">
        <v>19</v>
      </c>
      <c r="E945">
        <v>7</v>
      </c>
      <c r="F945" t="s">
        <v>24</v>
      </c>
      <c r="G945">
        <f>1</f>
        <v>1</v>
      </c>
      <c r="H945" s="3">
        <v>4257.24</v>
      </c>
      <c r="I945" s="3">
        <v>4355.87</v>
      </c>
      <c r="J945" s="3">
        <f t="shared" si="99"/>
        <v>4225.1939000000002</v>
      </c>
      <c r="K945" s="3">
        <f t="shared" si="100"/>
        <v>29576.3573</v>
      </c>
      <c r="L945" s="3">
        <f t="shared" si="103"/>
        <v>29800.68</v>
      </c>
      <c r="M945" s="8">
        <f t="shared" si="104"/>
        <v>-224.32270000000062</v>
      </c>
      <c r="N945" s="4">
        <f t="shared" si="101"/>
        <v>-7.5845276591921824E-3</v>
      </c>
      <c r="O945" s="4" t="str">
        <f t="shared" si="102"/>
        <v>Loss</v>
      </c>
      <c r="P945" t="s">
        <v>15</v>
      </c>
      <c r="Q945">
        <v>0.03</v>
      </c>
      <c r="R945" t="s">
        <v>25</v>
      </c>
      <c r="S945" t="s">
        <v>17</v>
      </c>
      <c r="T945" t="s">
        <v>35</v>
      </c>
      <c r="U945" t="str">
        <f t="shared" si="105"/>
        <v>High-Cost</v>
      </c>
    </row>
    <row r="946" spans="1:21" x14ac:dyDescent="0.3">
      <c r="A946">
        <v>1096</v>
      </c>
      <c r="B946" s="1">
        <v>45231</v>
      </c>
      <c r="C946" s="2" t="s">
        <v>12</v>
      </c>
      <c r="D946" t="s">
        <v>23</v>
      </c>
      <c r="E946">
        <v>17</v>
      </c>
      <c r="F946" t="s">
        <v>24</v>
      </c>
      <c r="G946">
        <f>1</f>
        <v>1</v>
      </c>
      <c r="H946" s="3">
        <v>2774.24</v>
      </c>
      <c r="I946" s="3">
        <v>3069.94</v>
      </c>
      <c r="J946" s="3">
        <f t="shared" si="99"/>
        <v>2363.8538000000003</v>
      </c>
      <c r="K946" s="3">
        <f t="shared" si="100"/>
        <v>40185.514600000002</v>
      </c>
      <c r="L946" s="3">
        <f t="shared" si="103"/>
        <v>47162.079999999994</v>
      </c>
      <c r="M946" s="8">
        <f t="shared" si="104"/>
        <v>-6976.5653999999922</v>
      </c>
      <c r="N946" s="4">
        <f t="shared" si="101"/>
        <v>-0.1736089600803567</v>
      </c>
      <c r="O946" s="4" t="str">
        <f t="shared" si="102"/>
        <v>Loss</v>
      </c>
      <c r="P946" t="s">
        <v>15</v>
      </c>
      <c r="Q946">
        <v>0.23</v>
      </c>
      <c r="R946" t="s">
        <v>25</v>
      </c>
      <c r="S946" t="s">
        <v>20</v>
      </c>
      <c r="T946" t="s">
        <v>30</v>
      </c>
      <c r="U946" t="str">
        <f t="shared" si="105"/>
        <v>High-Cost</v>
      </c>
    </row>
    <row r="947" spans="1:21" x14ac:dyDescent="0.3">
      <c r="A947">
        <v>1096</v>
      </c>
      <c r="B947" s="1">
        <v>45261</v>
      </c>
      <c r="C947" s="2" t="s">
        <v>12</v>
      </c>
      <c r="D947" t="s">
        <v>32</v>
      </c>
      <c r="E947">
        <v>20</v>
      </c>
      <c r="F947" t="s">
        <v>14</v>
      </c>
      <c r="G947">
        <f>1</f>
        <v>1</v>
      </c>
      <c r="H947" s="3">
        <v>1994.9</v>
      </c>
      <c r="I947" s="3">
        <v>2066.5</v>
      </c>
      <c r="J947" s="3">
        <f t="shared" si="99"/>
        <v>1942.51</v>
      </c>
      <c r="K947" s="3">
        <f t="shared" si="100"/>
        <v>38850.199999999997</v>
      </c>
      <c r="L947" s="3">
        <f t="shared" si="103"/>
        <v>39898</v>
      </c>
      <c r="M947" s="8">
        <f t="shared" si="104"/>
        <v>-1047.8000000000029</v>
      </c>
      <c r="N947" s="4">
        <f t="shared" si="101"/>
        <v>-2.6970260127361069E-2</v>
      </c>
      <c r="O947" s="4" t="str">
        <f t="shared" si="102"/>
        <v>Loss</v>
      </c>
      <c r="P947" t="s">
        <v>15</v>
      </c>
      <c r="Q947">
        <v>0.06</v>
      </c>
      <c r="R947" t="s">
        <v>25</v>
      </c>
      <c r="S947" t="s">
        <v>17</v>
      </c>
      <c r="T947" t="s">
        <v>44</v>
      </c>
      <c r="U947" t="str">
        <f t="shared" si="105"/>
        <v>Low-Cost</v>
      </c>
    </row>
    <row r="948" spans="1:21" x14ac:dyDescent="0.3">
      <c r="A948">
        <v>1096</v>
      </c>
      <c r="B948" s="1">
        <v>44959</v>
      </c>
      <c r="C948" s="2" t="s">
        <v>40</v>
      </c>
      <c r="D948" t="s">
        <v>32</v>
      </c>
      <c r="E948">
        <v>31</v>
      </c>
      <c r="F948" t="s">
        <v>33</v>
      </c>
      <c r="G948">
        <f>1</f>
        <v>1</v>
      </c>
      <c r="H948" s="3">
        <v>1724.24</v>
      </c>
      <c r="I948" s="3">
        <v>2036.2</v>
      </c>
      <c r="J948" s="3">
        <f t="shared" si="99"/>
        <v>1690.046</v>
      </c>
      <c r="K948" s="3">
        <f t="shared" si="100"/>
        <v>52391.425999999999</v>
      </c>
      <c r="L948" s="3">
        <f t="shared" si="103"/>
        <v>53451.44</v>
      </c>
      <c r="M948" s="8">
        <f t="shared" si="104"/>
        <v>-1060.0140000000029</v>
      </c>
      <c r="N948" s="4">
        <f t="shared" si="101"/>
        <v>-2.0232585385249923E-2</v>
      </c>
      <c r="O948" s="4" t="str">
        <f t="shared" si="102"/>
        <v>Loss</v>
      </c>
      <c r="P948" t="s">
        <v>28</v>
      </c>
      <c r="Q948">
        <v>0.17</v>
      </c>
      <c r="R948" t="s">
        <v>16</v>
      </c>
      <c r="S948" t="s">
        <v>17</v>
      </c>
      <c r="T948" t="s">
        <v>50</v>
      </c>
      <c r="U948" t="str">
        <f t="shared" si="105"/>
        <v>Low-Cost</v>
      </c>
    </row>
    <row r="949" spans="1:21" x14ac:dyDescent="0.3">
      <c r="A949">
        <v>1096</v>
      </c>
      <c r="B949" s="1">
        <v>45048</v>
      </c>
      <c r="C949" s="2" t="s">
        <v>40</v>
      </c>
      <c r="D949" t="s">
        <v>32</v>
      </c>
      <c r="E949">
        <v>32</v>
      </c>
      <c r="F949" t="s">
        <v>14</v>
      </c>
      <c r="G949">
        <f>1</f>
        <v>1</v>
      </c>
      <c r="H949" s="3">
        <v>991.63</v>
      </c>
      <c r="I949" s="3">
        <v>1065.55</v>
      </c>
      <c r="J949" s="3">
        <f t="shared" si="99"/>
        <v>831.12900000000002</v>
      </c>
      <c r="K949" s="3">
        <f t="shared" si="100"/>
        <v>26596.128000000001</v>
      </c>
      <c r="L949" s="3">
        <f t="shared" si="103"/>
        <v>31732.16</v>
      </c>
      <c r="M949" s="8">
        <f t="shared" si="104"/>
        <v>-5136.0319999999992</v>
      </c>
      <c r="N949" s="4">
        <f t="shared" si="101"/>
        <v>-0.19311201991507934</v>
      </c>
      <c r="O949" s="4" t="str">
        <f t="shared" si="102"/>
        <v>Loss</v>
      </c>
      <c r="P949" t="s">
        <v>15</v>
      </c>
      <c r="Q949">
        <v>0.22</v>
      </c>
      <c r="R949" t="s">
        <v>25</v>
      </c>
      <c r="S949" t="s">
        <v>20</v>
      </c>
      <c r="T949" t="s">
        <v>50</v>
      </c>
      <c r="U949" t="str">
        <f t="shared" si="105"/>
        <v>Low-Cost</v>
      </c>
    </row>
    <row r="950" spans="1:21" x14ac:dyDescent="0.3">
      <c r="A950">
        <v>1096</v>
      </c>
      <c r="B950" s="1">
        <v>45140</v>
      </c>
      <c r="C950" s="2" t="s">
        <v>12</v>
      </c>
      <c r="D950" t="s">
        <v>13</v>
      </c>
      <c r="E950">
        <v>30</v>
      </c>
      <c r="F950" t="s">
        <v>33</v>
      </c>
      <c r="G950">
        <f>1</f>
        <v>1</v>
      </c>
      <c r="H950" s="3">
        <v>3969.86</v>
      </c>
      <c r="I950" s="3">
        <v>4281.79</v>
      </c>
      <c r="J950" s="3">
        <f t="shared" si="99"/>
        <v>3939.2468000000003</v>
      </c>
      <c r="K950" s="3">
        <f t="shared" si="100"/>
        <v>118177.40400000001</v>
      </c>
      <c r="L950" s="3">
        <f t="shared" si="103"/>
        <v>119095.8</v>
      </c>
      <c r="M950" s="8">
        <f t="shared" si="104"/>
        <v>-918.39599999999336</v>
      </c>
      <c r="N950" s="4">
        <f t="shared" si="101"/>
        <v>-7.7713333422013003E-3</v>
      </c>
      <c r="O950" s="4" t="str">
        <f t="shared" si="102"/>
        <v>Loss</v>
      </c>
      <c r="P950" t="s">
        <v>15</v>
      </c>
      <c r="Q950">
        <v>0.08</v>
      </c>
      <c r="R950" t="s">
        <v>25</v>
      </c>
      <c r="S950" t="s">
        <v>20</v>
      </c>
      <c r="T950" t="s">
        <v>18</v>
      </c>
      <c r="U950" t="str">
        <f t="shared" si="105"/>
        <v>High-Cost</v>
      </c>
    </row>
    <row r="951" spans="1:21" x14ac:dyDescent="0.3">
      <c r="A951">
        <v>1096</v>
      </c>
      <c r="B951" s="1">
        <v>45081</v>
      </c>
      <c r="C951" s="2" t="s">
        <v>12</v>
      </c>
      <c r="D951" t="s">
        <v>23</v>
      </c>
      <c r="E951">
        <v>14</v>
      </c>
      <c r="F951" t="s">
        <v>14</v>
      </c>
      <c r="G951">
        <f>1</f>
        <v>1</v>
      </c>
      <c r="H951" s="3">
        <v>2251.9499999999998</v>
      </c>
      <c r="I951" s="3">
        <v>2626.32</v>
      </c>
      <c r="J951" s="3">
        <f t="shared" si="99"/>
        <v>2074.7928000000002</v>
      </c>
      <c r="K951" s="3">
        <f t="shared" si="100"/>
        <v>29047.099200000004</v>
      </c>
      <c r="L951" s="3">
        <f t="shared" si="103"/>
        <v>31527.299999999996</v>
      </c>
      <c r="M951" s="8">
        <f t="shared" si="104"/>
        <v>-2480.2007999999914</v>
      </c>
      <c r="N951" s="4">
        <f t="shared" si="101"/>
        <v>-8.5385490059537203E-2</v>
      </c>
      <c r="O951" s="4" t="str">
        <f t="shared" si="102"/>
        <v>Loss</v>
      </c>
      <c r="P951" t="s">
        <v>15</v>
      </c>
      <c r="Q951">
        <v>0.21</v>
      </c>
      <c r="R951" t="s">
        <v>29</v>
      </c>
      <c r="S951" t="s">
        <v>17</v>
      </c>
      <c r="T951" t="s">
        <v>30</v>
      </c>
      <c r="U951" t="str">
        <f t="shared" si="105"/>
        <v>Low-Cost</v>
      </c>
    </row>
    <row r="952" spans="1:21" x14ac:dyDescent="0.3">
      <c r="A952">
        <v>1096</v>
      </c>
      <c r="B952" s="1">
        <v>45024</v>
      </c>
      <c r="C952" s="2" t="s">
        <v>31</v>
      </c>
      <c r="D952" t="s">
        <v>23</v>
      </c>
      <c r="E952">
        <v>45</v>
      </c>
      <c r="F952" t="s">
        <v>27</v>
      </c>
      <c r="G952">
        <f>1</f>
        <v>1</v>
      </c>
      <c r="H952" s="3">
        <v>357.92</v>
      </c>
      <c r="I952" s="3">
        <v>461.3</v>
      </c>
      <c r="J952" s="3">
        <f t="shared" si="99"/>
        <v>332.13600000000002</v>
      </c>
      <c r="K952" s="3">
        <f t="shared" si="100"/>
        <v>14946.119999999999</v>
      </c>
      <c r="L952" s="3">
        <f t="shared" si="103"/>
        <v>16106.400000000001</v>
      </c>
      <c r="M952" s="8">
        <f t="shared" si="104"/>
        <v>-1160.2800000000025</v>
      </c>
      <c r="N952" s="4">
        <f t="shared" si="101"/>
        <v>-7.7630850013247751E-2</v>
      </c>
      <c r="O952" s="4" t="str">
        <f t="shared" si="102"/>
        <v>Loss</v>
      </c>
      <c r="P952" t="s">
        <v>15</v>
      </c>
      <c r="Q952">
        <v>0.28000000000000003</v>
      </c>
      <c r="R952" t="s">
        <v>16</v>
      </c>
      <c r="S952" t="s">
        <v>17</v>
      </c>
      <c r="T952" t="s">
        <v>42</v>
      </c>
      <c r="U952" t="str">
        <f t="shared" si="105"/>
        <v>Low-Cost</v>
      </c>
    </row>
    <row r="953" spans="1:21" x14ac:dyDescent="0.3">
      <c r="A953">
        <v>1096</v>
      </c>
      <c r="B953" s="1">
        <v>45087</v>
      </c>
      <c r="C953" s="2" t="s">
        <v>31</v>
      </c>
      <c r="D953" t="s">
        <v>23</v>
      </c>
      <c r="E953">
        <v>6</v>
      </c>
      <c r="F953" t="s">
        <v>14</v>
      </c>
      <c r="G953">
        <f>1</f>
        <v>1</v>
      </c>
      <c r="H953" s="3">
        <v>252.62</v>
      </c>
      <c r="I953" s="3">
        <v>742</v>
      </c>
      <c r="J953" s="3">
        <f t="shared" si="99"/>
        <v>578.76</v>
      </c>
      <c r="K953" s="3">
        <f t="shared" si="100"/>
        <v>3472.56</v>
      </c>
      <c r="L953" s="3">
        <f t="shared" si="103"/>
        <v>1515.72</v>
      </c>
      <c r="M953" s="8">
        <f t="shared" si="104"/>
        <v>1956.84</v>
      </c>
      <c r="N953" s="4">
        <f t="shared" si="101"/>
        <v>0.56351510125095028</v>
      </c>
      <c r="O953" s="4" t="str">
        <f t="shared" si="102"/>
        <v>Profit</v>
      </c>
      <c r="P953" t="s">
        <v>28</v>
      </c>
      <c r="Q953">
        <v>0.22</v>
      </c>
      <c r="R953" t="s">
        <v>29</v>
      </c>
      <c r="S953" t="s">
        <v>20</v>
      </c>
      <c r="T953" t="s">
        <v>42</v>
      </c>
      <c r="U953" t="str">
        <f t="shared" si="105"/>
        <v>Low-Cost</v>
      </c>
    </row>
    <row r="954" spans="1:21" x14ac:dyDescent="0.3">
      <c r="A954">
        <v>1096</v>
      </c>
      <c r="B954" s="1">
        <v>45180</v>
      </c>
      <c r="C954" s="2" t="s">
        <v>36</v>
      </c>
      <c r="D954" t="s">
        <v>23</v>
      </c>
      <c r="E954">
        <v>23</v>
      </c>
      <c r="F954" t="s">
        <v>33</v>
      </c>
      <c r="G954">
        <f>1</f>
        <v>1</v>
      </c>
      <c r="H954" s="3">
        <v>608.57000000000005</v>
      </c>
      <c r="I954" s="3">
        <v>1032.22</v>
      </c>
      <c r="J954" s="3">
        <f t="shared" si="99"/>
        <v>774.16499999999996</v>
      </c>
      <c r="K954" s="3">
        <f t="shared" si="100"/>
        <v>17805.795000000002</v>
      </c>
      <c r="L954" s="3">
        <f t="shared" si="103"/>
        <v>13997.11</v>
      </c>
      <c r="M954" s="8">
        <f t="shared" si="104"/>
        <v>3808.6850000000013</v>
      </c>
      <c r="N954" s="4">
        <f t="shared" si="101"/>
        <v>0.21390142928187147</v>
      </c>
      <c r="O954" s="4" t="str">
        <f t="shared" si="102"/>
        <v>Profit</v>
      </c>
      <c r="P954" t="s">
        <v>28</v>
      </c>
      <c r="Q954">
        <v>0.25</v>
      </c>
      <c r="R954" t="s">
        <v>16</v>
      </c>
      <c r="S954" t="s">
        <v>20</v>
      </c>
      <c r="T954" t="s">
        <v>37</v>
      </c>
      <c r="U954" t="str">
        <f t="shared" si="105"/>
        <v>Low-Cost</v>
      </c>
    </row>
    <row r="955" spans="1:21" x14ac:dyDescent="0.3">
      <c r="A955">
        <v>1096</v>
      </c>
      <c r="B955" s="1">
        <v>45219</v>
      </c>
      <c r="C955" s="2" t="s">
        <v>22</v>
      </c>
      <c r="D955" t="s">
        <v>23</v>
      </c>
      <c r="E955">
        <v>10</v>
      </c>
      <c r="F955" t="s">
        <v>27</v>
      </c>
      <c r="G955">
        <f>1</f>
        <v>1</v>
      </c>
      <c r="H955" s="3">
        <v>2927.02</v>
      </c>
      <c r="I955" s="3">
        <v>3387.21</v>
      </c>
      <c r="J955" s="3">
        <f t="shared" si="99"/>
        <v>2980.7447999999999</v>
      </c>
      <c r="K955" s="3">
        <f t="shared" si="100"/>
        <v>29807.448</v>
      </c>
      <c r="L955" s="3">
        <f t="shared" si="103"/>
        <v>29270.2</v>
      </c>
      <c r="M955" s="8">
        <f t="shared" si="104"/>
        <v>537.24799999999959</v>
      </c>
      <c r="N955" s="4">
        <f t="shared" si="101"/>
        <v>1.8023951597600694E-2</v>
      </c>
      <c r="O955" s="4" t="str">
        <f t="shared" si="102"/>
        <v>Profit</v>
      </c>
      <c r="P955" t="s">
        <v>15</v>
      </c>
      <c r="Q955">
        <v>0.12</v>
      </c>
      <c r="R955" t="s">
        <v>16</v>
      </c>
      <c r="S955" t="s">
        <v>20</v>
      </c>
      <c r="T955" t="s">
        <v>26</v>
      </c>
      <c r="U955" t="str">
        <f t="shared" si="105"/>
        <v>High-Cost</v>
      </c>
    </row>
    <row r="956" spans="1:21" x14ac:dyDescent="0.3">
      <c r="A956">
        <v>1096</v>
      </c>
      <c r="B956" s="1">
        <v>44951</v>
      </c>
      <c r="C956" s="2" t="s">
        <v>31</v>
      </c>
      <c r="D956" t="s">
        <v>19</v>
      </c>
      <c r="E956">
        <v>27</v>
      </c>
      <c r="F956" t="s">
        <v>27</v>
      </c>
      <c r="G956">
        <f>1</f>
        <v>1</v>
      </c>
      <c r="H956" s="3">
        <v>4809</v>
      </c>
      <c r="I956" s="3">
        <v>4967.4399999999996</v>
      </c>
      <c r="J956" s="3">
        <f t="shared" si="99"/>
        <v>4371.3471999999992</v>
      </c>
      <c r="K956" s="3">
        <f t="shared" si="100"/>
        <v>118026.37439999999</v>
      </c>
      <c r="L956" s="3">
        <f t="shared" si="103"/>
        <v>129843</v>
      </c>
      <c r="M956" s="8">
        <f t="shared" si="104"/>
        <v>-11816.625600000014</v>
      </c>
      <c r="N956" s="4">
        <f t="shared" si="101"/>
        <v>-0.10011851723880467</v>
      </c>
      <c r="O956" s="4" t="str">
        <f t="shared" si="102"/>
        <v>Loss</v>
      </c>
      <c r="P956" t="s">
        <v>28</v>
      </c>
      <c r="Q956">
        <v>0.12</v>
      </c>
      <c r="R956" t="s">
        <v>16</v>
      </c>
      <c r="S956" t="s">
        <v>17</v>
      </c>
      <c r="T956" t="s">
        <v>35</v>
      </c>
      <c r="U956" t="str">
        <f t="shared" si="105"/>
        <v>High-Cost</v>
      </c>
    </row>
    <row r="957" spans="1:21" x14ac:dyDescent="0.3">
      <c r="A957">
        <v>1096</v>
      </c>
      <c r="B957" s="1">
        <v>45012</v>
      </c>
      <c r="C957" s="2" t="s">
        <v>40</v>
      </c>
      <c r="D957" t="s">
        <v>13</v>
      </c>
      <c r="E957">
        <v>48</v>
      </c>
      <c r="F957" t="s">
        <v>27</v>
      </c>
      <c r="G957">
        <f>1</f>
        <v>1</v>
      </c>
      <c r="H957" s="3">
        <v>2449.21</v>
      </c>
      <c r="I957" s="3">
        <v>2714.12</v>
      </c>
      <c r="J957" s="3">
        <f t="shared" si="99"/>
        <v>2686.9787999999999</v>
      </c>
      <c r="K957" s="3">
        <f t="shared" si="100"/>
        <v>128974.98239999999</v>
      </c>
      <c r="L957" s="3">
        <f t="shared" si="103"/>
        <v>117562.08</v>
      </c>
      <c r="M957" s="8">
        <f t="shared" si="104"/>
        <v>11412.902399999992</v>
      </c>
      <c r="N957" s="4">
        <f t="shared" si="101"/>
        <v>8.8489272784734979E-2</v>
      </c>
      <c r="O957" s="4" t="str">
        <f t="shared" si="102"/>
        <v>Profit</v>
      </c>
      <c r="P957" t="s">
        <v>28</v>
      </c>
      <c r="Q957">
        <v>0.01</v>
      </c>
      <c r="R957" t="s">
        <v>29</v>
      </c>
      <c r="S957" t="s">
        <v>17</v>
      </c>
      <c r="T957" t="s">
        <v>47</v>
      </c>
      <c r="U957" t="str">
        <f t="shared" si="105"/>
        <v>Low-Cost</v>
      </c>
    </row>
    <row r="958" spans="1:21" x14ac:dyDescent="0.3">
      <c r="A958">
        <v>1096</v>
      </c>
      <c r="B958" s="1">
        <v>45136</v>
      </c>
      <c r="C958" s="2" t="s">
        <v>31</v>
      </c>
      <c r="D958" t="s">
        <v>19</v>
      </c>
      <c r="E958">
        <v>38</v>
      </c>
      <c r="F958" t="s">
        <v>33</v>
      </c>
      <c r="G958">
        <f>1</f>
        <v>1</v>
      </c>
      <c r="H958" s="3">
        <v>3955.66</v>
      </c>
      <c r="I958" s="3">
        <v>4270.59</v>
      </c>
      <c r="J958" s="3">
        <f t="shared" si="99"/>
        <v>3630.0014999999999</v>
      </c>
      <c r="K958" s="3">
        <f t="shared" si="100"/>
        <v>137940.057</v>
      </c>
      <c r="L958" s="3">
        <f t="shared" si="103"/>
        <v>150315.07999999999</v>
      </c>
      <c r="M958" s="8">
        <f t="shared" si="104"/>
        <v>-12375.022999999986</v>
      </c>
      <c r="N958" s="4">
        <f t="shared" si="101"/>
        <v>-8.9713048327941358E-2</v>
      </c>
      <c r="O958" s="4" t="str">
        <f t="shared" si="102"/>
        <v>Loss</v>
      </c>
      <c r="P958" t="s">
        <v>15</v>
      </c>
      <c r="Q958">
        <v>0.15</v>
      </c>
      <c r="R958" t="s">
        <v>29</v>
      </c>
      <c r="S958" t="s">
        <v>17</v>
      </c>
      <c r="T958" t="s">
        <v>35</v>
      </c>
      <c r="U958" t="str">
        <f t="shared" si="105"/>
        <v>High-Cost</v>
      </c>
    </row>
    <row r="959" spans="1:21" x14ac:dyDescent="0.3">
      <c r="A959">
        <v>1097</v>
      </c>
      <c r="B959" s="1">
        <v>44958</v>
      </c>
      <c r="C959" s="2" t="s">
        <v>40</v>
      </c>
      <c r="D959" t="s">
        <v>19</v>
      </c>
      <c r="E959">
        <v>27</v>
      </c>
      <c r="F959" t="s">
        <v>33</v>
      </c>
      <c r="G959">
        <f>1</f>
        <v>1</v>
      </c>
      <c r="H959" s="3">
        <v>3955.19</v>
      </c>
      <c r="I959" s="3">
        <v>4393.68</v>
      </c>
      <c r="J959" s="3">
        <f t="shared" si="99"/>
        <v>4217.9328000000005</v>
      </c>
      <c r="K959" s="3">
        <f t="shared" si="100"/>
        <v>113884.18560000001</v>
      </c>
      <c r="L959" s="3">
        <f t="shared" si="103"/>
        <v>106790.13</v>
      </c>
      <c r="M959" s="8">
        <f t="shared" si="104"/>
        <v>7094.055600000007</v>
      </c>
      <c r="N959" s="4">
        <f t="shared" si="101"/>
        <v>6.2291841159726448E-2</v>
      </c>
      <c r="O959" s="4" t="str">
        <f t="shared" si="102"/>
        <v>Profit</v>
      </c>
      <c r="P959" t="s">
        <v>15</v>
      </c>
      <c r="Q959">
        <v>0.04</v>
      </c>
      <c r="R959" t="s">
        <v>29</v>
      </c>
      <c r="S959" t="s">
        <v>17</v>
      </c>
      <c r="T959" t="s">
        <v>49</v>
      </c>
      <c r="U959" t="str">
        <f t="shared" si="105"/>
        <v>High-Cost</v>
      </c>
    </row>
    <row r="960" spans="1:21" x14ac:dyDescent="0.3">
      <c r="A960">
        <v>1097</v>
      </c>
      <c r="B960" s="1">
        <v>45090</v>
      </c>
      <c r="C960" s="2" t="s">
        <v>31</v>
      </c>
      <c r="D960" t="s">
        <v>32</v>
      </c>
      <c r="E960">
        <v>10</v>
      </c>
      <c r="F960" t="s">
        <v>14</v>
      </c>
      <c r="G960">
        <f>1</f>
        <v>1</v>
      </c>
      <c r="H960" s="3">
        <v>2162.9499999999998</v>
      </c>
      <c r="I960" s="3">
        <v>2191.19</v>
      </c>
      <c r="J960" s="3">
        <f t="shared" si="99"/>
        <v>1752.9520000000002</v>
      </c>
      <c r="K960" s="3">
        <f t="shared" si="100"/>
        <v>17529.52</v>
      </c>
      <c r="L960" s="3">
        <f t="shared" si="103"/>
        <v>21629.5</v>
      </c>
      <c r="M960" s="8">
        <f t="shared" si="104"/>
        <v>-4099.9799999999996</v>
      </c>
      <c r="N960" s="4">
        <f t="shared" si="101"/>
        <v>-0.23389003235684716</v>
      </c>
      <c r="O960" s="4" t="str">
        <f t="shared" si="102"/>
        <v>Loss</v>
      </c>
      <c r="P960" t="s">
        <v>15</v>
      </c>
      <c r="Q960">
        <v>0.2</v>
      </c>
      <c r="R960" t="s">
        <v>29</v>
      </c>
      <c r="S960" t="s">
        <v>17</v>
      </c>
      <c r="T960" t="s">
        <v>34</v>
      </c>
      <c r="U960" t="str">
        <f t="shared" si="105"/>
        <v>Low-Cost</v>
      </c>
    </row>
    <row r="961" spans="1:21" x14ac:dyDescent="0.3">
      <c r="A961">
        <v>1097</v>
      </c>
      <c r="B961" s="1">
        <v>45001</v>
      </c>
      <c r="C961" s="2" t="s">
        <v>22</v>
      </c>
      <c r="D961" t="s">
        <v>23</v>
      </c>
      <c r="E961">
        <v>35</v>
      </c>
      <c r="F961" t="s">
        <v>24</v>
      </c>
      <c r="G961">
        <f>1</f>
        <v>1</v>
      </c>
      <c r="H961" s="3">
        <v>1958.49</v>
      </c>
      <c r="I961" s="3">
        <v>2254.84</v>
      </c>
      <c r="J961" s="3">
        <f t="shared" si="99"/>
        <v>1894.0656000000001</v>
      </c>
      <c r="K961" s="3">
        <f t="shared" si="100"/>
        <v>66292.296000000002</v>
      </c>
      <c r="L961" s="3">
        <f t="shared" si="103"/>
        <v>68547.149999999994</v>
      </c>
      <c r="M961" s="8">
        <f t="shared" si="104"/>
        <v>-2254.8539999999921</v>
      </c>
      <c r="N961" s="4">
        <f t="shared" si="101"/>
        <v>-3.4013816628103995E-2</v>
      </c>
      <c r="O961" s="4" t="str">
        <f t="shared" si="102"/>
        <v>Loss</v>
      </c>
      <c r="P961" t="s">
        <v>28</v>
      </c>
      <c r="Q961">
        <v>0.16</v>
      </c>
      <c r="R961" t="s">
        <v>29</v>
      </c>
      <c r="S961" t="s">
        <v>17</v>
      </c>
      <c r="T961" t="s">
        <v>26</v>
      </c>
      <c r="U961" t="str">
        <f t="shared" si="105"/>
        <v>Low-Cost</v>
      </c>
    </row>
    <row r="962" spans="1:21" x14ac:dyDescent="0.3">
      <c r="A962">
        <v>1097</v>
      </c>
      <c r="B962" s="1">
        <v>45189</v>
      </c>
      <c r="C962" s="2" t="s">
        <v>22</v>
      </c>
      <c r="D962" t="s">
        <v>13</v>
      </c>
      <c r="E962">
        <v>45</v>
      </c>
      <c r="F962" t="s">
        <v>27</v>
      </c>
      <c r="G962">
        <f>1</f>
        <v>1</v>
      </c>
      <c r="H962" s="3">
        <v>1525.13</v>
      </c>
      <c r="I962" s="3">
        <v>1868.32</v>
      </c>
      <c r="J962" s="3">
        <f t="shared" ref="J962:J1001" si="106">I962*(1-Q962)</f>
        <v>1419.9232</v>
      </c>
      <c r="K962" s="3">
        <f t="shared" ref="K962:K1001" si="107">E962*I962*(1-Q962)</f>
        <v>63896.543999999994</v>
      </c>
      <c r="L962" s="3">
        <f t="shared" si="103"/>
        <v>68630.850000000006</v>
      </c>
      <c r="M962" s="8">
        <f t="shared" si="104"/>
        <v>-4734.3060000000114</v>
      </c>
      <c r="N962" s="4">
        <f>(M962/K962)</f>
        <v>-7.4093303074419983E-2</v>
      </c>
      <c r="O962" s="4" t="str">
        <f t="shared" si="102"/>
        <v>Loss</v>
      </c>
      <c r="P962" t="s">
        <v>15</v>
      </c>
      <c r="Q962">
        <v>0.24</v>
      </c>
      <c r="R962" t="s">
        <v>16</v>
      </c>
      <c r="S962" t="s">
        <v>20</v>
      </c>
      <c r="T962" t="s">
        <v>43</v>
      </c>
      <c r="U962" t="str">
        <f t="shared" si="105"/>
        <v>Low-Cost</v>
      </c>
    </row>
    <row r="963" spans="1:21" x14ac:dyDescent="0.3">
      <c r="A963">
        <v>1097</v>
      </c>
      <c r="B963" s="1">
        <v>45007</v>
      </c>
      <c r="C963" s="2" t="s">
        <v>36</v>
      </c>
      <c r="D963" t="s">
        <v>13</v>
      </c>
      <c r="E963">
        <v>6</v>
      </c>
      <c r="F963" t="s">
        <v>33</v>
      </c>
      <c r="G963">
        <f>1</f>
        <v>1</v>
      </c>
      <c r="H963" s="3">
        <v>4885.9799999999996</v>
      </c>
      <c r="I963" s="3">
        <v>4949.95</v>
      </c>
      <c r="J963" s="3">
        <f t="shared" si="106"/>
        <v>4108.4584999999997</v>
      </c>
      <c r="K963" s="3">
        <f t="shared" si="107"/>
        <v>24650.750999999997</v>
      </c>
      <c r="L963" s="3">
        <f t="shared" ref="L963:L1001" si="108">H963*E963</f>
        <v>29315.879999999997</v>
      </c>
      <c r="M963" s="8">
        <f t="shared" ref="M963:M1001" si="109">K963-L963</f>
        <v>-4665.1290000000008</v>
      </c>
      <c r="N963" s="4">
        <f t="shared" ref="N963:N1001" si="110">(M963/K963)</f>
        <v>-0.1892489604069264</v>
      </c>
      <c r="O963" s="4" t="str">
        <f t="shared" ref="O963:O1001" si="111">IF(M963&lt;0,"Loss","Profit")</f>
        <v>Loss</v>
      </c>
      <c r="P963" t="s">
        <v>15</v>
      </c>
      <c r="Q963">
        <v>0.17</v>
      </c>
      <c r="R963" t="s">
        <v>25</v>
      </c>
      <c r="S963" t="s">
        <v>17</v>
      </c>
      <c r="T963" t="s">
        <v>38</v>
      </c>
      <c r="U963" t="str">
        <f t="shared" si="105"/>
        <v>High-Cost</v>
      </c>
    </row>
    <row r="964" spans="1:21" x14ac:dyDescent="0.3">
      <c r="A964">
        <v>1097</v>
      </c>
      <c r="B964" s="1">
        <v>45193</v>
      </c>
      <c r="C964" s="2" t="s">
        <v>40</v>
      </c>
      <c r="D964" t="s">
        <v>32</v>
      </c>
      <c r="E964">
        <v>9</v>
      </c>
      <c r="F964" t="s">
        <v>24</v>
      </c>
      <c r="G964">
        <f>1</f>
        <v>1</v>
      </c>
      <c r="H964" s="3">
        <v>4067.28</v>
      </c>
      <c r="I964" s="3">
        <v>4548.09</v>
      </c>
      <c r="J964" s="3">
        <f t="shared" si="106"/>
        <v>4002.3192000000004</v>
      </c>
      <c r="K964" s="3">
        <f t="shared" si="107"/>
        <v>36020.872799999997</v>
      </c>
      <c r="L964" s="3">
        <f t="shared" si="108"/>
        <v>36605.520000000004</v>
      </c>
      <c r="M964" s="8">
        <f t="shared" si="109"/>
        <v>-584.64720000000671</v>
      </c>
      <c r="N964" s="4">
        <f t="shared" si="110"/>
        <v>-1.6230789388312843E-2</v>
      </c>
      <c r="O964" s="4" t="str">
        <f t="shared" si="111"/>
        <v>Loss</v>
      </c>
      <c r="P964" t="s">
        <v>15</v>
      </c>
      <c r="Q964">
        <v>0.12</v>
      </c>
      <c r="R964" t="s">
        <v>29</v>
      </c>
      <c r="S964" t="s">
        <v>20</v>
      </c>
      <c r="T964" t="s">
        <v>50</v>
      </c>
      <c r="U964" t="str">
        <f t="shared" si="105"/>
        <v>High-Cost</v>
      </c>
    </row>
    <row r="965" spans="1:21" x14ac:dyDescent="0.3">
      <c r="A965">
        <v>1097</v>
      </c>
      <c r="B965" s="1">
        <v>45011</v>
      </c>
      <c r="C965" s="2" t="s">
        <v>22</v>
      </c>
      <c r="D965" t="s">
        <v>32</v>
      </c>
      <c r="E965">
        <v>7</v>
      </c>
      <c r="F965" t="s">
        <v>27</v>
      </c>
      <c r="G965">
        <f>1</f>
        <v>1</v>
      </c>
      <c r="H965" s="3">
        <v>1896.35</v>
      </c>
      <c r="I965" s="3">
        <v>2394.1999999999998</v>
      </c>
      <c r="J965" s="3">
        <f t="shared" si="106"/>
        <v>1867.4759999999999</v>
      </c>
      <c r="K965" s="3">
        <f t="shared" si="107"/>
        <v>13072.331999999999</v>
      </c>
      <c r="L965" s="3">
        <f t="shared" si="108"/>
        <v>13274.449999999999</v>
      </c>
      <c r="M965" s="8">
        <f t="shared" si="109"/>
        <v>-202.11800000000039</v>
      </c>
      <c r="N965" s="4">
        <f t="shared" si="110"/>
        <v>-1.5461510616468463E-2</v>
      </c>
      <c r="O965" s="4" t="str">
        <f t="shared" si="111"/>
        <v>Loss</v>
      </c>
      <c r="P965" t="s">
        <v>28</v>
      </c>
      <c r="Q965">
        <v>0.22</v>
      </c>
      <c r="R965" t="s">
        <v>25</v>
      </c>
      <c r="S965" t="s">
        <v>17</v>
      </c>
      <c r="T965" t="s">
        <v>48</v>
      </c>
      <c r="U965" t="str">
        <f t="shared" si="105"/>
        <v>Low-Cost</v>
      </c>
    </row>
    <row r="966" spans="1:21" x14ac:dyDescent="0.3">
      <c r="A966">
        <v>1097</v>
      </c>
      <c r="B966" s="1">
        <v>45225</v>
      </c>
      <c r="C966" s="2" t="s">
        <v>40</v>
      </c>
      <c r="D966" t="s">
        <v>32</v>
      </c>
      <c r="E966">
        <v>27</v>
      </c>
      <c r="F966" t="s">
        <v>33</v>
      </c>
      <c r="G966">
        <f>1</f>
        <v>1</v>
      </c>
      <c r="H966" s="3">
        <v>4686.79</v>
      </c>
      <c r="I966" s="3">
        <v>5046.51</v>
      </c>
      <c r="J966" s="3">
        <f t="shared" si="106"/>
        <v>4794.1845000000003</v>
      </c>
      <c r="K966" s="3">
        <f t="shared" si="107"/>
        <v>129442.98150000001</v>
      </c>
      <c r="L966" s="3">
        <f t="shared" si="108"/>
        <v>126543.33</v>
      </c>
      <c r="M966" s="8">
        <f t="shared" si="109"/>
        <v>2899.6515000000072</v>
      </c>
      <c r="N966" s="4">
        <f t="shared" si="110"/>
        <v>2.240099437140983E-2</v>
      </c>
      <c r="O966" s="4" t="str">
        <f t="shared" si="111"/>
        <v>Profit</v>
      </c>
      <c r="P966" t="s">
        <v>15</v>
      </c>
      <c r="Q966">
        <v>0.05</v>
      </c>
      <c r="R966" t="s">
        <v>29</v>
      </c>
      <c r="S966" t="s">
        <v>20</v>
      </c>
      <c r="T966" t="s">
        <v>50</v>
      </c>
      <c r="U966" t="str">
        <f t="shared" si="105"/>
        <v>High-Cost</v>
      </c>
    </row>
    <row r="967" spans="1:21" x14ac:dyDescent="0.3">
      <c r="A967">
        <v>1097</v>
      </c>
      <c r="B967" s="1">
        <v>45229</v>
      </c>
      <c r="C967" s="2" t="s">
        <v>36</v>
      </c>
      <c r="D967" t="s">
        <v>19</v>
      </c>
      <c r="E967">
        <v>49</v>
      </c>
      <c r="F967" t="s">
        <v>33</v>
      </c>
      <c r="G967">
        <f>1</f>
        <v>1</v>
      </c>
      <c r="H967" s="3">
        <v>4264.46</v>
      </c>
      <c r="I967" s="3">
        <v>4315.5200000000004</v>
      </c>
      <c r="J967" s="3">
        <f t="shared" si="106"/>
        <v>4013.4336000000003</v>
      </c>
      <c r="K967" s="3">
        <f t="shared" si="107"/>
        <v>196658.2464</v>
      </c>
      <c r="L967" s="3">
        <f t="shared" si="108"/>
        <v>208958.54</v>
      </c>
      <c r="M967" s="8">
        <f t="shared" si="109"/>
        <v>-12300.293600000005</v>
      </c>
      <c r="N967" s="4">
        <f t="shared" si="110"/>
        <v>-6.2546543687679326E-2</v>
      </c>
      <c r="O967" s="4" t="str">
        <f t="shared" si="111"/>
        <v>Loss</v>
      </c>
      <c r="P967" t="s">
        <v>28</v>
      </c>
      <c r="Q967">
        <v>7.0000000000000007E-2</v>
      </c>
      <c r="R967" t="s">
        <v>16</v>
      </c>
      <c r="S967" t="s">
        <v>20</v>
      </c>
      <c r="T967" t="s">
        <v>39</v>
      </c>
      <c r="U967" t="str">
        <f t="shared" si="105"/>
        <v>High-Cost</v>
      </c>
    </row>
    <row r="968" spans="1:21" x14ac:dyDescent="0.3">
      <c r="A968">
        <v>1098</v>
      </c>
      <c r="B968" s="1">
        <v>45237</v>
      </c>
      <c r="C968" s="2" t="s">
        <v>40</v>
      </c>
      <c r="D968" t="s">
        <v>19</v>
      </c>
      <c r="E968">
        <v>31</v>
      </c>
      <c r="F968" t="s">
        <v>24</v>
      </c>
      <c r="G968">
        <f>1</f>
        <v>1</v>
      </c>
      <c r="H968" s="3">
        <v>2407.8000000000002</v>
      </c>
      <c r="I968" s="3">
        <v>2502.7600000000002</v>
      </c>
      <c r="J968" s="3">
        <f t="shared" si="106"/>
        <v>1827.0148000000002</v>
      </c>
      <c r="K968" s="3">
        <f t="shared" si="107"/>
        <v>56637.458800000008</v>
      </c>
      <c r="L968" s="3">
        <f t="shared" si="108"/>
        <v>74641.8</v>
      </c>
      <c r="M968" s="8">
        <f t="shared" si="109"/>
        <v>-18004.341199999995</v>
      </c>
      <c r="N968" s="4">
        <f t="shared" si="110"/>
        <v>-0.3178875179336258</v>
      </c>
      <c r="O968" s="4" t="str">
        <f t="shared" si="111"/>
        <v>Loss</v>
      </c>
      <c r="P968" t="s">
        <v>15</v>
      </c>
      <c r="Q968">
        <v>0.27</v>
      </c>
      <c r="R968" t="s">
        <v>16</v>
      </c>
      <c r="S968" t="s">
        <v>20</v>
      </c>
      <c r="T968" t="s">
        <v>49</v>
      </c>
      <c r="U968" t="str">
        <f t="shared" ref="U968:U1001" si="112">IF(I968 &gt;=2800, "High-Cost", "Low-Cost")</f>
        <v>Low-Cost</v>
      </c>
    </row>
    <row r="969" spans="1:21" x14ac:dyDescent="0.3">
      <c r="A969">
        <v>1098</v>
      </c>
      <c r="B969" s="1">
        <v>45024</v>
      </c>
      <c r="C969" s="2" t="s">
        <v>36</v>
      </c>
      <c r="D969" t="s">
        <v>13</v>
      </c>
      <c r="E969">
        <v>5</v>
      </c>
      <c r="F969" t="s">
        <v>33</v>
      </c>
      <c r="G969">
        <f>1</f>
        <v>1</v>
      </c>
      <c r="H969" s="3">
        <v>2947.22</v>
      </c>
      <c r="I969" s="3">
        <v>3145.27</v>
      </c>
      <c r="J969" s="3">
        <f t="shared" si="106"/>
        <v>2830.7429999999999</v>
      </c>
      <c r="K969" s="3">
        <f t="shared" si="107"/>
        <v>14153.715</v>
      </c>
      <c r="L969" s="3">
        <f t="shared" si="108"/>
        <v>14736.099999999999</v>
      </c>
      <c r="M969" s="8">
        <f t="shared" si="109"/>
        <v>-582.3849999999984</v>
      </c>
      <c r="N969" s="4">
        <f t="shared" si="110"/>
        <v>-4.1147147586340291E-2</v>
      </c>
      <c r="O969" s="4" t="str">
        <f t="shared" si="111"/>
        <v>Loss</v>
      </c>
      <c r="P969" t="s">
        <v>28</v>
      </c>
      <c r="Q969">
        <v>0.1</v>
      </c>
      <c r="R969" t="s">
        <v>29</v>
      </c>
      <c r="S969" t="s">
        <v>20</v>
      </c>
      <c r="T969" t="s">
        <v>38</v>
      </c>
      <c r="U969" t="str">
        <f t="shared" si="112"/>
        <v>High-Cost</v>
      </c>
    </row>
    <row r="970" spans="1:21" x14ac:dyDescent="0.3">
      <c r="A970">
        <v>1098</v>
      </c>
      <c r="B970" s="1">
        <v>45270</v>
      </c>
      <c r="C970" s="2" t="s">
        <v>36</v>
      </c>
      <c r="D970" t="s">
        <v>32</v>
      </c>
      <c r="E970">
        <v>28</v>
      </c>
      <c r="F970" t="s">
        <v>33</v>
      </c>
      <c r="G970">
        <f>1</f>
        <v>1</v>
      </c>
      <c r="H970" s="3">
        <v>3895.62</v>
      </c>
      <c r="I970" s="3">
        <v>4055.44</v>
      </c>
      <c r="J970" s="3">
        <f t="shared" si="106"/>
        <v>3933.7768000000001</v>
      </c>
      <c r="K970" s="3">
        <f t="shared" si="107"/>
        <v>110145.7504</v>
      </c>
      <c r="L970" s="3">
        <f t="shared" si="108"/>
        <v>109077.36</v>
      </c>
      <c r="M970" s="8">
        <f t="shared" si="109"/>
        <v>1068.3904000000039</v>
      </c>
      <c r="N970" s="4">
        <f t="shared" si="110"/>
        <v>9.6997877459646768E-3</v>
      </c>
      <c r="O970" s="4" t="str">
        <f t="shared" si="111"/>
        <v>Profit</v>
      </c>
      <c r="P970" t="s">
        <v>28</v>
      </c>
      <c r="Q970">
        <v>0.03</v>
      </c>
      <c r="R970" t="s">
        <v>25</v>
      </c>
      <c r="S970" t="s">
        <v>20</v>
      </c>
      <c r="T970" t="s">
        <v>46</v>
      </c>
      <c r="U970" t="str">
        <f t="shared" si="112"/>
        <v>High-Cost</v>
      </c>
    </row>
    <row r="971" spans="1:21" x14ac:dyDescent="0.3">
      <c r="A971">
        <v>1098</v>
      </c>
      <c r="B971" s="1">
        <v>45292</v>
      </c>
      <c r="C971" s="2" t="s">
        <v>12</v>
      </c>
      <c r="D971" t="s">
        <v>23</v>
      </c>
      <c r="E971">
        <v>11</v>
      </c>
      <c r="F971" t="s">
        <v>27</v>
      </c>
      <c r="G971">
        <f>1</f>
        <v>1</v>
      </c>
      <c r="H971" s="3">
        <v>213.41</v>
      </c>
      <c r="I971" s="3">
        <v>503.36</v>
      </c>
      <c r="J971" s="3">
        <f t="shared" si="106"/>
        <v>367.45280000000002</v>
      </c>
      <c r="K971" s="3">
        <f t="shared" si="107"/>
        <v>4041.9807999999998</v>
      </c>
      <c r="L971" s="3">
        <f t="shared" si="108"/>
        <v>2347.5099999999998</v>
      </c>
      <c r="M971" s="8">
        <f t="shared" si="109"/>
        <v>1694.4708000000001</v>
      </c>
      <c r="N971" s="4">
        <f t="shared" si="110"/>
        <v>0.41921792404357788</v>
      </c>
      <c r="O971" s="4" t="str">
        <f t="shared" si="111"/>
        <v>Profit</v>
      </c>
      <c r="P971" t="s">
        <v>15</v>
      </c>
      <c r="Q971">
        <v>0.27</v>
      </c>
      <c r="R971" t="s">
        <v>25</v>
      </c>
      <c r="S971" t="s">
        <v>17</v>
      </c>
      <c r="T971" t="s">
        <v>30</v>
      </c>
      <c r="U971" t="str">
        <f t="shared" si="112"/>
        <v>Low-Cost</v>
      </c>
    </row>
    <row r="972" spans="1:21" x14ac:dyDescent="0.3">
      <c r="A972">
        <v>1098</v>
      </c>
      <c r="B972" s="1">
        <v>45001</v>
      </c>
      <c r="C972" s="2" t="s">
        <v>22</v>
      </c>
      <c r="D972" t="s">
        <v>23</v>
      </c>
      <c r="E972">
        <v>11</v>
      </c>
      <c r="F972" t="s">
        <v>14</v>
      </c>
      <c r="G972">
        <f>1</f>
        <v>1</v>
      </c>
      <c r="H972" s="3">
        <v>741.48</v>
      </c>
      <c r="I972" s="3">
        <v>878.09</v>
      </c>
      <c r="J972" s="3">
        <f t="shared" si="106"/>
        <v>623.44389999999999</v>
      </c>
      <c r="K972" s="3">
        <f t="shared" si="107"/>
        <v>6857.8828999999996</v>
      </c>
      <c r="L972" s="3">
        <f t="shared" si="108"/>
        <v>8156.2800000000007</v>
      </c>
      <c r="M972" s="8">
        <f t="shared" si="109"/>
        <v>-1298.397100000001</v>
      </c>
      <c r="N972" s="4">
        <f t="shared" si="110"/>
        <v>-0.18932914412988899</v>
      </c>
      <c r="O972" s="4" t="str">
        <f t="shared" si="111"/>
        <v>Loss</v>
      </c>
      <c r="P972" t="s">
        <v>28</v>
      </c>
      <c r="Q972">
        <v>0.28999999999999998</v>
      </c>
      <c r="R972" t="s">
        <v>16</v>
      </c>
      <c r="S972" t="s">
        <v>20</v>
      </c>
      <c r="T972" t="s">
        <v>26</v>
      </c>
      <c r="U972" t="str">
        <f t="shared" si="112"/>
        <v>Low-Cost</v>
      </c>
    </row>
    <row r="973" spans="1:21" x14ac:dyDescent="0.3">
      <c r="A973">
        <v>1098</v>
      </c>
      <c r="B973" s="1">
        <v>45217</v>
      </c>
      <c r="C973" s="2" t="s">
        <v>36</v>
      </c>
      <c r="D973" t="s">
        <v>19</v>
      </c>
      <c r="E973">
        <v>21</v>
      </c>
      <c r="F973" t="s">
        <v>14</v>
      </c>
      <c r="G973">
        <f>1</f>
        <v>1</v>
      </c>
      <c r="H973" s="3">
        <v>725.03</v>
      </c>
      <c r="I973" s="3">
        <v>828.95</v>
      </c>
      <c r="J973" s="3">
        <f t="shared" si="106"/>
        <v>679.73900000000003</v>
      </c>
      <c r="K973" s="3">
        <f t="shared" si="107"/>
        <v>14274.519000000002</v>
      </c>
      <c r="L973" s="3">
        <f t="shared" si="108"/>
        <v>15225.63</v>
      </c>
      <c r="M973" s="8">
        <f t="shared" si="109"/>
        <v>-951.11099999999715</v>
      </c>
      <c r="N973" s="4">
        <f t="shared" si="110"/>
        <v>-6.6629985921066559E-2</v>
      </c>
      <c r="O973" s="4" t="str">
        <f t="shared" si="111"/>
        <v>Loss</v>
      </c>
      <c r="P973" t="s">
        <v>28</v>
      </c>
      <c r="Q973">
        <v>0.18</v>
      </c>
      <c r="R973" t="s">
        <v>25</v>
      </c>
      <c r="S973" t="s">
        <v>17</v>
      </c>
      <c r="T973" t="s">
        <v>39</v>
      </c>
      <c r="U973" t="str">
        <f t="shared" si="112"/>
        <v>Low-Cost</v>
      </c>
    </row>
    <row r="974" spans="1:21" x14ac:dyDescent="0.3">
      <c r="A974">
        <v>1098</v>
      </c>
      <c r="B974" s="1">
        <v>45131</v>
      </c>
      <c r="C974" s="2" t="s">
        <v>40</v>
      </c>
      <c r="D974" t="s">
        <v>23</v>
      </c>
      <c r="E974">
        <v>19</v>
      </c>
      <c r="F974" t="s">
        <v>33</v>
      </c>
      <c r="G974">
        <f>1</f>
        <v>1</v>
      </c>
      <c r="H974" s="3">
        <v>4055.51</v>
      </c>
      <c r="I974" s="3">
        <v>4258.84</v>
      </c>
      <c r="J974" s="3">
        <f t="shared" si="106"/>
        <v>4131.0748000000003</v>
      </c>
      <c r="K974" s="3">
        <f t="shared" si="107"/>
        <v>78490.421199999997</v>
      </c>
      <c r="L974" s="3">
        <f t="shared" si="108"/>
        <v>77054.69</v>
      </c>
      <c r="M974" s="8">
        <f t="shared" si="109"/>
        <v>1435.7311999999947</v>
      </c>
      <c r="N974" s="4">
        <f t="shared" si="110"/>
        <v>1.8291801445957774E-2</v>
      </c>
      <c r="O974" s="4" t="str">
        <f t="shared" si="111"/>
        <v>Profit</v>
      </c>
      <c r="P974" t="s">
        <v>15</v>
      </c>
      <c r="Q974">
        <v>0.03</v>
      </c>
      <c r="R974" t="s">
        <v>29</v>
      </c>
      <c r="S974" t="s">
        <v>17</v>
      </c>
      <c r="T974" t="s">
        <v>41</v>
      </c>
      <c r="U974" t="str">
        <f t="shared" si="112"/>
        <v>High-Cost</v>
      </c>
    </row>
    <row r="975" spans="1:21" x14ac:dyDescent="0.3">
      <c r="A975">
        <v>1099</v>
      </c>
      <c r="B975" s="1">
        <v>45078</v>
      </c>
      <c r="C975" s="2" t="s">
        <v>40</v>
      </c>
      <c r="D975" t="s">
        <v>23</v>
      </c>
      <c r="E975">
        <v>2</v>
      </c>
      <c r="F975" t="s">
        <v>33</v>
      </c>
      <c r="G975">
        <f>1</f>
        <v>1</v>
      </c>
      <c r="H975" s="3">
        <v>2038.4</v>
      </c>
      <c r="I975" s="3">
        <v>2073.3200000000002</v>
      </c>
      <c r="J975" s="3">
        <f t="shared" si="106"/>
        <v>1741.5888</v>
      </c>
      <c r="K975" s="3">
        <f t="shared" si="107"/>
        <v>3483.1776</v>
      </c>
      <c r="L975" s="3">
        <f t="shared" si="108"/>
        <v>4076.8</v>
      </c>
      <c r="M975" s="8">
        <f t="shared" si="109"/>
        <v>-593.6224000000002</v>
      </c>
      <c r="N975" s="4">
        <f t="shared" si="110"/>
        <v>-0.17042553328317231</v>
      </c>
      <c r="O975" s="4" t="str">
        <f t="shared" si="111"/>
        <v>Loss</v>
      </c>
      <c r="P975" t="s">
        <v>28</v>
      </c>
      <c r="Q975">
        <v>0.16</v>
      </c>
      <c r="R975" t="s">
        <v>16</v>
      </c>
      <c r="S975" t="s">
        <v>20</v>
      </c>
      <c r="T975" t="s">
        <v>41</v>
      </c>
      <c r="U975" t="str">
        <f t="shared" si="112"/>
        <v>Low-Cost</v>
      </c>
    </row>
    <row r="976" spans="1:21" x14ac:dyDescent="0.3">
      <c r="A976">
        <v>1099</v>
      </c>
      <c r="B976" s="1">
        <v>44929</v>
      </c>
      <c r="C976" s="2" t="s">
        <v>12</v>
      </c>
      <c r="D976" t="s">
        <v>32</v>
      </c>
      <c r="E976">
        <v>31</v>
      </c>
      <c r="F976" t="s">
        <v>14</v>
      </c>
      <c r="G976">
        <f>1</f>
        <v>1</v>
      </c>
      <c r="H976" s="3">
        <v>4632.8500000000004</v>
      </c>
      <c r="I976" s="3">
        <v>4711.7</v>
      </c>
      <c r="J976" s="3">
        <f t="shared" si="106"/>
        <v>3722.2429999999999</v>
      </c>
      <c r="K976" s="3">
        <f t="shared" si="107"/>
        <v>115389.533</v>
      </c>
      <c r="L976" s="3">
        <f t="shared" si="108"/>
        <v>143618.35</v>
      </c>
      <c r="M976" s="8">
        <f t="shared" si="109"/>
        <v>-28228.81700000001</v>
      </c>
      <c r="N976" s="4">
        <f t="shared" si="110"/>
        <v>-0.24463932096856664</v>
      </c>
      <c r="O976" s="4" t="str">
        <f t="shared" si="111"/>
        <v>Loss</v>
      </c>
      <c r="P976" t="s">
        <v>28</v>
      </c>
      <c r="Q976">
        <v>0.21</v>
      </c>
      <c r="R976" t="s">
        <v>16</v>
      </c>
      <c r="S976" t="s">
        <v>20</v>
      </c>
      <c r="T976" t="s">
        <v>44</v>
      </c>
      <c r="U976" t="str">
        <f t="shared" si="112"/>
        <v>High-Cost</v>
      </c>
    </row>
    <row r="977" spans="1:21" x14ac:dyDescent="0.3">
      <c r="A977">
        <v>1099</v>
      </c>
      <c r="B977" s="1">
        <v>45019</v>
      </c>
      <c r="C977" s="2" t="s">
        <v>40</v>
      </c>
      <c r="D977" t="s">
        <v>13</v>
      </c>
      <c r="E977">
        <v>30</v>
      </c>
      <c r="F977" t="s">
        <v>14</v>
      </c>
      <c r="G977">
        <f>1</f>
        <v>1</v>
      </c>
      <c r="H977" s="3">
        <v>4495.82</v>
      </c>
      <c r="I977" s="3">
        <v>4794.01</v>
      </c>
      <c r="J977" s="3">
        <f t="shared" si="106"/>
        <v>3931.0882000000006</v>
      </c>
      <c r="K977" s="3">
        <f t="shared" si="107"/>
        <v>117932.64600000002</v>
      </c>
      <c r="L977" s="3">
        <f t="shared" si="108"/>
        <v>134874.59999999998</v>
      </c>
      <c r="M977" s="8">
        <f t="shared" si="109"/>
        <v>-16941.953999999954</v>
      </c>
      <c r="N977" s="4">
        <f t="shared" si="110"/>
        <v>-0.14365788078730932</v>
      </c>
      <c r="O977" s="4" t="str">
        <f t="shared" si="111"/>
        <v>Loss</v>
      </c>
      <c r="P977" t="s">
        <v>28</v>
      </c>
      <c r="Q977">
        <v>0.18</v>
      </c>
      <c r="R977" t="s">
        <v>25</v>
      </c>
      <c r="S977" t="s">
        <v>20</v>
      </c>
      <c r="T977" t="s">
        <v>47</v>
      </c>
      <c r="U977" t="str">
        <f t="shared" si="112"/>
        <v>High-Cost</v>
      </c>
    </row>
    <row r="978" spans="1:21" x14ac:dyDescent="0.3">
      <c r="A978">
        <v>1099</v>
      </c>
      <c r="B978" s="1">
        <v>44989</v>
      </c>
      <c r="C978" s="2" t="s">
        <v>22</v>
      </c>
      <c r="D978" t="s">
        <v>32</v>
      </c>
      <c r="E978">
        <v>10</v>
      </c>
      <c r="F978" t="s">
        <v>14</v>
      </c>
      <c r="G978">
        <f>1</f>
        <v>1</v>
      </c>
      <c r="H978" s="3">
        <v>1531.2</v>
      </c>
      <c r="I978" s="3">
        <v>1955.56</v>
      </c>
      <c r="J978" s="3">
        <f t="shared" si="106"/>
        <v>1955.56</v>
      </c>
      <c r="K978" s="3">
        <f t="shared" si="107"/>
        <v>19555.599999999999</v>
      </c>
      <c r="L978" s="3">
        <f t="shared" si="108"/>
        <v>15312</v>
      </c>
      <c r="M978" s="8">
        <f t="shared" si="109"/>
        <v>4243.5999999999985</v>
      </c>
      <c r="N978" s="4">
        <f t="shared" si="110"/>
        <v>0.21700177954141006</v>
      </c>
      <c r="O978" s="4" t="str">
        <f t="shared" si="111"/>
        <v>Profit</v>
      </c>
      <c r="P978" t="s">
        <v>28</v>
      </c>
      <c r="Q978">
        <v>0</v>
      </c>
      <c r="R978" t="s">
        <v>29</v>
      </c>
      <c r="S978" t="s">
        <v>17</v>
      </c>
      <c r="T978" t="s">
        <v>48</v>
      </c>
      <c r="U978" t="str">
        <f t="shared" si="112"/>
        <v>Low-Cost</v>
      </c>
    </row>
    <row r="979" spans="1:21" x14ac:dyDescent="0.3">
      <c r="A979">
        <v>1099</v>
      </c>
      <c r="B979" s="1">
        <v>45084</v>
      </c>
      <c r="C979" s="2" t="s">
        <v>31</v>
      </c>
      <c r="D979" t="s">
        <v>32</v>
      </c>
      <c r="E979">
        <v>31</v>
      </c>
      <c r="F979" t="s">
        <v>24</v>
      </c>
      <c r="G979">
        <f>1</f>
        <v>1</v>
      </c>
      <c r="H979" s="3">
        <v>1974.4</v>
      </c>
      <c r="I979" s="3">
        <v>2259.5</v>
      </c>
      <c r="J979" s="3">
        <f t="shared" si="106"/>
        <v>1649.4349999999999</v>
      </c>
      <c r="K979" s="3">
        <f t="shared" si="107"/>
        <v>51132.485000000001</v>
      </c>
      <c r="L979" s="3">
        <f t="shared" si="108"/>
        <v>61206.400000000001</v>
      </c>
      <c r="M979" s="8">
        <f t="shared" si="109"/>
        <v>-10073.915000000001</v>
      </c>
      <c r="N979" s="4">
        <f t="shared" si="110"/>
        <v>-0.19701594788518495</v>
      </c>
      <c r="O979" s="4" t="str">
        <f t="shared" si="111"/>
        <v>Loss</v>
      </c>
      <c r="P979" t="s">
        <v>28</v>
      </c>
      <c r="Q979">
        <v>0.27</v>
      </c>
      <c r="R979" t="s">
        <v>16</v>
      </c>
      <c r="S979" t="s">
        <v>20</v>
      </c>
      <c r="T979" t="s">
        <v>34</v>
      </c>
      <c r="U979" t="str">
        <f t="shared" si="112"/>
        <v>Low-Cost</v>
      </c>
    </row>
    <row r="980" spans="1:21" x14ac:dyDescent="0.3">
      <c r="A980">
        <v>1099</v>
      </c>
      <c r="B980" s="1">
        <v>45267</v>
      </c>
      <c r="C980" s="2" t="s">
        <v>12</v>
      </c>
      <c r="D980" t="s">
        <v>32</v>
      </c>
      <c r="E980">
        <v>22</v>
      </c>
      <c r="F980" t="s">
        <v>14</v>
      </c>
      <c r="G980">
        <f>1</f>
        <v>1</v>
      </c>
      <c r="H980" s="3">
        <v>2471.67</v>
      </c>
      <c r="I980" s="3">
        <v>2533.04</v>
      </c>
      <c r="J980" s="3">
        <f t="shared" si="106"/>
        <v>2482.3791999999999</v>
      </c>
      <c r="K980" s="3">
        <f t="shared" si="107"/>
        <v>54612.342399999994</v>
      </c>
      <c r="L980" s="3">
        <f t="shared" si="108"/>
        <v>54376.740000000005</v>
      </c>
      <c r="M980" s="8">
        <f t="shared" si="109"/>
        <v>235.60239999998885</v>
      </c>
      <c r="N980" s="4">
        <f t="shared" si="110"/>
        <v>4.3140870661498836E-3</v>
      </c>
      <c r="O980" s="4" t="str">
        <f t="shared" si="111"/>
        <v>Profit</v>
      </c>
      <c r="P980" t="s">
        <v>15</v>
      </c>
      <c r="Q980">
        <v>0.02</v>
      </c>
      <c r="R980" t="s">
        <v>25</v>
      </c>
      <c r="S980" t="s">
        <v>20</v>
      </c>
      <c r="T980" t="s">
        <v>44</v>
      </c>
      <c r="U980" t="str">
        <f t="shared" si="112"/>
        <v>Low-Cost</v>
      </c>
    </row>
    <row r="981" spans="1:21" x14ac:dyDescent="0.3">
      <c r="A981">
        <v>1099</v>
      </c>
      <c r="B981" s="1">
        <v>45057</v>
      </c>
      <c r="C981" s="2" t="s">
        <v>40</v>
      </c>
      <c r="D981" t="s">
        <v>23</v>
      </c>
      <c r="E981">
        <v>48</v>
      </c>
      <c r="F981" t="s">
        <v>24</v>
      </c>
      <c r="G981">
        <f>1</f>
        <v>1</v>
      </c>
      <c r="H981" s="3">
        <v>3441.61</v>
      </c>
      <c r="I981" s="3">
        <v>3693.45</v>
      </c>
      <c r="J981" s="3">
        <f t="shared" si="106"/>
        <v>2991.6945000000001</v>
      </c>
      <c r="K981" s="3">
        <f t="shared" si="107"/>
        <v>143601.33599999998</v>
      </c>
      <c r="L981" s="3">
        <f t="shared" si="108"/>
        <v>165197.28</v>
      </c>
      <c r="M981" s="8">
        <f t="shared" si="109"/>
        <v>-21595.944000000018</v>
      </c>
      <c r="N981" s="4">
        <f t="shared" si="110"/>
        <v>-0.15038818301801887</v>
      </c>
      <c r="O981" s="4" t="str">
        <f t="shared" si="111"/>
        <v>Loss</v>
      </c>
      <c r="P981" t="s">
        <v>15</v>
      </c>
      <c r="Q981">
        <v>0.19</v>
      </c>
      <c r="R981" t="s">
        <v>25</v>
      </c>
      <c r="S981" t="s">
        <v>17</v>
      </c>
      <c r="T981" t="s">
        <v>41</v>
      </c>
      <c r="U981" t="str">
        <f t="shared" si="112"/>
        <v>High-Cost</v>
      </c>
    </row>
    <row r="982" spans="1:21" x14ac:dyDescent="0.3">
      <c r="A982">
        <v>1099</v>
      </c>
      <c r="B982" s="1">
        <v>45212</v>
      </c>
      <c r="C982" s="2" t="s">
        <v>31</v>
      </c>
      <c r="D982" t="s">
        <v>13</v>
      </c>
      <c r="E982">
        <v>14</v>
      </c>
      <c r="F982" t="s">
        <v>24</v>
      </c>
      <c r="G982">
        <f>1</f>
        <v>1</v>
      </c>
      <c r="H982" s="3">
        <v>1996.64</v>
      </c>
      <c r="I982" s="3">
        <v>2341.4699999999998</v>
      </c>
      <c r="J982" s="3">
        <f t="shared" si="106"/>
        <v>1826.3465999999999</v>
      </c>
      <c r="K982" s="3">
        <f t="shared" si="107"/>
        <v>25568.852399999996</v>
      </c>
      <c r="L982" s="3">
        <f t="shared" si="108"/>
        <v>27952.960000000003</v>
      </c>
      <c r="M982" s="8">
        <f t="shared" si="109"/>
        <v>-2384.1076000000066</v>
      </c>
      <c r="N982" s="4">
        <f t="shared" si="110"/>
        <v>-9.3242651750768721E-2</v>
      </c>
      <c r="O982" s="4" t="str">
        <f t="shared" si="111"/>
        <v>Loss</v>
      </c>
      <c r="P982" t="s">
        <v>15</v>
      </c>
      <c r="Q982">
        <v>0.22</v>
      </c>
      <c r="R982" t="s">
        <v>29</v>
      </c>
      <c r="S982" t="s">
        <v>17</v>
      </c>
      <c r="T982" t="s">
        <v>51</v>
      </c>
      <c r="U982" t="str">
        <f t="shared" si="112"/>
        <v>Low-Cost</v>
      </c>
    </row>
    <row r="983" spans="1:21" x14ac:dyDescent="0.3">
      <c r="A983">
        <v>1099</v>
      </c>
      <c r="B983" s="1">
        <v>44971</v>
      </c>
      <c r="C983" s="2" t="s">
        <v>22</v>
      </c>
      <c r="D983" t="s">
        <v>23</v>
      </c>
      <c r="E983">
        <v>32</v>
      </c>
      <c r="F983" t="s">
        <v>27</v>
      </c>
      <c r="G983">
        <f>1</f>
        <v>1</v>
      </c>
      <c r="H983" s="3">
        <v>1517.86</v>
      </c>
      <c r="I983" s="3">
        <v>1948.46</v>
      </c>
      <c r="J983" s="3">
        <f t="shared" si="106"/>
        <v>1909.4908</v>
      </c>
      <c r="K983" s="3">
        <f t="shared" si="107"/>
        <v>61103.705600000001</v>
      </c>
      <c r="L983" s="3">
        <f t="shared" si="108"/>
        <v>48571.519999999997</v>
      </c>
      <c r="M983" s="8">
        <f t="shared" si="109"/>
        <v>12532.185600000004</v>
      </c>
      <c r="N983" s="4">
        <f t="shared" si="110"/>
        <v>0.20509698187600597</v>
      </c>
      <c r="O983" s="4" t="str">
        <f t="shared" si="111"/>
        <v>Profit</v>
      </c>
      <c r="P983" t="s">
        <v>28</v>
      </c>
      <c r="Q983">
        <v>0.02</v>
      </c>
      <c r="R983" t="s">
        <v>29</v>
      </c>
      <c r="S983" t="s">
        <v>17</v>
      </c>
      <c r="T983" t="s">
        <v>26</v>
      </c>
      <c r="U983" t="str">
        <f t="shared" si="112"/>
        <v>Low-Cost</v>
      </c>
    </row>
    <row r="984" spans="1:21" x14ac:dyDescent="0.3">
      <c r="A984">
        <v>1099</v>
      </c>
      <c r="B984" s="1">
        <v>45030</v>
      </c>
      <c r="C984" s="2" t="s">
        <v>40</v>
      </c>
      <c r="D984" t="s">
        <v>32</v>
      </c>
      <c r="E984">
        <v>27</v>
      </c>
      <c r="F984" t="s">
        <v>24</v>
      </c>
      <c r="G984">
        <f>1</f>
        <v>1</v>
      </c>
      <c r="H984" s="3">
        <v>4929.55</v>
      </c>
      <c r="I984" s="3">
        <v>4990.33</v>
      </c>
      <c r="J984" s="3">
        <f t="shared" si="106"/>
        <v>3543.1342999999997</v>
      </c>
      <c r="K984" s="3">
        <f t="shared" si="107"/>
        <v>95664.626099999994</v>
      </c>
      <c r="L984" s="3">
        <f t="shared" si="108"/>
        <v>133097.85</v>
      </c>
      <c r="M984" s="8">
        <f t="shared" si="109"/>
        <v>-37433.223900000012</v>
      </c>
      <c r="N984" s="4">
        <f t="shared" si="110"/>
        <v>-0.39129640104243313</v>
      </c>
      <c r="O984" s="4" t="str">
        <f t="shared" si="111"/>
        <v>Loss</v>
      </c>
      <c r="P984" t="s">
        <v>15</v>
      </c>
      <c r="Q984">
        <v>0.28999999999999998</v>
      </c>
      <c r="R984" t="s">
        <v>29</v>
      </c>
      <c r="S984" t="s">
        <v>17</v>
      </c>
      <c r="T984" t="s">
        <v>50</v>
      </c>
      <c r="U984" t="str">
        <f t="shared" si="112"/>
        <v>High-Cost</v>
      </c>
    </row>
    <row r="985" spans="1:21" x14ac:dyDescent="0.3">
      <c r="A985">
        <v>1099</v>
      </c>
      <c r="B985" s="1">
        <v>45214</v>
      </c>
      <c r="C985" s="2" t="s">
        <v>22</v>
      </c>
      <c r="D985" t="s">
        <v>32</v>
      </c>
      <c r="E985">
        <v>39</v>
      </c>
      <c r="F985" t="s">
        <v>33</v>
      </c>
      <c r="G985">
        <f>1</f>
        <v>1</v>
      </c>
      <c r="H985" s="3">
        <v>3592.89</v>
      </c>
      <c r="I985" s="3">
        <v>4004</v>
      </c>
      <c r="J985" s="3">
        <f t="shared" si="106"/>
        <v>3483.48</v>
      </c>
      <c r="K985" s="3">
        <f t="shared" si="107"/>
        <v>135855.72</v>
      </c>
      <c r="L985" s="3">
        <f t="shared" si="108"/>
        <v>140122.71</v>
      </c>
      <c r="M985" s="8">
        <f t="shared" si="109"/>
        <v>-4266.9899999999907</v>
      </c>
      <c r="N985" s="4">
        <f t="shared" si="110"/>
        <v>-3.1408246925488235E-2</v>
      </c>
      <c r="O985" s="4" t="str">
        <f t="shared" si="111"/>
        <v>Loss</v>
      </c>
      <c r="P985" t="s">
        <v>28</v>
      </c>
      <c r="Q985">
        <v>0.13</v>
      </c>
      <c r="R985" t="s">
        <v>16</v>
      </c>
      <c r="S985" t="s">
        <v>17</v>
      </c>
      <c r="T985" t="s">
        <v>48</v>
      </c>
      <c r="U985" t="str">
        <f t="shared" si="112"/>
        <v>High-Cost</v>
      </c>
    </row>
    <row r="986" spans="1:21" x14ac:dyDescent="0.3">
      <c r="A986">
        <v>1099</v>
      </c>
      <c r="B986" s="1">
        <v>45219</v>
      </c>
      <c r="C986" s="2" t="s">
        <v>22</v>
      </c>
      <c r="D986" t="s">
        <v>23</v>
      </c>
      <c r="E986">
        <v>23</v>
      </c>
      <c r="F986" t="s">
        <v>27</v>
      </c>
      <c r="G986">
        <f>1</f>
        <v>1</v>
      </c>
      <c r="H986" s="3">
        <v>93.45</v>
      </c>
      <c r="I986" s="3">
        <v>181.62</v>
      </c>
      <c r="J986" s="3">
        <f t="shared" si="106"/>
        <v>127.134</v>
      </c>
      <c r="K986" s="3">
        <f t="shared" si="107"/>
        <v>2924.0819999999999</v>
      </c>
      <c r="L986" s="3">
        <f t="shared" si="108"/>
        <v>2149.35</v>
      </c>
      <c r="M986" s="8">
        <f t="shared" si="109"/>
        <v>774.73199999999997</v>
      </c>
      <c r="N986" s="4">
        <f t="shared" si="110"/>
        <v>0.26494879418566236</v>
      </c>
      <c r="O986" s="4" t="str">
        <f t="shared" si="111"/>
        <v>Profit</v>
      </c>
      <c r="P986" t="s">
        <v>15</v>
      </c>
      <c r="Q986">
        <v>0.3</v>
      </c>
      <c r="R986" t="s">
        <v>25</v>
      </c>
      <c r="S986" t="s">
        <v>20</v>
      </c>
      <c r="T986" t="s">
        <v>26</v>
      </c>
      <c r="U986" t="str">
        <f t="shared" si="112"/>
        <v>Low-Cost</v>
      </c>
    </row>
    <row r="987" spans="1:21" x14ac:dyDescent="0.3">
      <c r="A987">
        <v>1099</v>
      </c>
      <c r="B987" s="1">
        <v>45221</v>
      </c>
      <c r="C987" s="2" t="s">
        <v>12</v>
      </c>
      <c r="D987" t="s">
        <v>19</v>
      </c>
      <c r="E987">
        <v>43</v>
      </c>
      <c r="F987" t="s">
        <v>27</v>
      </c>
      <c r="G987">
        <f>1</f>
        <v>1</v>
      </c>
      <c r="H987" s="3">
        <v>906.47</v>
      </c>
      <c r="I987" s="3">
        <v>1283.04</v>
      </c>
      <c r="J987" s="3">
        <f t="shared" si="106"/>
        <v>975.11040000000003</v>
      </c>
      <c r="K987" s="3">
        <f t="shared" si="107"/>
        <v>41929.747199999998</v>
      </c>
      <c r="L987" s="3">
        <f t="shared" si="108"/>
        <v>38978.21</v>
      </c>
      <c r="M987" s="8">
        <f t="shared" si="109"/>
        <v>2951.5371999999988</v>
      </c>
      <c r="N987" s="4">
        <f t="shared" si="110"/>
        <v>7.0392439666318779E-2</v>
      </c>
      <c r="O987" s="4" t="str">
        <f t="shared" si="111"/>
        <v>Profit</v>
      </c>
      <c r="P987" t="s">
        <v>28</v>
      </c>
      <c r="Q987">
        <v>0.24</v>
      </c>
      <c r="R987" t="s">
        <v>16</v>
      </c>
      <c r="S987" t="s">
        <v>17</v>
      </c>
      <c r="T987" t="s">
        <v>21</v>
      </c>
      <c r="U987" t="str">
        <f t="shared" si="112"/>
        <v>Low-Cost</v>
      </c>
    </row>
    <row r="988" spans="1:21" x14ac:dyDescent="0.3">
      <c r="A988">
        <v>1099</v>
      </c>
      <c r="B988" s="1">
        <v>44981</v>
      </c>
      <c r="C988" s="2" t="s">
        <v>22</v>
      </c>
      <c r="D988" t="s">
        <v>32</v>
      </c>
      <c r="E988">
        <v>35</v>
      </c>
      <c r="F988" t="s">
        <v>27</v>
      </c>
      <c r="G988">
        <f>1</f>
        <v>1</v>
      </c>
      <c r="H988" s="3">
        <v>2610.19</v>
      </c>
      <c r="I988" s="3">
        <v>2682.53</v>
      </c>
      <c r="J988" s="3">
        <f t="shared" si="106"/>
        <v>2306.9758000000002</v>
      </c>
      <c r="K988" s="3">
        <f t="shared" si="107"/>
        <v>80744.153000000006</v>
      </c>
      <c r="L988" s="3">
        <f t="shared" si="108"/>
        <v>91356.650000000009</v>
      </c>
      <c r="M988" s="8">
        <f t="shared" si="109"/>
        <v>-10612.497000000003</v>
      </c>
      <c r="N988" s="4">
        <f t="shared" si="110"/>
        <v>-0.13143362838916647</v>
      </c>
      <c r="O988" s="4" t="str">
        <f t="shared" si="111"/>
        <v>Loss</v>
      </c>
      <c r="P988" t="s">
        <v>28</v>
      </c>
      <c r="Q988">
        <v>0.14000000000000001</v>
      </c>
      <c r="R988" t="s">
        <v>16</v>
      </c>
      <c r="S988" t="s">
        <v>20</v>
      </c>
      <c r="T988" t="s">
        <v>48</v>
      </c>
      <c r="U988" t="str">
        <f t="shared" si="112"/>
        <v>Low-Cost</v>
      </c>
    </row>
    <row r="989" spans="1:21" x14ac:dyDescent="0.3">
      <c r="A989">
        <v>1099</v>
      </c>
      <c r="B989" s="1">
        <v>45164</v>
      </c>
      <c r="C989" s="2" t="s">
        <v>22</v>
      </c>
      <c r="D989" t="s">
        <v>19</v>
      </c>
      <c r="E989">
        <v>17</v>
      </c>
      <c r="F989" t="s">
        <v>24</v>
      </c>
      <c r="G989">
        <f>1</f>
        <v>1</v>
      </c>
      <c r="H989" s="3">
        <v>2471.73</v>
      </c>
      <c r="I989" s="3">
        <v>2568.73</v>
      </c>
      <c r="J989" s="3">
        <f t="shared" si="106"/>
        <v>2440.2934999999998</v>
      </c>
      <c r="K989" s="3">
        <f t="shared" si="107"/>
        <v>41484.989500000003</v>
      </c>
      <c r="L989" s="3">
        <f t="shared" si="108"/>
        <v>42019.41</v>
      </c>
      <c r="M989" s="8">
        <f t="shared" si="109"/>
        <v>-534.42050000000017</v>
      </c>
      <c r="N989" s="4">
        <f t="shared" si="110"/>
        <v>-1.2882261908249974E-2</v>
      </c>
      <c r="O989" s="4" t="str">
        <f t="shared" si="111"/>
        <v>Loss</v>
      </c>
      <c r="P989" t="s">
        <v>28</v>
      </c>
      <c r="Q989">
        <v>0.05</v>
      </c>
      <c r="R989" t="s">
        <v>16</v>
      </c>
      <c r="S989" t="s">
        <v>20</v>
      </c>
      <c r="T989" t="s">
        <v>45</v>
      </c>
      <c r="U989" t="str">
        <f t="shared" si="112"/>
        <v>Low-Cost</v>
      </c>
    </row>
    <row r="990" spans="1:21" x14ac:dyDescent="0.3">
      <c r="A990">
        <v>1099</v>
      </c>
      <c r="B990" s="1">
        <v>45286</v>
      </c>
      <c r="C990" s="2" t="s">
        <v>36</v>
      </c>
      <c r="D990" t="s">
        <v>19</v>
      </c>
      <c r="E990">
        <v>25</v>
      </c>
      <c r="F990" t="s">
        <v>33</v>
      </c>
      <c r="G990">
        <f>1</f>
        <v>1</v>
      </c>
      <c r="H990" s="3">
        <v>4148.4799999999996</v>
      </c>
      <c r="I990" s="3">
        <v>4293.6899999999996</v>
      </c>
      <c r="J990" s="3">
        <f t="shared" si="106"/>
        <v>3821.3840999999998</v>
      </c>
      <c r="K990" s="3">
        <f t="shared" si="107"/>
        <v>95534.602499999994</v>
      </c>
      <c r="L990" s="3">
        <f t="shared" si="108"/>
        <v>103711.99999999999</v>
      </c>
      <c r="M990" s="8">
        <f t="shared" si="109"/>
        <v>-8177.3974999999919</v>
      </c>
      <c r="N990" s="4">
        <f t="shared" si="110"/>
        <v>-8.5596184900648881E-2</v>
      </c>
      <c r="O990" s="4" t="str">
        <f t="shared" si="111"/>
        <v>Loss</v>
      </c>
      <c r="P990" t="s">
        <v>28</v>
      </c>
      <c r="Q990">
        <v>0.11</v>
      </c>
      <c r="R990" t="s">
        <v>25</v>
      </c>
      <c r="S990" t="s">
        <v>17</v>
      </c>
      <c r="T990" t="s">
        <v>39</v>
      </c>
      <c r="U990" t="str">
        <f t="shared" si="112"/>
        <v>High-Cost</v>
      </c>
    </row>
    <row r="991" spans="1:21" x14ac:dyDescent="0.3">
      <c r="A991">
        <v>1099</v>
      </c>
      <c r="B991" s="1">
        <v>45167</v>
      </c>
      <c r="C991" s="2" t="s">
        <v>40</v>
      </c>
      <c r="D991" t="s">
        <v>19</v>
      </c>
      <c r="E991">
        <v>44</v>
      </c>
      <c r="F991" t="s">
        <v>27</v>
      </c>
      <c r="G991">
        <f>1</f>
        <v>1</v>
      </c>
      <c r="H991" s="3">
        <v>4933.1099999999997</v>
      </c>
      <c r="I991" s="3">
        <v>5245.86</v>
      </c>
      <c r="J991" s="3">
        <f t="shared" si="106"/>
        <v>4563.8981999999996</v>
      </c>
      <c r="K991" s="3">
        <f t="shared" si="107"/>
        <v>200811.5208</v>
      </c>
      <c r="L991" s="3">
        <f t="shared" si="108"/>
        <v>217056.84</v>
      </c>
      <c r="M991" s="8">
        <f t="shared" si="109"/>
        <v>-16245.319199999998</v>
      </c>
      <c r="N991" s="4">
        <f t="shared" si="110"/>
        <v>-8.0898342561628561E-2</v>
      </c>
      <c r="O991" s="4" t="str">
        <f t="shared" si="111"/>
        <v>Loss</v>
      </c>
      <c r="P991" t="s">
        <v>15</v>
      </c>
      <c r="Q991">
        <v>0.13</v>
      </c>
      <c r="R991" t="s">
        <v>25</v>
      </c>
      <c r="S991" t="s">
        <v>20</v>
      </c>
      <c r="T991" t="s">
        <v>49</v>
      </c>
      <c r="U991" t="str">
        <f t="shared" si="112"/>
        <v>High-Cost</v>
      </c>
    </row>
    <row r="992" spans="1:21" x14ac:dyDescent="0.3">
      <c r="A992">
        <v>1099</v>
      </c>
      <c r="B992" s="1">
        <v>45290</v>
      </c>
      <c r="C992" s="2" t="s">
        <v>12</v>
      </c>
      <c r="D992" t="s">
        <v>19</v>
      </c>
      <c r="E992">
        <v>29</v>
      </c>
      <c r="F992" t="s">
        <v>33</v>
      </c>
      <c r="G992">
        <f>1</f>
        <v>1</v>
      </c>
      <c r="H992" s="3">
        <v>3124.87</v>
      </c>
      <c r="I992" s="3">
        <v>3383.67</v>
      </c>
      <c r="J992" s="3">
        <f t="shared" si="106"/>
        <v>3214.4865</v>
      </c>
      <c r="K992" s="3">
        <f t="shared" si="107"/>
        <v>93220.108500000002</v>
      </c>
      <c r="L992" s="3">
        <f t="shared" si="108"/>
        <v>90621.23</v>
      </c>
      <c r="M992" s="8">
        <f t="shared" si="109"/>
        <v>2598.8785000000062</v>
      </c>
      <c r="N992" s="4">
        <f t="shared" si="110"/>
        <v>2.7878947383975703E-2</v>
      </c>
      <c r="O992" s="4" t="str">
        <f t="shared" si="111"/>
        <v>Profit</v>
      </c>
      <c r="P992" t="s">
        <v>28</v>
      </c>
      <c r="Q992">
        <v>0.05</v>
      </c>
      <c r="R992" t="s">
        <v>29</v>
      </c>
      <c r="S992" t="s">
        <v>20</v>
      </c>
      <c r="T992" t="s">
        <v>21</v>
      </c>
      <c r="U992" t="str">
        <f t="shared" si="112"/>
        <v>High-Cost</v>
      </c>
    </row>
    <row r="993" spans="1:21" x14ac:dyDescent="0.3">
      <c r="A993">
        <v>1100</v>
      </c>
      <c r="B993" s="1">
        <v>45261</v>
      </c>
      <c r="C993" s="2" t="s">
        <v>40</v>
      </c>
      <c r="D993" t="s">
        <v>32</v>
      </c>
      <c r="E993">
        <v>34</v>
      </c>
      <c r="F993" t="s">
        <v>14</v>
      </c>
      <c r="G993">
        <f>1</f>
        <v>1</v>
      </c>
      <c r="H993" s="3">
        <v>4991.09</v>
      </c>
      <c r="I993" s="3">
        <v>5402.28</v>
      </c>
      <c r="J993" s="3">
        <f t="shared" si="106"/>
        <v>5402.28</v>
      </c>
      <c r="K993" s="3">
        <f t="shared" si="107"/>
        <v>183677.52</v>
      </c>
      <c r="L993" s="3">
        <f t="shared" si="108"/>
        <v>169697.06</v>
      </c>
      <c r="M993" s="8">
        <f t="shared" si="109"/>
        <v>13980.459999999992</v>
      </c>
      <c r="N993" s="4">
        <f t="shared" si="110"/>
        <v>7.6114159206853368E-2</v>
      </c>
      <c r="O993" s="4" t="str">
        <f t="shared" si="111"/>
        <v>Profit</v>
      </c>
      <c r="P993" t="s">
        <v>15</v>
      </c>
      <c r="Q993">
        <v>0</v>
      </c>
      <c r="R993" t="s">
        <v>16</v>
      </c>
      <c r="S993" t="s">
        <v>20</v>
      </c>
      <c r="T993" t="s">
        <v>50</v>
      </c>
      <c r="U993" t="str">
        <f t="shared" si="112"/>
        <v>High-Cost</v>
      </c>
    </row>
    <row r="994" spans="1:21" x14ac:dyDescent="0.3">
      <c r="A994">
        <v>1100</v>
      </c>
      <c r="B994" s="1">
        <v>45152</v>
      </c>
      <c r="C994" s="2" t="s">
        <v>12</v>
      </c>
      <c r="D994" t="s">
        <v>19</v>
      </c>
      <c r="E994">
        <v>43</v>
      </c>
      <c r="F994" t="s">
        <v>24</v>
      </c>
      <c r="G994">
        <f>1</f>
        <v>1</v>
      </c>
      <c r="H994" s="3">
        <v>1100.81</v>
      </c>
      <c r="I994" s="3">
        <v>1137.44</v>
      </c>
      <c r="J994" s="3">
        <f t="shared" si="106"/>
        <v>1046.4448</v>
      </c>
      <c r="K994" s="3">
        <f t="shared" si="107"/>
        <v>44997.126400000008</v>
      </c>
      <c r="L994" s="3">
        <f t="shared" si="108"/>
        <v>47334.829999999994</v>
      </c>
      <c r="M994" s="8">
        <f t="shared" si="109"/>
        <v>-2337.7035999999862</v>
      </c>
      <c r="N994" s="4">
        <f t="shared" si="110"/>
        <v>-5.1952286446451515E-2</v>
      </c>
      <c r="O994" s="4" t="str">
        <f t="shared" si="111"/>
        <v>Loss</v>
      </c>
      <c r="P994" t="s">
        <v>15</v>
      </c>
      <c r="Q994">
        <v>0.08</v>
      </c>
      <c r="R994" t="s">
        <v>25</v>
      </c>
      <c r="S994" t="s">
        <v>17</v>
      </c>
      <c r="T994" t="s">
        <v>21</v>
      </c>
      <c r="U994" t="str">
        <f t="shared" si="112"/>
        <v>Low-Cost</v>
      </c>
    </row>
    <row r="995" spans="1:21" x14ac:dyDescent="0.3">
      <c r="A995">
        <v>1100</v>
      </c>
      <c r="B995" s="1">
        <v>45245</v>
      </c>
      <c r="C995" s="2" t="s">
        <v>36</v>
      </c>
      <c r="D995" t="s">
        <v>32</v>
      </c>
      <c r="E995">
        <v>2</v>
      </c>
      <c r="F995" t="s">
        <v>14</v>
      </c>
      <c r="G995">
        <f>1</f>
        <v>1</v>
      </c>
      <c r="H995" s="3">
        <v>1036.76</v>
      </c>
      <c r="I995" s="3">
        <v>1189.3499999999999</v>
      </c>
      <c r="J995" s="3">
        <f t="shared" si="106"/>
        <v>868.2254999999999</v>
      </c>
      <c r="K995" s="3">
        <f t="shared" si="107"/>
        <v>1736.4509999999998</v>
      </c>
      <c r="L995" s="3">
        <f t="shared" si="108"/>
        <v>2073.52</v>
      </c>
      <c r="M995" s="8">
        <f t="shared" si="109"/>
        <v>-337.06900000000019</v>
      </c>
      <c r="N995" s="4">
        <f t="shared" si="110"/>
        <v>-0.19411374118820526</v>
      </c>
      <c r="O995" s="4" t="str">
        <f t="shared" si="111"/>
        <v>Loss</v>
      </c>
      <c r="P995" t="s">
        <v>28</v>
      </c>
      <c r="Q995">
        <v>0.27</v>
      </c>
      <c r="R995" t="s">
        <v>25</v>
      </c>
      <c r="S995" t="s">
        <v>17</v>
      </c>
      <c r="T995" t="s">
        <v>46</v>
      </c>
      <c r="U995" t="str">
        <f t="shared" si="112"/>
        <v>Low-Cost</v>
      </c>
    </row>
    <row r="996" spans="1:21" x14ac:dyDescent="0.3">
      <c r="A996">
        <v>1100</v>
      </c>
      <c r="B996" s="1">
        <v>45186</v>
      </c>
      <c r="C996" s="2" t="s">
        <v>31</v>
      </c>
      <c r="D996" t="s">
        <v>13</v>
      </c>
      <c r="E996">
        <v>17</v>
      </c>
      <c r="F996" t="s">
        <v>33</v>
      </c>
      <c r="G996">
        <f>1</f>
        <v>1</v>
      </c>
      <c r="H996" s="3">
        <v>83.64</v>
      </c>
      <c r="I996" s="3">
        <v>528.49</v>
      </c>
      <c r="J996" s="3">
        <f t="shared" si="106"/>
        <v>459.78629999999998</v>
      </c>
      <c r="K996" s="3">
        <f t="shared" si="107"/>
        <v>7816.3670999999995</v>
      </c>
      <c r="L996" s="3">
        <f t="shared" si="108"/>
        <v>1421.88</v>
      </c>
      <c r="M996" s="8">
        <f t="shared" si="109"/>
        <v>6394.4870999999994</v>
      </c>
      <c r="N996" s="4">
        <f t="shared" si="110"/>
        <v>0.81808940370776595</v>
      </c>
      <c r="O996" s="4" t="str">
        <f t="shared" si="111"/>
        <v>Profit</v>
      </c>
      <c r="P996" t="s">
        <v>28</v>
      </c>
      <c r="Q996">
        <v>0.13</v>
      </c>
      <c r="R996" t="s">
        <v>29</v>
      </c>
      <c r="S996" t="s">
        <v>17</v>
      </c>
      <c r="T996" t="s">
        <v>51</v>
      </c>
      <c r="U996" t="str">
        <f t="shared" si="112"/>
        <v>Low-Cost</v>
      </c>
    </row>
    <row r="997" spans="1:21" x14ac:dyDescent="0.3">
      <c r="A997">
        <v>1100</v>
      </c>
      <c r="B997" s="1">
        <v>45247</v>
      </c>
      <c r="C997" s="2" t="s">
        <v>12</v>
      </c>
      <c r="D997" t="s">
        <v>32</v>
      </c>
      <c r="E997">
        <v>13</v>
      </c>
      <c r="F997" t="s">
        <v>24</v>
      </c>
      <c r="G997">
        <f>1</f>
        <v>1</v>
      </c>
      <c r="H997" s="3">
        <v>366.2</v>
      </c>
      <c r="I997" s="3">
        <v>732.69</v>
      </c>
      <c r="J997" s="3">
        <f t="shared" si="106"/>
        <v>703.38240000000008</v>
      </c>
      <c r="K997" s="3">
        <f t="shared" si="107"/>
        <v>9143.9712</v>
      </c>
      <c r="L997" s="3">
        <f t="shared" si="108"/>
        <v>4760.5999999999995</v>
      </c>
      <c r="M997" s="8">
        <f t="shared" si="109"/>
        <v>4383.3712000000005</v>
      </c>
      <c r="N997" s="4">
        <f t="shared" si="110"/>
        <v>0.47937281342268451</v>
      </c>
      <c r="O997" s="4" t="str">
        <f t="shared" si="111"/>
        <v>Profit</v>
      </c>
      <c r="P997" t="s">
        <v>28</v>
      </c>
      <c r="Q997">
        <v>0.04</v>
      </c>
      <c r="R997" t="s">
        <v>16</v>
      </c>
      <c r="S997" t="s">
        <v>20</v>
      </c>
      <c r="T997" t="s">
        <v>44</v>
      </c>
      <c r="U997" t="str">
        <f t="shared" si="112"/>
        <v>Low-Cost</v>
      </c>
    </row>
    <row r="998" spans="1:21" x14ac:dyDescent="0.3">
      <c r="A998">
        <v>1100</v>
      </c>
      <c r="B998" s="1">
        <v>45280</v>
      </c>
      <c r="C998" s="2" t="s">
        <v>22</v>
      </c>
      <c r="D998" t="s">
        <v>19</v>
      </c>
      <c r="E998">
        <v>39</v>
      </c>
      <c r="F998" t="s">
        <v>33</v>
      </c>
      <c r="G998">
        <f>1</f>
        <v>1</v>
      </c>
      <c r="H998" s="3">
        <v>3685.03</v>
      </c>
      <c r="I998" s="3">
        <v>3743.39</v>
      </c>
      <c r="J998" s="3">
        <f t="shared" si="106"/>
        <v>3705.9560999999999</v>
      </c>
      <c r="K998" s="3">
        <f t="shared" si="107"/>
        <v>144532.2879</v>
      </c>
      <c r="L998" s="3">
        <f t="shared" si="108"/>
        <v>143716.17000000001</v>
      </c>
      <c r="M998" s="8">
        <f t="shared" si="109"/>
        <v>816.11789999998291</v>
      </c>
      <c r="N998" s="4">
        <f t="shared" si="110"/>
        <v>5.6466130292259975E-3</v>
      </c>
      <c r="O998" s="4" t="str">
        <f t="shared" si="111"/>
        <v>Profit</v>
      </c>
      <c r="P998" t="s">
        <v>28</v>
      </c>
      <c r="Q998">
        <v>0.01</v>
      </c>
      <c r="R998" t="s">
        <v>25</v>
      </c>
      <c r="S998" t="s">
        <v>17</v>
      </c>
      <c r="T998" t="s">
        <v>45</v>
      </c>
      <c r="U998" t="str">
        <f t="shared" si="112"/>
        <v>High-Cost</v>
      </c>
    </row>
    <row r="999" spans="1:21" x14ac:dyDescent="0.3">
      <c r="A999">
        <v>1100</v>
      </c>
      <c r="B999" s="1">
        <v>44980</v>
      </c>
      <c r="C999" s="2" t="s">
        <v>36</v>
      </c>
      <c r="D999" t="s">
        <v>13</v>
      </c>
      <c r="E999">
        <v>43</v>
      </c>
      <c r="F999" t="s">
        <v>14</v>
      </c>
      <c r="G999">
        <f>1</f>
        <v>1</v>
      </c>
      <c r="H999" s="3">
        <v>2116.09</v>
      </c>
      <c r="I999" s="3">
        <v>2472.98</v>
      </c>
      <c r="J999" s="3">
        <f t="shared" si="106"/>
        <v>2448.2501999999999</v>
      </c>
      <c r="K999" s="3">
        <f t="shared" si="107"/>
        <v>105274.7586</v>
      </c>
      <c r="L999" s="3">
        <f t="shared" si="108"/>
        <v>90991.87000000001</v>
      </c>
      <c r="M999" s="8">
        <f t="shared" si="109"/>
        <v>14282.888599999991</v>
      </c>
      <c r="N999" s="4">
        <f t="shared" si="110"/>
        <v>0.13567248968263121</v>
      </c>
      <c r="O999" s="4" t="str">
        <f t="shared" si="111"/>
        <v>Profit</v>
      </c>
      <c r="P999" t="s">
        <v>28</v>
      </c>
      <c r="Q999">
        <v>0.01</v>
      </c>
      <c r="R999" t="s">
        <v>29</v>
      </c>
      <c r="S999" t="s">
        <v>20</v>
      </c>
      <c r="T999" t="s">
        <v>38</v>
      </c>
      <c r="U999" t="str">
        <f t="shared" si="112"/>
        <v>Low-Cost</v>
      </c>
    </row>
    <row r="1000" spans="1:21" x14ac:dyDescent="0.3">
      <c r="A1000">
        <v>1100</v>
      </c>
      <c r="B1000" s="1">
        <v>45069</v>
      </c>
      <c r="C1000" s="2" t="s">
        <v>12</v>
      </c>
      <c r="D1000" t="s">
        <v>19</v>
      </c>
      <c r="E1000">
        <v>29</v>
      </c>
      <c r="F1000" t="s">
        <v>24</v>
      </c>
      <c r="G1000">
        <f>1</f>
        <v>1</v>
      </c>
      <c r="H1000" s="3">
        <v>3559.56</v>
      </c>
      <c r="I1000" s="3">
        <v>3607.15</v>
      </c>
      <c r="J1000" s="3">
        <f t="shared" si="106"/>
        <v>2849.6485000000002</v>
      </c>
      <c r="K1000" s="3">
        <f t="shared" si="107"/>
        <v>82639.806500000006</v>
      </c>
      <c r="L1000" s="3">
        <f t="shared" si="108"/>
        <v>103227.24</v>
      </c>
      <c r="M1000" s="8">
        <f t="shared" si="109"/>
        <v>-20587.433499999999</v>
      </c>
      <c r="N1000" s="4">
        <f t="shared" si="110"/>
        <v>-0.24912247949176886</v>
      </c>
      <c r="O1000" s="4" t="str">
        <f t="shared" si="111"/>
        <v>Loss</v>
      </c>
      <c r="P1000" t="s">
        <v>15</v>
      </c>
      <c r="Q1000">
        <v>0.21</v>
      </c>
      <c r="R1000" t="s">
        <v>16</v>
      </c>
      <c r="S1000" t="s">
        <v>20</v>
      </c>
      <c r="T1000" t="s">
        <v>21</v>
      </c>
      <c r="U1000" t="str">
        <f t="shared" si="112"/>
        <v>High-Cost</v>
      </c>
    </row>
    <row r="1001" spans="1:21" x14ac:dyDescent="0.3">
      <c r="A1001">
        <v>1100</v>
      </c>
      <c r="B1001" s="1">
        <v>45192</v>
      </c>
      <c r="C1001" s="2" t="s">
        <v>31</v>
      </c>
      <c r="D1001" t="s">
        <v>13</v>
      </c>
      <c r="E1001">
        <v>19</v>
      </c>
      <c r="F1001" t="s">
        <v>33</v>
      </c>
      <c r="G1001">
        <f>1</f>
        <v>1</v>
      </c>
      <c r="H1001" s="3">
        <v>1820.89</v>
      </c>
      <c r="I1001" s="3">
        <v>2257.92</v>
      </c>
      <c r="J1001" s="3">
        <f t="shared" si="106"/>
        <v>1986.9696000000001</v>
      </c>
      <c r="K1001" s="3">
        <f t="shared" si="107"/>
        <v>37752.422400000003</v>
      </c>
      <c r="L1001" s="3">
        <f t="shared" si="108"/>
        <v>34596.910000000003</v>
      </c>
      <c r="M1001" s="8">
        <f t="shared" si="109"/>
        <v>3155.5123999999996</v>
      </c>
      <c r="N1001" s="4">
        <f t="shared" si="110"/>
        <v>8.3584368880127796E-2</v>
      </c>
      <c r="O1001" s="4" t="str">
        <f t="shared" si="111"/>
        <v>Profit</v>
      </c>
      <c r="P1001" t="s">
        <v>28</v>
      </c>
      <c r="Q1001">
        <v>0.12</v>
      </c>
      <c r="R1001" t="s">
        <v>16</v>
      </c>
      <c r="S1001" t="s">
        <v>20</v>
      </c>
      <c r="T1001" t="s">
        <v>51</v>
      </c>
      <c r="U1001" t="str">
        <f t="shared" si="112"/>
        <v>Low-Cost</v>
      </c>
    </row>
  </sheetData>
  <autoFilter ref="A1:V1001"/>
  <sortState ref="A2:N1001">
    <sortCondition ref="A973"/>
  </sortState>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1:Q124"/>
  <sheetViews>
    <sheetView topLeftCell="B216" workbookViewId="0">
      <selection activeCell="L186" sqref="L186"/>
    </sheetView>
  </sheetViews>
  <sheetFormatPr defaultRowHeight="14.4" x14ac:dyDescent="0.3"/>
  <cols>
    <col min="2" max="2" width="12.44140625" customWidth="1"/>
    <col min="3" max="3" width="9.77734375" customWidth="1"/>
    <col min="4" max="4" width="11.21875" customWidth="1"/>
  </cols>
  <sheetData>
    <row r="1" spans="3:17" ht="28.8" x14ac:dyDescent="0.55000000000000004">
      <c r="C1" s="35" t="s">
        <v>98</v>
      </c>
      <c r="D1" s="35"/>
      <c r="E1" s="35"/>
      <c r="F1" s="35"/>
      <c r="G1" s="35"/>
      <c r="H1" s="35"/>
      <c r="I1" s="35"/>
      <c r="J1" s="35"/>
      <c r="K1" s="35"/>
      <c r="L1" s="35"/>
      <c r="M1" s="35"/>
      <c r="N1" s="35"/>
      <c r="O1" s="35"/>
      <c r="P1" s="35"/>
      <c r="Q1" s="35"/>
    </row>
    <row r="2" spans="3:17" x14ac:dyDescent="0.3">
      <c r="C2" s="36" t="s">
        <v>90</v>
      </c>
      <c r="D2" s="37"/>
      <c r="E2" s="36" t="s">
        <v>53</v>
      </c>
      <c r="F2" s="37"/>
      <c r="G2" s="36" t="s">
        <v>91</v>
      </c>
      <c r="H2" s="37"/>
      <c r="I2" s="36" t="s">
        <v>92</v>
      </c>
      <c r="J2" s="37"/>
    </row>
    <row r="3" spans="3:17" x14ac:dyDescent="0.3">
      <c r="C3" s="38">
        <f>GETPIVOTDATA("Quantity_Sold",Pivot!$A$204)</f>
        <v>25355</v>
      </c>
      <c r="D3" s="38"/>
      <c r="E3" s="38">
        <f>GETPIVOTDATA("Total Cost",Pivot!$A$212)</f>
        <v>63842093.640000015</v>
      </c>
      <c r="F3" s="38"/>
      <c r="G3" s="38">
        <f>GETPIVOTDATA("Sales Amount",Pivot!$A$216)</f>
        <v>59686173.283700012</v>
      </c>
      <c r="H3" s="38"/>
      <c r="I3" s="38">
        <f>GETPIVOTDATA("Profit",Pivot!$A$208)</f>
        <v>-4155920.3563000048</v>
      </c>
      <c r="J3" s="38"/>
    </row>
    <row r="5" spans="3:17" ht="18" x14ac:dyDescent="0.35">
      <c r="C5" s="39" t="s">
        <v>93</v>
      </c>
      <c r="D5" s="34"/>
    </row>
    <row r="61" spans="3:5" ht="18" x14ac:dyDescent="0.35">
      <c r="C61" s="39" t="s">
        <v>94</v>
      </c>
      <c r="D61" s="34"/>
      <c r="E61" s="34"/>
    </row>
    <row r="92" spans="3:5" ht="18" x14ac:dyDescent="0.35">
      <c r="C92" s="39" t="s">
        <v>95</v>
      </c>
      <c r="D92" s="34"/>
      <c r="E92" s="34"/>
    </row>
    <row r="124" spans="3:5" ht="18" x14ac:dyDescent="0.35">
      <c r="C124" s="22" t="s">
        <v>97</v>
      </c>
      <c r="D124" s="21"/>
      <c r="E124" s="21"/>
    </row>
  </sheetData>
  <mergeCells count="12">
    <mergeCell ref="C92:E92"/>
    <mergeCell ref="C2:D2"/>
    <mergeCell ref="C3:D3"/>
    <mergeCell ref="E2:F2"/>
    <mergeCell ref="E3:F3"/>
    <mergeCell ref="C1:Q1"/>
    <mergeCell ref="I2:J2"/>
    <mergeCell ref="I3:J3"/>
    <mergeCell ref="C5:D5"/>
    <mergeCell ref="C61:E61"/>
    <mergeCell ref="G2:H2"/>
    <mergeCell ref="G3:H3"/>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Pivot</vt:lpstr>
      <vt:lpstr>sales_data_For Excel Dashboard.</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2025-08-14T09:26:04Z</dcterms:created>
  <dcterms:modified xsi:type="dcterms:W3CDTF">2025-11-27T08:39:08Z</dcterms:modified>
</cp:coreProperties>
</file>